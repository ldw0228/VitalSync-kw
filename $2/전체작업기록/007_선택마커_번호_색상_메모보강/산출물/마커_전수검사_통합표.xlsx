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e7d08bf099d9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3b436c3ee04e69"/>
    <x:sheet xmlns:r="http://schemas.openxmlformats.org/officeDocument/2006/relationships" name="MATLAB 재검증" sheetId="2" r:id="R1211700549e64947"/>
    <x:sheet xmlns:r="http://schemas.openxmlformats.org/officeDocument/2006/relationships" name="전수검사 요약" sheetId="3" r:id="Rbc881461dced42ca"/>
    <x:sheet xmlns:r="http://schemas.openxmlformats.org/officeDocument/2006/relationships" name="RAW 8.5V" sheetId="4" r:id="Rf60ae369d95f4104"/>
    <x:sheet xmlns:r="http://schemas.openxmlformats.org/officeDocument/2006/relationships" name="후보 마커" sheetId="5" r:id="R4f83f69387144a10"/>
    <x:sheet xmlns:r="http://schemas.openxmlformats.org/officeDocument/2006/relationships" name="선택 마커 번호표" sheetId="6" r:id="R51e670cd9f7c4d11"/>
    <x:sheet xmlns:r="http://schemas.openxmlformats.org/officeDocument/2006/relationships" name="전체 마커 선택표" sheetId="7" r:id="R70f07e9ca16b4457"/>
    <x:sheet xmlns:r="http://schemas.openxmlformats.org/officeDocument/2006/relationships" name="경계별 후보군" sheetId="8" r:id="R168279f8ca814f38"/>
    <x:sheet xmlns:r="http://schemas.openxmlformats.org/officeDocument/2006/relationships" name="시간 검증" sheetId="9" r:id="Ra959051690b94806"/>
    <x:sheet xmlns:r="http://schemas.openxmlformats.org/officeDocument/2006/relationships" name="판정 기준" sheetId="10" r:id="R7642475dd4744937"/>
  </x:sheets>
</x:workbook>
</file>

<file path=xl/comments1.xml><?xml version="1.0" encoding="utf-8"?>
<x:comments xmlns:x="http://schemas.openxmlformats.org/spreadsheetml/2006/main">
  <x:authors>
    <x:author>tc={2C8CB16A-DA9A-4A17-AD38-6F3948C89DE1}</x:author>
    <x:author>tc={5B1AF398-40CD-42A2-91A1-475D59A17D88}</x:author>
    <x:author>tc={9F075416-05DE-4E2E-B568-1664E7EB8620}</x:author>
    <x:author>tc={2C158AF7-00B5-4E6D-90CA-11816A18D1B0}</x:author>
    <x:author>tc={467A0D2C-BE6D-4A99-A929-25539AA382DD}</x:author>
    <x:author>tc={DB2F3F76-584C-4F99-BAFC-79E6AC9EB649}</x:author>
    <x:author>tc={C7C2481C-A70E-43CE-84EA-085BBB4D5B60}</x:author>
    <x:author>tc={000B6FA3-8179-4F70-A12E-B21BCC4C0DFD}</x:author>
    <x:author>tc={187585D7-DFFE-4D11-8F0A-81B5115C9FDE}</x:author>
    <x:author>tc={C9C766D4-D21D-4351-B77A-F7479B1E96F6}</x:author>
    <x:author>tc={865034B8-7B45-44CE-A485-09D20745DA31}</x:author>
    <x:author>tc={173B12B5-748D-420A-BE97-C36CF549F019}</x:author>
    <x:author>tc={70710D8B-3271-4548-A425-9B18767616FB}</x:author>
    <x:author>tc={7CF1D28B-4691-46CF-A18E-AB2FBC82F1A8}</x:author>
    <x:author>tc={5F2E06D1-DF03-4F84-8198-0BC80A3045EE}</x:author>
    <x:author>tc={9E52E1C8-DCA4-4B89-BCBD-F9E1FC20684A}</x:author>
    <x:author>tc={DB5353CB-E638-4896-A17B-281CF4577040}</x:author>
    <x:author>tc={B0685392-D1D7-41C7-ADCE-5622BFCCE7C8}</x:author>
    <x:author>tc={FF2D2343-BF5F-46DF-B801-A228B8543BFB}</x:author>
    <x:author>tc={4F93B6D4-4E6B-4EA5-9184-8407AD289ADB}</x:author>
    <x:author>tc={BAE84D55-1AB7-4CFD-90B0-16D669E3E4FD}</x:author>
    <x:author>tc={84CE5FC0-42B3-4802-9C1E-FC81F1014E7F}</x:author>
    <x:author>tc={9E230B78-20FF-4768-8CA1-047F534D7037}</x:author>
    <x:author>tc={FA32AC98-3CD8-406B-85C4-0A3A03D37213}</x:author>
    <x:author>tc={1D0EED76-0CAE-4CDB-B4D1-3088773A2DD8}</x:author>
    <x:author>tc={7C0BDA78-FAD9-4C0A-A581-6071AC455854}</x:author>
    <x:author>tc={B30FA0B6-B420-45BA-BCFC-E65BC228C3EE}</x:author>
    <x:author>tc={4430108E-C322-4CB6-9A05-1E481194EB5C}</x:author>
    <x:author>tc={C966C105-E810-4CBF-94F7-FA5FE259456D}</x:author>
    <x:author>tc={60E42279-8EFB-450C-8187-96C0FA15EB3A}</x:author>
    <x:author>tc={D0D6DC9C-1E61-4E0B-AC7E-002BF9FCB4E5}</x:author>
    <x:author>tc={E6879D0B-C517-4D2F-B794-19D4BA144DFB}</x:author>
    <x:author>tc={16C6E2FB-D013-4D94-ABD4-9511C81EA00C}</x:author>
    <x:author>tc={6B53FA6F-F8BF-40E5-803B-264C1893E35F}</x:author>
    <x:author>tc={B004F4F5-1967-4B00-9069-7B9D773001AC}</x:author>
    <x:author>tc={D40DCB43-4F9C-4B66-8CC8-1791E61502EE}</x:author>
    <x:author>tc={29142A24-7715-4F48-A161-64C683E0BAAD}</x:author>
    <x:author>tc={7E744A1F-EBE8-41D7-A5C3-5F667B0ADA37}</x:author>
    <x:author>tc={9B03C4D1-5D28-44BD-9496-5905FAE16E8B}</x:author>
    <x:author>tc={C191A7C7-5A03-4A2A-93D6-64BA663736F9}</x:author>
    <x:author>tc={982FDC1B-C010-4F65-A0E5-16C90CBECF3C}</x:author>
    <x:author>tc={EA4AA829-641B-4326-A514-E9FA68BDF0F7}</x:author>
    <x:author>tc={E6284A81-D80E-4EBD-97A2-D127ADFF0EC1}</x:author>
    <x:author>tc={DE19806B-7176-4A8C-93F1-A71E1D6A3C34}</x:author>
    <x:author>tc={3CEA1843-5971-4539-88FD-B22768D6F4BF}</x:author>
    <x:author>tc={1C653E2A-2A06-4696-B859-80F73322C6EF}</x:author>
    <x:author>tc={930B8DD5-9D7D-4BB0-A62C-8A612BC7A0C4}</x:author>
    <x:author>tc={8AED6BF5-8A22-485F-9666-17F64572DF57}</x:author>
    <x:author>tc={89859E45-5BC2-4E1C-B811-8E0B6F43AED5}</x:author>
    <x:author>tc={431D380C-3F16-405F-AA48-972936F91954}</x:author>
    <x:author>tc={9AD3CA7B-63FB-4318-B9AE-293E377172AA}</x:author>
    <x:author>tc={41055A77-FD80-4A03-A7B9-B32B0A10950D}</x:author>
    <x:author>tc={AD4690F3-86CD-4651-A164-BDCEDB2CDA0A}</x:author>
    <x:author>tc={494AD5DB-658A-402B-8B63-C2C1EA84C61C}</x:author>
    <x:author>tc={C1C35309-E67A-4FD4-8C37-CC0861A0D12D}</x:author>
    <x:author>tc={5D684719-DA74-4EAE-A7CB-FF8932264C0A}</x:author>
    <x:author>tc={03E91397-60B8-44BB-BB12-76D0AAA73C4B}</x:author>
    <x:author>tc={10602883-7264-4ED5-A749-32407ED1494C}</x:author>
    <x:author>tc={331D9E24-8777-4919-A14B-31A716DFCCB8}</x:author>
    <x:author>tc={1B9404D9-8A1C-4724-AD40-70F97571A0E0}</x:author>
    <x:author>tc={CBED4030-8A61-4BBC-91DC-A018E1E8E887}</x:author>
    <x:author>tc={31E18756-BBEA-4191-BCC8-97063361CC35}</x:author>
    <x:author>tc={70E7E4A1-D602-443D-B6CD-E9AF0ED5D942}</x:author>
    <x:author>tc={BD66D6ED-1711-49F7-B124-B6FB9B7FC809}</x:author>
    <x:author>tc={25FA6716-9E96-4D8D-A217-0E8AFFD9FBE4}</x:author>
    <x:author>tc={8172D6B8-2392-4587-BEA7-EA17E3CBD574}</x:author>
    <x:author>tc={0C85C222-334E-4323-AB39-5716AB20F079}</x:author>
    <x:author>tc={4656720E-2B23-46D5-B1C0-4AD2B3D49E00}</x:author>
    <x:author>tc={F1982F4C-8F51-47BF-94ED-6682C26EDFE6}</x:author>
    <x:author>tc={11785A75-D40D-4544-AD16-BFA43395ED8B}</x:author>
    <x:author>tc={30C8448D-5944-4B06-95FA-1490AE4140EB}</x:author>
    <x:author>tc={E0E2A920-D844-488E-8565-F9A2F8417138}</x:author>
    <x:author>tc={1F4E5F08-742C-452E-AC3C-3EA51E97B96F}</x:author>
    <x:author>tc={B81DF2E4-E4E6-4D5A-AE2C-DE3D1D6FF736}</x:author>
    <x:author>tc={8817197B-E7A6-47B9-85CC-95674D7F2531}</x:author>
    <x:author>tc={F134A906-1F81-4FCD-87D4-EF5F6FF15520}</x:author>
    <x:author>tc={93DD96F7-A6CF-4657-A114-7A953626B303}</x:author>
    <x:author>tc={5D2E219B-B33B-46C3-B799-EAA38E660E7D}</x:author>
    <x:author>tc={87D785CC-73D8-46C0-8FDC-D6FE12FC2289}</x:author>
    <x:author>tc={EF29343D-3CD1-446E-BC0C-10BFD4D64455}</x:author>
    <x:author>tc={DAE2DACB-91D3-4B9C-A30A-2F103EE78C2B}</x:author>
    <x:author>tc={1583C1F8-8CB1-48E4-80C9-D9C7DB8BD7E9}</x:author>
    <x:author>tc={D8F20E45-79AE-4140-BE50-F9AD022BB776}</x:author>
    <x:author>tc={582FEDCF-1810-4521-9EDD-B5AE2980757C}</x:author>
    <x:author>tc={14E0E54A-3EC4-4256-9F40-87EBBF7F94EE}</x:author>
    <x:author>tc={1DD0472D-1D7D-4C49-9C39-DB66B2094055}</x:author>
    <x:author>tc={93C6192A-E12F-44D3-BE5A-F8A8A22FD448}</x:author>
    <x:author>tc={725F06AF-C532-41B5-B095-9C428521CB28}</x:author>
    <x:author>tc={D4A4C6FD-B742-48EA-A017-F5901C5EADD8}</x:author>
    <x:author>tc={5C860685-402D-4369-A0F3-15EA536C81CC}</x:author>
    <x:author>tc={362B6CA4-6735-4975-9B77-46770B24E8C7}</x:author>
    <x:author>tc={7EB098FC-4661-4F99-884C-1C6A13727746}</x:author>
    <x:author>tc={14B3E653-1255-45B8-A74E-6212CB820E59}</x:author>
    <x:author>tc={ED79C022-D444-4B41-8F9B-2640C36B4C86}</x:author>
    <x:author>tc={E7C7EC8B-8363-409B-9D84-5B1B029F9DED}</x:author>
    <x:author>tc={611129C8-A672-4984-B34C-5A7B680CA874}</x:author>
    <x:author>tc={91785500-F5D2-4916-AB11-002E469A0406}</x:author>
    <x:author>tc={BB6988DA-B79C-4A7E-90CD-FA93698C93AD}</x:author>
    <x:author>tc={96A15A02-515D-4662-8C21-44901B2EEF29}</x:author>
    <x:author>tc={0B492B2D-11B5-4030-8421-B8A5B7409B1B}</x:author>
    <x:author>tc={6E70D0AE-0D6B-4FA1-9A59-A06081EAC9A8}</x:author>
    <x:author>tc={97B9C9D9-E5D8-4B72-8055-F0ED03FA92A2}</x:author>
    <x:author>tc={67F7E210-91E2-467B-ABC9-07E6F4696779}</x:author>
    <x:author>tc={4501ECE6-9EEF-41F3-8AAE-6FED73239361}</x:author>
    <x:author>tc={0373AA18-2270-4E62-B575-5A1BD89473B6}</x:author>
    <x:author>tc={916E67E3-3588-4563-9025-D058846E73BD}</x:author>
    <x:author>tc={4F5729FA-A749-45B7-ABD6-DF86D558D996}</x:author>
    <x:author>tc={3B1E3E44-F113-4559-B6A4-06B91738A607}</x:author>
    <x:author>tc={0C2556F8-B5B3-4B2B-82B5-1D5B8318A538}</x:author>
    <x:author>tc={CE3A5122-F2A6-4A76-A522-8616715D81E5}</x:author>
    <x:author>tc={93F8F8EF-9685-4A8B-AD03-0DFA9A8E916C}</x:author>
    <x:author>tc={7746711C-9567-4D64-87B1-DEF3F8AD9667}</x:author>
    <x:author>tc={FDB82B4D-C389-422B-8CF0-9354F0043F8F}</x:author>
    <x:author>tc={6843F119-7F65-4ABF-9A0D-F4C1CC5D6EFC}</x:author>
    <x:author>tc={24EC96C4-CFDC-4866-B036-94561AB4C334}</x:author>
    <x:author>tc={A829E5E2-63B2-422C-B892-4CB912FD4FBF}</x:author>
    <x:author>tc={51147145-DC93-45AC-B334-ADA9722F345C}</x:author>
    <x:author>tc={BE40B45D-0250-41E4-9C1D-C7A9FA5B847E}</x:author>
    <x:author>tc={DF524A52-E616-424E-A101-0B4349C75082}</x:author>
    <x:author>tc={79FD7273-13F5-444B-BF24-91C1A82F981D}</x:author>
    <x:author>tc={77233BD1-5C6B-4368-AAD9-9D6E8D349B44}</x:author>
    <x:author>tc={1BDC4006-F276-4DB4-80C8-C5AA326FE2D2}</x:author>
    <x:author>tc={66F935E4-C9B7-435B-B239-63AA46A05F10}</x:author>
    <x:author>tc={4BDDC601-DB4D-4CC4-909F-13D75E429DD9}</x:author>
    <x:author>tc={77F9A31C-DC58-4BB5-9677-1B4276D36A60}</x:author>
    <x:author>tc={2BFB05DE-33EF-4D1F-9C8B-121DD41DCCCA}</x:author>
    <x:author>tc={DA72A30D-3CE1-445D-A4C5-F1D75D932F3E}</x:author>
    <x:author>tc={A4322603-EE72-44FE-9709-D892160F96E3}</x:author>
    <x:author>tc={A8BF3B51-6AE8-4F47-891B-163291FF247D}</x:author>
    <x:author>tc={D91CC8FF-9A0E-4272-93D3-6BD8CE2CE663}</x:author>
    <x:author>tc={2E7757B3-2880-4DCD-92E8-7EC0FD7A6028}</x:author>
    <x:author>tc={1F184D7A-B7A9-4691-8985-B8450FA02A18}</x:author>
    <x:author>tc={ED72EF43-FD0A-4468-90E2-5FE0F11A2268}</x:author>
    <x:author>tc={11C2F8D4-CADB-42D5-8FF0-0BF4059B70B2}</x:author>
    <x:author>tc={8156B178-02D3-476F-90C0-92C88A01418A}</x:author>
    <x:author>tc={B4A7B206-0C0D-4020-80CC-D71407FFC809}</x:author>
    <x:author>tc={0CC6B322-3F06-492A-AA93-5FD4CE43DA9F}</x:author>
    <x:author>tc={E69CE133-0605-4535-A94B-A2EE07CBD892}</x:author>
    <x:author>tc={9DE366AA-F083-4566-ABF0-588102E03915}</x:author>
    <x:author>tc={F409EA54-A8DC-4A4B-A955-E9AB272B3B2F}</x:author>
    <x:author>tc={2C5B1FCB-A71F-42A7-958B-F985AB6E0A8C}</x:author>
    <x:author>tc={D3DE11B6-5EB5-4A8D-AC1D-1ED2F65C6D1F}</x:author>
    <x:author>tc={DC2D8885-705B-4646-BAE6-2BB3BD794446}</x:author>
    <x:author>tc={9DE19962-D255-4C15-9301-B33E83AAF455}</x:author>
    <x:author>tc={77AC19F4-CB11-4081-9FF8-BE360D092EB8}</x:author>
    <x:author>tc={1699253A-5CA3-4AF4-BE75-C639D080C2CB}</x:author>
    <x:author>tc={9E234BAC-52DF-40B5-8495-D0A7C009AE95}</x:author>
    <x:author>tc={E5F436F9-47F9-43D7-A7D6-6D8080D0E006}</x:author>
    <x:author>tc={AF7F7FB7-0EC9-4740-A505-A9ADFA8E583C}</x:author>
    <x:author>tc={F1F1FCB8-A701-4A84-84DC-2ABC4C71FFE0}</x:author>
    <x:author>tc={9C704EF7-C3D5-4ECB-B4A4-BD4187454E86}</x:author>
    <x:author>tc={10B14BED-FE6E-4253-BCB3-5BF8D6B0D77E}</x:author>
    <x:author>tc={F9AB989B-65AF-4337-B967-B8922C53B49D}</x:author>
    <x:author>tc={431A3147-454A-4363-960B-F154D20A8FA0}</x:author>
    <x:author>tc={A15FCCAA-8124-441B-BE2E-E1D02AA92A0C}</x:author>
    <x:author>tc={3B45A390-0BAD-45F5-AA7F-23743147624E}</x:author>
    <x:author>tc={1BA80C52-6B7C-4AE0-9AA4-2440B3E163FD}</x:author>
    <x:author>tc={0F05F62F-FEFF-47F2-A150-0EB1DD3DAFC7}</x:author>
    <x:author>tc={F3378D41-DCF9-4DDA-94B3-D3ED4DCD3FD4}</x:author>
    <x:author>tc={7A73B60F-4D22-432D-8D6C-254D4DFC71F5}</x:author>
    <x:author>tc={F34C51F7-5C63-4380-9F41-7A01B0104A53}</x:author>
    <x:author>tc={99EBF28A-10D6-4EE5-9468-5E245323BDFB}</x:author>
    <x:author>tc={E6FB64F1-4C0F-41BE-9FA4-387A02017B82}</x:author>
    <x:author>tc={FC2BE0D1-A4F5-4CB2-8484-A1EE7C01B054}</x:author>
    <x:author>tc={D75C0646-61BC-4F58-8F77-39592D72F5BD}</x:author>
    <x:author>tc={DCEBE56A-49F1-47D4-B7E8-B8E960ED5287}</x:author>
    <x:author>tc={1D6EF99A-16D1-4D95-98B8-8A3620C06E0B}</x:author>
    <x:author>tc={1B1898C5-CC70-4EAB-9D6B-6D8175491891}</x:author>
    <x:author>tc={040AED36-EBCC-40C7-B16B-25AF2AD3F8F0}</x:author>
    <x:author>tc={BAA517BF-98A1-4084-89CF-5D68AA7FD171}</x:author>
    <x:author>tc={45EFF2DF-7BBB-496B-9A55-42BA54526F59}</x:author>
    <x:author>tc={6D35B0C8-005D-4CB2-9712-F799B41558E9}</x:author>
    <x:author>tc={88F4D600-15C9-4ADB-A071-DCF4DF0B5E96}</x:author>
    <x:author>tc={2DA440C0-D278-4B09-B9AC-3C95347F5A72}</x:author>
    <x:author>tc={18F0C232-9CC0-4922-9069-C0CD649518B7}</x:author>
    <x:author>tc={D0A60413-F2F6-409E-BF09-953960930621}</x:author>
    <x:author>tc={E3F9718D-F6BC-4C8E-B213-BF0AFC2E4BE5}</x:author>
    <x:author>tc={0AA5FB0B-41BF-4ECB-A68A-3BF175DF413C}</x:author>
    <x:author>tc={B052A4FD-C6E7-4338-AD4B-B7A44287E6DF}</x:author>
    <x:author>tc={10A2DCBF-0F2D-4447-8C0F-FA468F446CD9}</x:author>
    <x:author>tc={3287AB9C-34BA-4EDA-AC59-64BCBAE3B548}</x:author>
    <x:author>tc={38932122-65FE-486E-8B86-6AAA3189923B}</x:author>
    <x:author>tc={C0CE0C19-50F8-4323-A68D-3EA64A3CE4E6}</x:author>
    <x:author>tc={A23C26A2-BAAA-4A59-9353-AA1D08674D7F}</x:author>
    <x:author>tc={8455F5B0-1464-4E4D-A631-4D3F8EA6D406}</x:author>
    <x:author>tc={6FD292EE-1376-46C3-B37B-78E19908C351}</x:author>
    <x:author>tc={45E6AD50-FC23-4A28-A6F4-FAD50FCA0D16}</x:author>
    <x:author>tc={F97EC642-6ECC-4ACA-870D-84272FC8A2F0}</x:author>
    <x:author>tc={E4CA1D0B-117C-4600-B4D0-715CD3B0ACC2}</x:author>
    <x:author>tc={942E0598-1307-4803-8375-C398C2413B2B}</x:author>
    <x:author>tc={C40DEC83-55D2-40F5-99AA-30950D8EA787}</x:author>
    <x:author>tc={91B045A5-B0D3-4FC6-A4E1-73EBC62F56FB}</x:author>
    <x:author>tc={15CC3DAF-8E2F-45FF-8539-5783053DB552}</x:author>
    <x:author>tc={B463B598-E1B5-4A01-B6F4-4ADFFED0DB8E}</x:author>
    <x:author>tc={94861B56-5709-435D-A37C-B1EA6FC0FD28}</x:author>
    <x:author>tc={14271362-0DB1-4AB8-90A3-56C59AE5625F}</x:author>
    <x:author>tc={99EE8E38-0750-4D15-8D2A-1D9739B04B90}</x:author>
    <x:author>tc={08EE5655-E717-4580-96F1-5FBC7DF788DD}</x:author>
    <x:author>tc={040C3E30-9CB1-4141-A93F-1D4DC2EC0041}</x:author>
    <x:author>tc={A7AA1E64-CD56-4DEE-91DD-EE61007F8D69}</x:author>
    <x:author>tc={67CD4E19-2A0E-4F20-9063-E5C710625430}</x:author>
    <x:author>tc={A148CF7C-FE72-4383-8190-238E666B8261}</x:author>
    <x:author>tc={40ED569A-DCEF-4210-9557-8F757274697F}</x:author>
    <x:author>tc={E437682B-36B3-4F42-8FBC-0F671C52F1D7}</x:author>
    <x:author>tc={1DF438FD-AE96-435F-89D9-FF5F2072CE42}</x:author>
    <x:author>tc={FF412567-3365-4041-942B-7B3349344EA2}</x:author>
    <x:author>tc={55BF8E2E-9C82-4153-AFEB-E5B06E7726F4}</x:author>
    <x:author>tc={DEFBD0E3-6189-476B-8F85-925ED5589109}</x:author>
    <x:author>tc={E21F81F1-93E6-4734-BD78-28489AA69C9E}</x:author>
    <x:author>tc={3DAF39E9-014E-4B44-ABDA-FA3E3A6E760C}</x:author>
    <x:author>tc={222D9767-363A-4643-B1F7-A16CAA58DBC5}</x:author>
    <x:author>tc={DA3D9E75-D343-431F-A6F6-A01E7EC9447D}</x:author>
    <x:author>tc={E9960C32-2B16-4631-8FF3-D2C75FBF0923}</x:author>
    <x:author>tc={F8A521E5-EBAF-4914-A331-69F604357A9F}</x:author>
    <x:author>tc={5D424017-ABE1-4850-8D16-F68B4AB85F05}</x:author>
    <x:author>tc={C4E0F7D2-F5B5-4FB1-BCFC-E6CF6812F6D7}</x:author>
    <x:author>tc={D7F165DB-DC6B-4DCB-96F4-49AC12246DAD}</x:author>
    <x:author>tc={6B1BEE2F-5FCD-4732-AAC7-7DE723BF4BEB}</x:author>
    <x:author>tc={DEC77534-8ED0-48C9-B641-8343A3E31825}</x:author>
    <x:author>tc={F92E7CE8-88B3-48D5-8270-6FF073636E99}</x:author>
    <x:author>tc={A75F5098-36AA-48B6-BDC5-D126D6A05E8D}</x:author>
    <x:author>tc={4490DF1C-27B0-4560-AC62-A8A26F3516D8}</x:author>
    <x:author>tc={9504AAFF-1472-48E2-B2C7-F5520E3F36AE}</x:author>
    <x:author>tc={A5920525-4972-41DA-A0BA-1B0601525C60}</x:author>
    <x:author>tc={95279D05-EFE7-43F3-B198-868416815801}</x:author>
    <x:author>tc={7D290A16-9BE8-492B-B215-47F6E82E4DD3}</x:author>
    <x:author>tc={38ACFEC3-2192-4AE1-88CC-D303496D85E0}</x:author>
    <x:author>tc={754D78AE-B806-4D4B-BAFB-2762FDC8AA99}</x:author>
    <x:author>tc={806F8E92-16F2-4BB1-8496-2C5C87B43D4F}</x:author>
    <x:author>tc={71524C18-5A89-4A33-8CB5-5AF10DA43FFB}</x:author>
    <x:author>tc={06D8BDD1-62BE-4C8C-A427-2BD63599CF68}</x:author>
    <x:author>tc={BB32E4AA-42ED-4F1E-82EA-C3A35F025C07}</x:author>
    <x:author>tc={0666FC5F-4019-41B0-83C8-6648C58CAA30}</x:author>
    <x:author>tc={D21810DD-3AE3-4A69-8D3D-6D514A4BE4C8}</x:author>
    <x:author>tc={62F5BEE8-0806-47DD-8F2B-A44306F64340}</x:author>
    <x:author>tc={CEBE5F67-C4B5-4444-B77D-A94DBBD37D12}</x:author>
    <x:author>tc={53816454-BC3E-416D-96F8-B13AC6D6A333}</x:author>
    <x:author>tc={9C47AD08-9F35-4A65-8903-4BA57DB87B95}</x:author>
    <x:author>tc={408E8A3D-52B8-461E-A321-2CA3F1984DFC}</x:author>
    <x:author>tc={7291EF89-57D6-4203-BA34-DD0D49DD0652}</x:author>
    <x:author>tc={A8971FE6-E479-4047-B48A-C9EE58E3CA63}</x:author>
    <x:author>tc={ECD59A54-22FF-4CE2-83D7-ACB7309C6208}</x:author>
    <x:author>tc={9D23674C-ADCE-401D-9D89-76C94D004D87}</x:author>
    <x:author>tc={2AC0C5CF-294C-49A0-979C-27F16DF3EBB2}</x:author>
    <x:author>tc={4D19C5D7-F189-4884-ACEF-9E4485ADF119}</x:author>
    <x:author>tc={8683290E-0DAA-4A94-AE44-7227F978DB54}</x:author>
    <x:author>tc={660BAC66-12CE-4FE7-AFB0-FDCFD683F72A}</x:author>
    <x:author>tc={17B467AF-1AC7-40D4-87A8-13F481AB6B0D}</x:author>
    <x:author>tc={3F32350B-E0B9-4CFC-B7A9-F0773C0060E0}</x:author>
    <x:author>tc={B48CD87C-74AD-43DB-965E-8C590D74819C}</x:author>
    <x:author>tc={9F18EB41-843A-4309-8DE6-C79EC6F18E89}</x:author>
    <x:author>tc={9EA8CEC0-E8EB-4384-BE26-898E3DB7B6AD}</x:author>
    <x:author>tc={C74FFEF0-77F3-4E5B-8DE0-C2C9D09C550A}</x:author>
    <x:author>tc={F336B5E9-2491-421D-BF30-FDE1C3DEC469}</x:author>
    <x:author>tc={31CEEEB6-0D9A-49BA-9A5B-C0C68F5ED763}</x:author>
    <x:author>tc={D6A40F1C-470B-4BA7-A761-B9B393C915B9}</x:author>
    <x:author>tc={054F149D-C58B-4E7B-8781-C7E184017C40}</x:author>
    <x:author>tc={5EABB893-9414-4222-B6FC-3410EA9C2E7D}</x:author>
    <x:author>tc={90827B74-BB5B-4FFC-8D77-6CCA720211B5}</x:author>
    <x:author>tc={C6F4B7DD-1DF5-4849-ADB1-385E8C816F53}</x:author>
    <x:author>tc={A199C3B5-2AC1-43E8-8008-7FE27A2A72CC}</x:author>
    <x:author>tc={973B6114-F819-424D-9AB5-BDF748F2E858}</x:author>
    <x:author>tc={823DB410-D422-40CE-8220-53F17A5E97F6}</x:author>
    <x:author>tc={E8E32E17-B803-4350-9DEA-9AB2DE1CBC06}</x:author>
    <x:author>tc={88095EE6-5363-4560-9484-F3301FB226CE}</x:author>
    <x:author>tc={0E9B7A12-E970-4491-B10D-5C54D78EC97F}</x:author>
    <x:author>tc={96918ED5-50C9-4BF6-9E3A-8A993721F096}</x:author>
    <x:author>tc={DB977194-0162-492A-AF4A-33A5437625E4}</x:author>
    <x:author>tc={5235B956-F857-48AD-A213-60A81A540BD6}</x:author>
    <x:author>tc={E6356B86-1266-4A3A-B4CB-FB52598882FE}</x:author>
    <x:author>tc={6F1E65D3-0E41-4D01-A12B-899EF07E8288}</x:author>
    <x:author>tc={128CD394-FCC4-4A6E-9441-D64A9F091A30}</x:author>
    <x:author>tc={6A2A4C18-C572-4B21-A35D-16602BC58789}</x:author>
    <x:author>tc={9EEC9F91-1FD5-4447-99F8-3A722D5B891B}</x:author>
    <x:author>tc={7843C57D-CC43-427E-A00E-A15E2F155F0D}</x:author>
    <x:author>tc={B350CDDB-47FF-4149-8309-1135B3D8F3A6}</x:author>
    <x:author>tc={A2C60372-D83A-4F13-B281-F4505E93FFF9}</x:author>
    <x:author>tc={10EA8342-5B08-4DFF-80C0-1358254B5B40}</x:author>
    <x:author>tc={92183107-3173-4040-A2FB-FF00FA2B574E}</x:author>
    <x:author>tc={1D92953C-CBF2-4A35-8DBE-DD1A3FC36E98}</x:author>
    <x:author>tc={70977317-2BD1-4B53-AD5B-54CF9D7E0EC8}</x:author>
    <x:author>tc={1FF6C06A-FFA2-4B44-BB18-2B2ACEB9DEA3}</x:author>
    <x:author>tc={C411EE33-6C98-4123-A425-A1A9A5C54045}</x:author>
    <x:author>tc={3560B877-A9F8-4A22-8C06-8C206F3C1857}</x:author>
    <x:author>tc={0B8F26B0-CC2B-4BE2-9ACA-77FEECC6B93E}</x:author>
    <x:author>tc={DA27FF74-0D56-430E-A195-A231862A42F4}</x:author>
    <x:author>tc={D9E726A4-8C92-498E-8BF1-716A67EB81F4}</x:author>
    <x:author>tc={8049D1A9-2801-4C23-8CD8-94F59479CA38}</x:author>
    <x:author>tc={F43AD8CB-2080-4C5E-8FC3-D8B9B77C010F}</x:author>
    <x:author>tc={B99B0FC4-687F-462A-AA45-D0A36D3E175D}</x:author>
    <x:author>tc={138FDFC3-18B5-4525-849A-C112E60D498E}</x:author>
    <x:author>tc={5DF6F12B-A15A-443B-88F2-F9480FD3C7AF}</x:author>
    <x:author>tc={8D2094FF-C8B3-429D-B67D-B854AAD749DA}</x:author>
    <x:author>tc={C8A0B72B-1197-4C70-B098-E6A0E84258E3}</x:author>
    <x:author>tc={54BBA0E3-476D-4F42-8845-9E20EF261A62}</x:author>
    <x:author>tc={DEB7C336-2B10-4C5A-ACD6-0CE875D87481}</x:author>
    <x:author>tc={39494EFD-E57E-4E77-A1D6-4A819E384E35}</x:author>
    <x:author>tc={151A1566-C20D-4898-AFD8-E226C514A9D8}</x:author>
    <x:author>tc={884ACBEE-9848-4902-98DF-6AD9EDF555F2}</x:author>
    <x:author>tc={8B8D7365-49B5-4F66-9BDE-6F62204006A0}</x:author>
    <x:author>tc={9C53AA58-00AE-41DE-9E9E-544F918F8F67}</x:author>
    <x:author>tc={FEF4BD08-92F0-4E25-AD00-B9482E64A605}</x:author>
    <x:author>tc={6C5E5E5C-2FF1-4342-99CD-63BCF90DAFEB}</x:author>
    <x:author>tc={DB70CCD6-8214-4934-A926-578FBA7E653D}</x:author>
    <x:author>tc={DF2F053C-E5BD-4902-826F-97BBCFBD154E}</x:author>
    <x:author>tc={F3A01472-EA35-40A6-BA49-6EE396A078C7}</x:author>
    <x:author>tc={9F0FDBA3-D788-413F-8C76-A13975591502}</x:author>
    <x:author>tc={2E747120-55C6-4DD0-909F-478B7FED1EC8}</x:author>
    <x:author>tc={9959C332-9814-4F69-ABE3-0C646513C36C}</x:author>
    <x:author>tc={8357A196-021E-4BAB-B53C-F86FBAB83F7E}</x:author>
    <x:author>tc={D9D98BE7-00DF-49B1-A2E7-4D5F791313E5}</x:author>
    <x:author>tc={246491A6-C1B6-43C1-AA08-B8F8955236DC}</x:author>
    <x:author>tc={C9D5AAF6-A767-4579-808C-B126A8B1B6D9}</x:author>
    <x:author>tc={2CBFB10F-E3DE-41B2-AB34-8EE6CACD4993}</x:author>
    <x:author>tc={54B1E9EC-FF88-4EA5-917B-C50FEA68786A}</x:author>
    <x:author>tc={89D156C9-F7DE-4CE4-885B-68E9AE1F8260}</x:author>
    <x:author>tc={9A306EED-31DF-4E79-8E8C-0ADF6C468CF5}</x:author>
    <x:author>tc={43F5355C-57E0-4607-9F22-DCD5CF0A3025}</x:author>
    <x:author>tc={C2EBE3EC-E00D-4E3F-A7D9-4BC358099F21}</x:author>
    <x:author>tc={2189ADD1-E375-447E-ADFF-1415DD9A176A}</x:author>
    <x:author>tc={9FAB2273-256A-42FF-8C63-7630DDF3520D}</x:author>
    <x:author>tc={7EDCE4F3-53BD-4A76-8554-D2C7ECD0736B}</x:author>
    <x:author>tc={4ACE59C5-349C-4750-921C-91005751AC72}</x:author>
    <x:author>tc={6B3A97B7-1419-452B-9028-2237306F0233}</x:author>
    <x:author>tc={89BF72D9-3C37-4271-B9CE-95862E22EF8E}</x:author>
    <x:author>tc={7F2E70DD-3ED7-42CD-A38C-C9AB4EE7CE0E}</x:author>
    <x:author>tc={9CF5C8DA-837B-4CE2-8964-1A605DCAE7B8}</x:author>
    <x:author>tc={8CB5569A-1D0A-4290-BD2E-31C0D4C3DD81}</x:author>
    <x:author>tc={AC0E5265-7EF3-421E-8FD0-E22126EDD58E}</x:author>
    <x:author>tc={BD116BF4-2E6C-4B37-BF95-EE7AD7C096FF}</x:author>
    <x:author>tc={002BADC3-DE42-467B-A0BE-3BD210B59DF2}</x:author>
    <x:author>tc={EE4C3954-5E42-4EDD-92ED-3377CE571FEE}</x:author>
    <x:author>tc={AEA8BD9A-7DE8-4A4D-897C-91378D65E93C}</x:author>
    <x:author>tc={5FBCA6F5-F258-4BDD-8237-BC73CBE65F20}</x:author>
    <x:author>tc={B0B90604-0C8F-4351-9D67-3893DC99C314}</x:author>
    <x:author>tc={7F2112AD-2C90-4214-972B-A29205D71C9A}</x:author>
    <x:author>tc={C9DD672C-B5EA-41C9-A4BF-3E4DD26AD7E4}</x:author>
    <x:author>tc={466A5FA5-FADB-4BF3-9C4F-D431D28F7718}</x:author>
    <x:author>tc={57EB7FF9-A71E-4DAB-806D-58A778697BB1}</x:author>
    <x:author>tc={0458BA1D-8AD6-4DD9-A6F1-289CDBF6C264}</x:author>
    <x:author>tc={05416A30-E09A-479D-AACA-909B768FBA09}</x:author>
    <x:author>tc={BCECB668-514F-4FCD-B9E2-5E9A4ABF6B91}</x:author>
    <x:author>tc={4A36604C-622C-4886-B89D-261AFAF12DEC}</x:author>
    <x:author>tc={7D57AE4E-8BB7-460C-BEFE-8886BDA9FF6C}</x:author>
    <x:author>tc={887B7D94-4D7E-45C1-A963-A1659357E4C8}</x:author>
    <x:author>tc={0D50C6DA-0EBD-4838-BE07-DEC2557B7E66}</x:author>
    <x:author>tc={4A477825-67E2-4B9C-81CF-E81E0C87FB63}</x:author>
    <x:author>tc={B5730D60-782A-4C20-940E-C31747B583B3}</x:author>
    <x:author>tc={25F59B36-8C18-4441-8F8D-25A4BEAFCC08}</x:author>
    <x:author>tc={B2120DA6-0B0B-4BD5-903E-CFBF723D45FA}</x:author>
    <x:author>tc={B7D280F2-886E-4B48-AE19-AA2479207F06}</x:author>
    <x:author>tc={C96B1ED5-84B4-4000-AA29-4129E39F9924}</x:author>
    <x:author>tc={743236FB-D533-49BD-8AFC-105C36F4F9BE}</x:author>
    <x:author>tc={3F6C1C90-668B-4AD5-9E95-77D436B486F1}</x:author>
    <x:author>tc={35E6D46E-797D-419D-961F-023CB41D0438}</x:author>
    <x:author>tc={5FC9AD52-0863-4196-9238-AA4FDFC01F06}</x:author>
    <x:author>tc={2CC3AE8C-4337-40AC-BD1E-A8FAB32B5D31}</x:author>
    <x:author>tc={03427843-9009-40F9-9DE2-F11D6E9FC52A}</x:author>
    <x:author>tc={23773EDB-C4DC-425A-9FAE-C7C54E2503D0}</x:author>
    <x:author>tc={940256EA-3166-4486-A9DE-57A782E1076A}</x:author>
    <x:author>tc={25E6DFC1-5AB1-4AE4-BB91-6F4A3407186C}</x:author>
    <x:author>tc={B723BD0D-CD33-44C3-A1F9-73774B0E8673}</x:author>
    <x:author>tc={32563B5C-FF18-4DEE-AD75-F22AE49F2441}</x:author>
    <x:author>tc={45591620-40D0-4B1D-8567-F173FD482E2E}</x:author>
    <x:author>tc={E5789758-6754-4732-9283-0A57494F3964}</x:author>
    <x:author>tc={D352864D-9E73-43D0-83B0-1292C7A0CCC7}</x:author>
    <x:author>tc={B5B749C2-0C15-47B8-99E4-C817AC47DB1B}</x:author>
    <x:author>tc={87AE1D15-ECC7-4BBB-ACD1-288994B2BAE5}</x:author>
    <x:author>tc={09DF9903-C497-48B6-A735-B2A31D7F8C19}</x:author>
    <x:author>tc={76A738AE-B61A-4841-9824-3782AF9496BE}</x:author>
    <x:author>tc={0CF05571-410D-4330-9E8D-42EF5A89B2C5}</x:author>
    <x:author>tc={028B5DA9-72D8-43BA-AFA3-DE6379AE49FD}</x:author>
    <x:author>tc={3F474ED0-BEB1-4DC1-A02B-EC720930F207}</x:author>
    <x:author>tc={FD2BBF92-9470-4055-9A97-783547975B93}</x:author>
    <x:author>tc={08B9E056-EFA9-45C7-A5A3-9AABFF89E717}</x:author>
    <x:author>tc={EB4D9218-E806-4EB2-B566-6C06D8C17996}</x:author>
    <x:author>tc={5A5FFC52-ED91-4906-8FE0-53401F730735}</x:author>
    <x:author>tc={FA2547D8-ACF8-49E9-A66C-C4988F41B655}</x:author>
    <x:author>tc={3B33FF3E-8DAC-4DEF-9F0B-D5A47C043F0E}</x:author>
    <x:author>tc={BC5CB81C-A30B-4176-B826-E907917C1C71}</x:author>
    <x:author>tc={2DD2272F-A4C0-4063-B31F-CF06B815CF95}</x:author>
    <x:author>tc={CC492E1B-8A61-49D1-884A-F25120E9F2B8}</x:author>
    <x:author>tc={A6C4212F-DBDF-4BB4-9BA8-1F5D61E7C0D8}</x:author>
    <x:author>tc={62AB540A-7260-490D-B3A3-FB554E3E5A17}</x:author>
    <x:author>tc={9C252F5F-4426-4012-8F75-25B790EBDF09}</x:author>
    <x:author>tc={E28B99A1-16AC-4376-A72D-D9212254E600}</x:author>
    <x:author>tc={35975225-ED3B-4411-8B56-B6F810488BA9}</x:author>
    <x:author>tc={4E22151A-344C-4DFD-820B-10EB9E95B232}</x:author>
    <x:author>tc={5559B8D2-46F6-4243-A614-390DB794169E}</x:author>
    <x:author>tc={D1494C15-1A21-4668-814E-9D22A273E8D6}</x:author>
    <x:author>tc={3E05DE15-615C-475D-A838-D7E0E77466AC}</x:author>
    <x:author>tc={3120DFB7-8FD8-4F2D-924C-DFDB244AD691}</x:author>
    <x:author>tc={022B184E-F756-4A5B-B583-28400741411B}</x:author>
    <x:author>tc={9A14582B-1004-4EAB-A555-7107E38C9B96}</x:author>
    <x:author>tc={1E91ACF7-C43E-45B8-9656-97EA7E9B969E}</x:author>
    <x:author>tc={6F7738E0-1FFD-431C-BF14-71E7FE3A2907}</x:author>
    <x:author>tc={B2999B80-83F3-47CC-92A1-7DBFD6C26C00}</x:author>
    <x:author>tc={790F8966-FA2B-4C99-BAD8-8252362BDEC3}</x:author>
    <x:author>tc={4E28D2A4-6CBC-423D-A85D-F3EDC7764FC0}</x:author>
    <x:author>tc={A9241646-0466-4F91-BD3E-D1043CC8503B}</x:author>
    <x:author>tc={25C8C143-71CA-4E3A-A759-08F5A1AFC642}</x:author>
    <x:author>tc={31A2CFEB-55D6-4F7F-9E36-AC1062F14BA6}</x:author>
    <x:author>tc={4D911FD2-E9AD-4320-A799-2487D7824C20}</x:author>
    <x:author>tc={2CF6A51A-1BA9-47FA-8715-DDFB6722F745}</x:author>
    <x:author>tc={F465563B-F3F5-4230-A3FE-BCFABF282459}</x:author>
    <x:author>tc={60F13D1E-E9D4-43FA-88EA-0A64162D4D26}</x:author>
    <x:author>tc={8789BAC3-78C5-427D-B2D8-32262D4E18B4}</x:author>
    <x:author>tc={AA52A28B-1319-4391-A5CE-B7C84BE2232F}</x:author>
    <x:author>tc={6CC680B9-803E-4BFE-9E8B-319A1FB656F2}</x:author>
    <x:author>tc={9E19E68A-91AF-49A9-AA16-FB2D1CE86A7B}</x:author>
    <x:author>tc={7E64C677-E709-4ADC-8F32-B01A9AC77A1E}</x:author>
    <x:author>tc={4E7BDFCF-7245-4DCD-846D-2DEF04705CC3}</x:author>
    <x:author>tc={8AABF0CA-FA0E-4435-AAFD-DB00E7C3BC92}</x:author>
    <x:author>tc={B45FA8AF-7499-476A-8A1A-3F16CC5BA1A2}</x:author>
    <x:author>tc={E2B130E7-061D-4DC1-B71A-5E01209004EC}</x:author>
    <x:author>tc={BF7522CE-017A-4201-B41A-2C983BA2228C}</x:author>
    <x:author>tc={4C4282E4-72BC-431C-8679-A3606E03E917}</x:author>
    <x:author>tc={E14382DD-CDD1-4B38-A203-673DBE40CC93}</x:author>
    <x:author>tc={A2F9D248-F60D-49C8-86EE-874675E4E593}</x:author>
    <x:author>tc={1940AF6F-A55D-41C3-85AC-3B79B9813C9B}</x:author>
    <x:author>tc={5FE8A36A-A75D-45AD-AB41-064545823D81}</x:author>
    <x:author>tc={76A2B868-2D4A-4E80-8621-8ABB29D879BA}</x:author>
    <x:author>tc={885BDFAD-8069-471B-AD95-5C6142855CE1}</x:author>
    <x:author>tc={9B5EC453-F996-4F0D-A107-7A33EE5D9714}</x:author>
    <x:author>tc={2F3E5A56-96ED-42E0-91D1-0EF5D74E881B}</x:author>
    <x:author>tc={14671CF0-DEB1-4300-A2C9-12D0A0B4DD5D}</x:author>
    <x:author>tc={816F1EDB-6B31-43DF-B7DB-610642FFFC28}</x:author>
    <x:author>tc={463B57A6-3416-4EC9-97A4-90EB93E28B7C}</x:author>
    <x:author>tc={DF9E07C6-24AF-4D1C-ACB6-867DB5DBAF7C}</x:author>
    <x:author>tc={B4F8EE0B-7F53-4AF3-A57F-711895A884D7}</x:author>
    <x:author>tc={271734CB-2BA2-47EB-B92B-66D018A63CEB}</x:author>
    <x:author>tc={E551AC7C-515E-4B36-8C98-5419832E3926}</x:author>
    <x:author>tc={284FF6E5-7484-475E-B815-6D7A1937DA3E}</x:author>
    <x:author>tc={98EE1B6C-62B5-4DCD-8775-6F69637619CC}</x:author>
    <x:author>tc={015D932A-5418-447A-820A-FCCFC1EA9C1E}</x:author>
    <x:author>tc={081A96AC-2E8C-45C2-952B-B9017F8B64A8}</x:author>
    <x:author>tc={2D869633-BD52-4094-9119-5260FE8F8BEB}</x:author>
    <x:author>tc={6A0842D7-41D5-45DB-ABA7-33F6FCA27B5A}</x:author>
    <x:author>tc={3C9D2073-4721-4AE1-B2A2-38AB436DEB13}</x:author>
    <x:author>tc={F1C99BA0-1BB5-400C-9D7E-A04ED7BE3610}</x:author>
    <x:author>tc={B4067827-08A5-45AA-840A-5E3FAD16BE27}</x:author>
    <x:author>tc={BFF5FB48-3419-4513-B60D-60552247FE36}</x:author>
    <x:author>tc={C92BEE55-F152-4581-BCBC-178615CE908E}</x:author>
    <x:author>tc={6E7CAD80-13F6-48E1-911B-D8526CDAFCC3}</x:author>
    <x:author>tc={5FDE9F83-458D-43EB-9635-3D6A2E395561}</x:author>
    <x:author>tc={AB3E6E23-5D24-4FEE-8834-C5E3003F5C3D}</x:author>
    <x:author>tc={EE052B74-57C2-461A-9B05-1089367F0099}</x:author>
    <x:author>tc={FDB65ED8-2DE2-4924-BE83-ECA8159707D6}</x:author>
    <x:author>tc={9B6FA638-871D-4367-9ADC-A6323C7E4E72}</x:author>
    <x:author>tc={0B5E5BF1-D298-4B7E-A030-B226B9BEF257}</x:author>
    <x:author>tc={2A0F768C-1B23-4907-A4F7-647891E84047}</x:author>
    <x:author>tc={373B56EC-9844-4289-92AA-5614153191C9}</x:author>
    <x:author>tc={52F8A349-5A44-4BA2-8FC1-7AB18A292901}</x:author>
    <x:author>tc={06315C6C-7C13-43D2-B4CE-FA0C6E6D8A47}</x:author>
    <x:author>tc={1C0B317E-0FBE-4FC8-B281-A4E3934E30CC}</x:author>
    <x:author>tc={46EBEAB4-559A-42E5-B4FE-75BB2C442E05}</x:author>
    <x:author>tc={31E706E3-E221-4941-8FB4-DB8FA839E7F1}</x:author>
    <x:author>tc={29C7DD03-4541-49A9-B760-AE3B44DF00F9}</x:author>
    <x:author>tc={29A2C17B-1A9D-4A64-8B2F-A9379535CC42}</x:author>
    <x:author>tc={2F3A499C-1FEB-4BB7-BFA7-ED4BB6AC91E7}</x:author>
    <x:author>tc={C326FA53-81EC-4DA0-B9E0-68185E58BEE5}</x:author>
    <x:author>tc={2344AFE4-6BF0-477A-9482-FBB9ED5E535D}</x:author>
    <x:author>tc={B5BCFA91-3B10-44CE-B3E6-06C37D32B043}</x:author>
    <x:author>tc={863463F2-5575-45C1-934F-505742C54CB9}</x:author>
    <x:author>tc={9DE29C77-6EF9-4F88-BE91-71D1483497F1}</x:author>
    <x:author>tc={F9F3EE3C-CA95-4E73-8CE4-08BEDC5C40BA}</x:author>
    <x:author>tc={842CC61D-F5CA-4510-A071-5825DE9D10D8}</x:author>
    <x:author>tc={5D72121E-B359-47B5-8B3A-88210EAA277A}</x:author>
    <x:author>tc={F776C3C3-F4C8-48B8-B4EF-200BB3399001}</x:author>
    <x:author>tc={85A34B9C-8620-4955-B582-CA0459A8D253}</x:author>
    <x:author>tc={FCDE284F-35CA-4441-93F9-8D06008C15DC}</x:author>
    <x:author>tc={F1DF80C3-EED9-4732-9D98-34B91B232402}</x:author>
    <x:author>tc={A770A0F0-2EAA-48A9-A6C4-217D4A42F80D}</x:author>
    <x:author>tc={B9CF98B6-089F-4593-A8C5-4F3E2CC43584}</x:author>
    <x:author>tc={724D0B2B-2E5B-47DB-81E8-11EA2949A6D7}</x:author>
    <x:author>tc={8FBF5BCB-ADBC-459B-BE99-4ED8A5141547}</x:author>
    <x:author>tc={BA0C45C3-42E1-4B4A-AF33-56B06D3C5DAF}</x:author>
    <x:author>tc={C75891A5-2300-4850-8F94-DFB0E8531984}</x:author>
    <x:author>tc={5597C022-D6FF-4146-AF45-BFB37A4D3CB1}</x:author>
    <x:author>tc={D2AFA29C-DB27-48ED-A012-29DFD886DEF8}</x:author>
    <x:author>tc={7CC8B672-4397-4708-93E2-72C3EECE8F90}</x:author>
    <x:author>tc={0F1DB95F-E65D-48A9-84DC-C9EE62E48F95}</x:author>
    <x:author>tc={D64CF08A-13F8-4751-A878-B557A0DBA1A7}</x:author>
    <x:author>tc={A115347A-1043-4A6D-9850-58D847A8694D}</x:author>
    <x:author>tc={193D15B1-5A1C-4D23-B3C3-E0DE251B9088}</x:author>
    <x:author>tc={F242B061-D912-4021-9985-B665A9739629}</x:author>
    <x:author>tc={2EE28F5A-DD37-4F88-B382-9F02B258B600}</x:author>
    <x:author>tc={4C53BDE9-1E79-456C-8BA0-5B7E4F9087BE}</x:author>
    <x:author>tc={45ECA6A4-083A-4354-A2D9-D5067F8F7F22}</x:author>
    <x:author>tc={12B8FB83-BBB0-413C-80B4-BC30B0FC2517}</x:author>
    <x:author>tc={7074F5F9-DB68-4BF7-8A14-CA41518CB705}</x:author>
    <x:author>tc={F1830854-4CD1-41C8-BE26-EE305601D922}</x:author>
    <x:author>tc={7A677CF7-BF07-448C-B226-40A57B73F3F7}</x:author>
    <x:author>tc={38DBA1D9-D775-4120-A5B2-59736AC48A9D}</x:author>
    <x:author>tc={7E89ECA7-F9A1-4E3F-9C64-8C0C036040D0}</x:author>
    <x:author>tc={2A81EC57-1E4F-4D01-BA10-86ED8CEC94FD}</x:author>
    <x:author>tc={D3FDC7EE-72CD-42BD-B4B9-6B2FBDF3AA3F}</x:author>
    <x:author>tc={4659FCE5-F770-407A-8F9D-90DDA759C943}</x:author>
    <x:author>tc={7A8E2F16-3EDD-438F-92BD-981AA3DA6E83}</x:author>
    <x:author>tc={8CED81E7-FE3A-43F7-9267-2B346C8532EA}</x:author>
    <x:author>tc={BF3432BC-D509-467A-A346-39E69F70B075}</x:author>
    <x:author>tc={0A86C333-9515-47EC-B406-F95FB5E2EB54}</x:author>
    <x:author>tc={4E86108E-183C-4666-B83C-6B7266C76C2E}</x:author>
    <x:author>tc={9412AD73-05D7-45F6-8136-30211788EC6A}</x:author>
    <x:author>tc={C0318E5B-5E80-48FF-8A99-F30BB5641C76}</x:author>
    <x:author>tc={C4DF7835-7180-471C-BC16-E1BBEAE299F0}</x:author>
    <x:author>tc={D3A48327-F106-45A8-839F-EB2013CA67A3}</x:author>
    <x:author>tc={C9FCE26A-8EB0-4FD7-9702-26412423D753}</x:author>
    <x:author>tc={6D185CF2-74A6-494C-9742-ACF442705B43}</x:author>
    <x:author>tc={1A935FAC-8A68-4AAC-BC1B-2D5C6D662D93}</x:author>
    <x:author>tc={59E15B2B-7D1B-491B-9D1A-4D2BED86A740}</x:author>
    <x:author>tc={248E9147-9156-4BAC-9D70-F417AD15C1EF}</x:author>
    <x:author>tc={ADE857F8-491D-4DE1-A029-8ED4DEEB62A1}</x:author>
    <x:author>tc={71EA70FB-44D7-41F1-AE06-6CF513097AA7}</x:author>
    <x:author>tc={A6A6FF38-C0F1-422A-AFAE-2AB831C8F83D}</x:author>
    <x:author>tc={0BCC9A31-F58A-4D82-BF99-D3B0C99DAEA7}</x:author>
    <x:author>tc={A2D7778F-9203-4C59-86D9-4F1C7F9BA324}</x:author>
    <x:author>tc={C45983F9-5388-4C71-9E36-384FE1ADEA76}</x:author>
    <x:author>tc={6304F357-8731-4405-936E-16FF2558923F}</x:author>
    <x:author>tc={A7C3534A-4FF8-439D-8DAB-D1C7F8851E97}</x:author>
    <x:author>tc={1CC2D866-91D0-4BEF-9DC2-212377332B86}</x:author>
    <x:author>tc={C8AE538E-87BD-4E03-94D3-AE46A80AF603}</x:author>
    <x:author>tc={282996FB-ADED-4C13-BB95-4B84D1F1C349}</x:author>
    <x:author>tc={533CA35F-1561-48E4-9ADE-6D90B464AC86}</x:author>
    <x:author>tc={2C12C56C-2461-4E92-A969-C6E33894D717}</x:author>
    <x:author>tc={465BFCD5-AF96-41C6-958B-20C4984AAB26}</x:author>
    <x:author>tc={9EDBB76C-F453-445B-823B-9728C5CD9153}</x:author>
    <x:author>tc={56A83ADD-B7B8-4A34-9026-AE93036ECC39}</x:author>
    <x:author>tc={935E6400-E794-441C-B2B8-B4EB064232E7}</x:author>
    <x:author>tc={64389424-391F-4521-A2BD-8FD9FEFB6443}</x:author>
    <x:author>tc={4F832EC9-544B-4E4B-82FC-CBF7A089DBBD}</x:author>
    <x:author>tc={45FE76E0-370E-426F-B962-767E5EB881AE}</x:author>
    <x:author>tc={36335928-31A3-481A-8C70-A438A52C3D81}</x:author>
    <x:author>tc={E9F17879-699A-48BC-92B8-E826EC137E4B}</x:author>
    <x:author>tc={6469D159-EFF5-4A16-9202-2952E6882F8A}</x:author>
    <x:author>tc={D66BDB54-07B1-4729-9581-BBE9CD05ADDB}</x:author>
    <x:author>tc={B8F8A869-E15E-40D5-B7F8-D452702B17C1}</x:author>
    <x:author>tc={351D8B69-F540-47F8-B48D-CC40EBE74A7A}</x:author>
    <x:author>tc={A34B31F9-7C15-4F40-A89F-A970F7D5C66A}</x:author>
    <x:author>tc={AFF6E1B5-6EB5-40F0-BFDE-04B5BC40E1BF}</x:author>
    <x:author>tc={E1C5A593-9393-4D81-B343-BF8134C9BF16}</x:author>
    <x:author>tc={67F067DC-EBC1-489B-8CAF-CAC79593CBA0}</x:author>
    <x:author>tc={83B111D0-19BF-403C-B81D-5E3D7974A444}</x:author>
    <x:author>tc={CDBA35A4-B741-4D80-8759-88302E10070F}</x:author>
    <x:author>tc={3FAD9B35-B641-4FB6-8C4B-33B4869A00E9}</x:author>
    <x:author>tc={9AD0B35A-2CA7-41ED-9B67-1AADA25381C9}</x:author>
    <x:author>tc={89D671FE-CD06-4F0E-8884-F775F55F103D}</x:author>
    <x:author>tc={31DD3D6C-7963-4B70-97B0-85B736C78461}</x:author>
    <x:author>tc={7C46A028-7E9B-4D65-A2B9-0AEA7D96A67B}</x:author>
    <x:author>tc={9F47A4FE-2AA2-4AA7-A5D6-192967E4EC16}</x:author>
    <x:author>tc={21DEFBF3-0F90-46D5-BEC1-B9B60D33AEE5}</x:author>
    <x:author>tc={BD7F582D-3344-45F8-8800-A4934FB062C3}</x:author>
    <x:author>tc={132A725D-AD17-4F71-9235-61F62FCB2EE4}</x:author>
    <x:author>tc={9F0543DF-3FD4-4ED5-A3A9-5C0E59A05EB1}</x:author>
    <x:author>tc={7275EDB7-1C50-4A03-8BBC-B279192A61F3}</x:author>
    <x:author>tc={9B7FA359-1DE8-4E68-B413-87B12C521760}</x:author>
    <x:author>tc={E4A0CD7B-2311-4627-B251-AF7B6DF01BDB}</x:author>
    <x:author>tc={A54F3CE0-94BA-4C6E-8CCA-2926E2040E86}</x:author>
    <x:author>tc={CFBEA769-A846-41E2-A739-E1FAA409A761}</x:author>
    <x:author>tc={B811AA5F-DFA7-4EC2-9584-88B288E461C0}</x:author>
    <x:author>tc={748B48A0-C148-4282-9BF8-884A84418438}</x:author>
    <x:author>tc={FCC99EBA-EAA6-40A6-B01E-F2DC10896AEF}</x:author>
    <x:author>tc={FCF829E3-F967-49EE-88BC-68BC073D29EA}</x:author>
    <x:author>tc={2B647A2C-A5E7-4C4C-ACFD-CFE956270091}</x:author>
    <x:author>tc={40EFF221-2BD8-44CF-BF0B-D2C808C9EDBD}</x:author>
    <x:author>tc={DFA1821A-C102-4F70-8114-744A5014AE50}</x:author>
    <x:author>tc={9912530C-49A8-4F47-84B0-BB252E680605}</x:author>
    <x:author>tc={F32876F3-7A4B-4E57-83C6-85B9F353E185}</x:author>
    <x:author>tc={465291E7-4700-42F4-BCC3-2CE60EA1C3F4}</x:author>
    <x:author>tc={4F68E05C-A9BD-4265-B1AD-2FCCA78D5007}</x:author>
    <x:author>tc={41880271-005A-4E9F-9096-B303A437F962}</x:author>
    <x:author>tc={2B76F4AF-B983-42F0-9F0A-104145136181}</x:author>
    <x:author>tc={9E74349D-E420-44A9-BEF5-4497ABA53732}</x:author>
    <x:author>tc={07A443D8-59B5-4D1D-BF3F-70445F0D07CB}</x:author>
    <x:author>tc={45CAA5DF-3E3F-4E37-A879-FB6FBA86B40B}</x:author>
    <x:author>tc={9FFBC86D-4B32-4C56-A149-FB414AE5E563}</x:author>
    <x:author>tc={96AE7813-EE1A-43AA-8199-19B2510C7258}</x:author>
    <x:author>tc={76569070-D296-419C-84BB-361E745B943F}</x:author>
    <x:author>tc={74B9D8E9-1621-481A-8D74-2D2225899E80}</x:author>
    <x:author>tc={F5B27C86-F0B0-4256-8DEA-DCB67A04DAFD}</x:author>
    <x:author>tc={7FA115C2-DCA5-42AC-A184-A90F279C9D87}</x:author>
    <x:author>tc={0B3D7B6E-AD05-40FC-8B9A-480BE87FA01A}</x:author>
    <x:author>tc={CAE0BBC2-FCD8-46BE-A5F9-E1D59DE61EAD}</x:author>
    <x:author>tc={BD75EF86-F57C-4E31-A52B-8CF3D0D46A7D}</x:author>
    <x:author>tc={2ECF7396-AE10-4DCD-B411-326CA18FA504}</x:author>
    <x:author>tc={1BC51B67-E0F9-41A8-A200-956E00AB5C90}</x:author>
    <x:author>tc={6ABAC099-DCD7-4919-B65F-099506E5213F}</x:author>
    <x:author>tc={FAA336DB-D10A-4DB9-8F3F-9B55CE1E5F47}</x:author>
    <x:author>tc={64151DD8-3A7C-4B4D-B39D-4F41EC702CBE}</x:author>
    <x:author>tc={2FE19105-AF40-4055-BA65-3B6B1754B2D3}</x:author>
    <x:author>tc={7797159B-F74E-4031-8E33-643DEE61D1FB}</x:author>
    <x:author>tc={A4B148AA-EC61-4EB8-B2B1-0125326139D8}</x:author>
    <x:author>tc={E91B4A74-CB04-4985-8B61-B8BA5B0431F9}</x:author>
    <x:author>tc={D288C58D-9E7C-4169-8322-45B1F8EB5C4B}</x:author>
    <x:author>tc={24A93347-6FAE-445B-8053-35BA9FB9DF87}</x:author>
    <x:author>tc={03D943AD-E85D-434B-9AB5-DF7DB2D295E8}</x:author>
    <x:author>tc={1C3DF5BD-E321-444F-960D-F8F1F4DE16CA}</x:author>
    <x:author>tc={BAE4CFF3-2B4E-404A-84F2-FAAEE894A24E}</x:author>
    <x:author>tc={6148088A-032A-4055-9A43-CF5AB41DEE0C}</x:author>
    <x:author>tc={EF6BFB6D-EB6D-4A1B-86B5-384814011A20}</x:author>
    <x:author>tc={D07A533E-1E7A-42FD-BA3A-B19E722EA326}</x:author>
    <x:author>tc={0E9473E0-591D-46A6-BD17-057590BDDFBF}</x:author>
    <x:author>tc={06D11677-75EF-4C13-AE7B-740CD55042B8}</x:author>
    <x:author>tc={3FE08BB1-5E6D-4757-9586-7A44BBBFC21E}</x:author>
    <x:author>tc={93729A72-2D2D-494C-B7F2-D6D799AEFE20}</x:author>
    <x:author>tc={E6B488E3-B613-4D05-9161-A343C7CCF5F9}</x:author>
    <x:author>tc={738266A3-1262-48BF-8723-464971F4F8DA}</x:author>
    <x:author>tc={0A14E420-A000-4D07-9883-12C4254FCC20}</x:author>
    <x:author>tc={1C613B87-9C6B-4A49-8AB4-247BD8F5197E}</x:author>
    <x:author>tc={E6EA13D0-BC06-4506-8766-68DA73D0CF84}</x:author>
    <x:author>tc={B1DFCD3F-B8C7-4082-B03B-6929511E0DCC}</x:author>
    <x:author>tc={94BFE33E-FFD4-4AD4-9C0B-239C5FFDA3E9}</x:author>
    <x:author>tc={2AE86C36-3B2A-461F-8F22-53BA336D1022}</x:author>
    <x:author>tc={38F30C35-4312-4F6C-85AA-8123BB2DD21C}</x:author>
    <x:author>tc={387DEC30-4B78-43B4-B313-16EC3BB6298A}</x:author>
    <x:author>tc={D76CB909-54AE-4B13-B828-4E3DF488EA45}</x:author>
    <x:author>tc={684AF0BF-5C98-4C69-8BF3-6B392DF65A37}</x:author>
    <x:author>tc={3A6D9316-13E6-4078-8AD9-B57991E95DCC}</x:author>
    <x:author>tc={05EB4062-7104-48A3-9241-ACCBF9A4BED5}</x:author>
    <x:author>tc={C881FB92-5F68-42D5-8F7C-98054D285D85}</x:author>
    <x:author>tc={5FA62731-068F-4E52-98A4-3DF049045568}</x:author>
    <x:author>tc={20045E7A-5655-463A-AA0B-6950DD74D453}</x:author>
    <x:author>tc={07F3156F-A6CC-4596-A259-71F190FA8067}</x:author>
    <x:author>tc={3FDA2062-2DD9-4B7A-BC02-8D74B2A7D060}</x:author>
    <x:author>tc={F16592FE-5699-4C3B-936C-AA9B12DEBC3C}</x:author>
    <x:author>tc={9C26CF1A-0AA5-41B1-A3B0-5D11252B8F96}</x:author>
    <x:author>tc={E33A8AF5-EA17-49FA-8DD9-D60AB418D84B}</x:author>
    <x:author>tc={8087FB66-0C7D-4EAC-819A-A7A1D7E928CF}</x:author>
    <x:author>tc={F9F43BC9-CF8F-407C-A62F-166BFF193ABD}</x:author>
    <x:author>tc={001EE774-1CEA-472F-A0DC-42D282DF5E58}</x:author>
    <x:author>tc={881F0BE3-27C0-4EE4-B123-B3D8003BE58E}</x:author>
    <x:author>tc={44516B53-B2C2-43F0-A64B-52E3AF01ABA8}</x:author>
    <x:author>tc={5359EF11-2121-48D0-A1A6-ED980824E7BE}</x:author>
    <x:author>tc={1CFE9EF1-59D0-47DA-931B-4630EE97BE7D}</x:author>
    <x:author>tc={0437DA91-7D1D-46F5-B714-339956253A4E}</x:author>
    <x:author>tc={FEF5F309-ECBF-4546-A845-8F1303CB5F81}</x:author>
    <x:author>tc={46C41024-0C24-4C64-814F-8E6D51E6329A}</x:author>
    <x:author>tc={3F6BFFB0-12DD-4332-99B3-3A2C0A041035}</x:author>
    <x:author>tc={31DB7C1F-9248-4BA2-BE4C-A1941F2B4F41}</x:author>
    <x:author>tc={D6AE0426-D813-4EDF-8AA2-17AAED9B93F7}</x:author>
    <x:author>tc={5F866CAD-B37C-45CE-9C76-F112B602ED3F}</x:author>
    <x:author>tc={F4AB7B94-971C-471D-B387-6B2638CBEE0E}</x:author>
    <x:author>tc={232C2922-8740-4AF0-A8A5-880A06B0D2D3}</x:author>
    <x:author>tc={1CDDAD9D-46AA-4C1B-8599-8855F0DDA05B}</x:author>
    <x:author>tc={4C86BBF1-2DD7-4B3C-9753-B3A11C126F37}</x:author>
    <x:author>tc={4488E3CB-1CE5-4C6D-9C02-4AB94FF51433}</x:author>
    <x:author>tc={6B145CEB-2879-4954-9ACE-0B7CCA3DC0B5}</x:author>
    <x:author>tc={78EE7B69-0116-446A-BEB5-27EEED207B0C}</x:author>
    <x:author>tc={ECE5BA63-7E14-443F-B8C8-454EE831B6E4}</x:author>
    <x:author>tc={CCCDA1FB-B240-4214-A626-14C85A623143}</x:author>
  </x:authors>
  <x:commentList>
    <x:comment ref="I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M01 1 시작: 25.0 s
가까운 후보: 15.6
1번 호흡: 192.0 s / 예상 150~240 s / 시간 적합</x:t>
        </x:r>
      </x:text>
    </x:comment>
    <x:comment ref="K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M02 1 종료: 217.0 s
가까운 후보: 213.6
1번 호흡: 192.0 s / 예상 150~240 s / 시간 적합</x:t>
        </x:r>
      </x:text>
    </x:comment>
    <x:comment ref="M1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M03 2 시작: 245.0 s
가까운 후보: 239.2
2번 호흡: 366.0 s / 예상 240~450 s / 시간 적합</x:t>
        </x:r>
      </x:text>
    </x:comment>
    <x:comment ref="AA1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M05 3-1 시작: 708.0 s
가까운 후보: 702.3, 715.8
3번 픽업-1: 15.0 s / 예상 5~90 s / 시간 적합</x:t>
        </x:r>
      </x:text>
    </x:comment>
    <x:comment ref="AB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715.8 s (현재 선택/추천 708.0 s)</x:t>
        </x:r>
      </x:text>
    </x:comment>
    <x:comment ref="AC1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M06 3-1 종료: 723.0 s
가까운 후보: 715.8, 734.1
3번 픽업-1: 15.0 s / 예상 5~90 s / 시간 적합</x:t>
        </x:r>
      </x:text>
    </x:comment>
    <x:comment ref="AD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734.1 s (현재 선택/추천 723.0 s)</x:t>
        </x:r>
      </x:text>
    </x:comment>
    <x:comment ref="AE1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M07 3-2 시작: 740.0 s
가까운 후보: 734.1, 747.6
3번 픽업-2: 14.0 s / 예상 5~90 s / 시간 적합</x:t>
        </x:r>
      </x:text>
    </x:comment>
    <x:comment ref="AF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747.6 s (현재 선택/추천 740.0 s)</x:t>
        </x:r>
      </x:text>
    </x:comment>
    <x:comment ref="AG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M08 3-2 종료: 754.0 s
가까운 후보: 747.6, 768.1
3번 픽업-2: 14.0 s / 예상 5~90 s / 시간 적합</x:t>
        </x:r>
      </x:text>
    </x:comment>
    <x:comment ref="AH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768.1 s (현재 선택/추천 754.0 s)</x:t>
        </x:r>
      </x:text>
    </x:comment>
    <x:comment ref="AI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836.2 s (현재 선택/추천 842.0 s)</x:t>
        </x:r>
      </x:text>
    </x:comment>
    <x:comment ref="AJ14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 / 4번 낙상-즉시 지속시간이 예상 범위를 벗어나거나 경계가 누락됨
참가자: S02_RJS
값 출처: 기존 엑셀값
RAW 8.5V 일치: 없음
전수 후보 일치: 없음
M09 4-1 시작: 842.0 s
가까운 후보: 844.9, 836.2
4번 낙상-즉시: 54.0 s / 예상 5~30 s / 시간 확인 필요</x:t>
        </x:r>
      </x:text>
    </x:comment>
    <x:comment ref="AL14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4번 낙상-즉시 지속시간이 예상 범위를 벗어나거나 경계가 누락됨
참가자: S02_RJS
값 출처: 기존 엑셀값
RAW 8.5V 일치: 없음
전수 후보 일치: 894.6 s
M10 4-1 종료: 896.0 s
가까운 후보: 894.6, 908.8
4번 낙상-즉시: 54.0 s / 예상 5~30 s / 시간 확인 필요
M11 4-2 시작: 896.0 s
가까운 후보: 894.6, 908.8
4번 낙상-30초 유지: 48.0 s / 예상 25~75 s / 시간 적합</x:t>
        </x:r>
      </x:text>
    </x:comment>
    <x:comment ref="AM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908.8 s (현재 선택/추천 896.0 s)
M11 4-2 시작의 대체 후보 908.8 s (현재 선택/추천 896.0 s)</x:t>
        </x:r>
      </x:text>
    </x:comment>
    <x:comment ref="AN14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S02_RJS
값 출처: 기존 엑셀값
RAW 8.5V 일치: 없음
전수 후보 일치: 942.2 s
M12 4-2 종료: 944.0 s
가까운 후보: 942.2
4번 낙상-30초 유지: 48.0 s / 예상 25~75 s / 시간 적합</x:t>
        </x:r>
      </x:text>
    </x:comment>
    <x:comment ref="AO14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M13 4-3 시작: 946.0 s
가까운 후보: 942.2, 959.3
4번 낙상-천천히: 54.0 s / 예상 25~90 s / 시간 적합</x:t>
        </x:r>
      </x:text>
    </x:comment>
    <x:comment ref="AP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959.3 s (현재 선택/추천 946.0 s)</x:t>
        </x:r>
      </x:text>
    </x:comment>
    <x:comment ref="AQ1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S02_RJS
값 출처: 기존 엑셀값
RAW 8.5V 일치: 없음
전수 후보 일치: 999.8 s
M14 4-3 종료: 1000.0 s
가까운 후보: 999.8
4번 낙상-천천히: 54.0 s / 예상 25~90 s / 시간 적합</x:t>
        </x:r>
      </x:text>
    </x:comment>
    <x:comment ref="AR1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M15 5 시작: 1020.0 s
가까운 후보: 없음
5번 코스: 164.0 s / 예상 130~230 s / 시간 적합</x:t>
        </x:r>
      </x:text>
    </x:comment>
    <x:comment ref="AS1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M16 5 종료: 1184.0 s
가까운 후보: 없음
5번 코스: 164.0 s / 예상 130~230 s / 시간 적합</x:t>
        </x:r>
      </x:text>
    </x:comment>
    <x:comment ref="AU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M17 6 시작: 1232.0 s
가까운 후보: 1226.0
6번 왕복: 27.0 s / 예상 5~70 s / 시간 적합</x:t>
        </x:r>
      </x:text>
    </x:comment>
    <x:comment ref="AW1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M18 6 종료: 1259.0 s
가까운 후보: 1256.7
6번 왕복: 27.0 s / 예상 5~70 s / 시간 적합</x:t>
        </x:r>
      </x:text>
    </x:comment>
    <x:comment ref="AX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M19 7 시작의 대체 후보 1279.1 s (현재 선택/추천 1286.0 s)</x:t>
        </x:r>
      </x:text>
    </x:comment>
    <x:comment ref="AZ14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S02_RJS
값 출처: 기존 엑셀값
RAW 8.5V 일치: 없음
전수 후보 일치: 없음
M20 7 종료: 1295.0 s
가까운 후보: 1286.8
7번 자유: 9.0 s / 예상 5~70 s / 시간 적합</x:t>
        </x:r>
      </x:text>
    </x:comment>
    <x:comment ref="H17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M01 1 시작의 대체 후보 18.7 s (현재 선택/추천 23.0 s)</x:t>
        </x:r>
      </x:text>
    </x:comment>
    <x:comment ref="I18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S03_PSJ
값 출처: 기존 엑셀값
RAW 8.5V 일치: 24.6 s
전수 후보 일치: 24.6 s
M01 1 시작: 23.0 s
가까운 후보: 24.6, 18.7
1번 호흡: 187.0 s / 예상 150~240 s / 시간 적합</x:t>
        </x:r>
      </x:text>
    </x:comment>
    <x:comment ref="J1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M02 1 종료: 210.0 s
가까운 후보: 218.4
1번 호흡: 187.0 s / 예상 150~240 s / 시간 적합</x:t>
        </x:r>
      </x:text>
    </x:comment>
    <x:comment ref="N18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 / 3번 픽업-1 지속시간이 예상 범위를 벗어나거나 경계가 누락됨
참가자: S03_PSJ
값 출처: 기존 엑셀값
RAW 8.5V 일치: 없음
전수 후보 일치: 없음
M06 3-1 종료: 736.0 s
가까운 후보: 750.1
3번 픽업-1: 계산 불가 / 예상 5~90 s / 경계 누락</x:t>
        </x:r>
      </x:text>
    </x:comment>
    <x:comment ref="T1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930.6 s (현재 선택/추천 945.0 s)</x:t>
        </x:r>
      </x:text>
    </x:comment>
    <x:comment ref="U1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M09 4-1 시작: 934.0 s
가까운 후보: 930.6
4번 낙상-즉시: 11.0 s / 예상 5~30 s / 시간 적합</x:t>
        </x:r>
      </x:text>
    </x:comment>
    <x:comment ref="V18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M10 4-1 종료: 945.0 s
가까운 후보: 951.8, 930.6
4번 낙상-즉시: 11.0 s / 예상 5~30 s / 시간 적합</x:t>
        </x:r>
      </x:text>
    </x:comment>
    <x:comment ref="Y1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M11 4-2 시작: 971.0 s
가까운 후보: 968.7
4번 낙상-30초 유지: 39.0 s / 예상 25~75 s / 시간 적합</x:t>
        </x:r>
      </x:text>
    </x:comment>
    <x:comment ref="Z1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M12 4-2 종료: 1010.0 s
가까운 후보: 1012.3, 1024.3
4번 낙상-30초 유지: 39.0 s / 예상 25~75 s / 시간 적합</x:t>
        </x:r>
      </x:text>
    </x:comment>
    <x:comment ref="AB1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1024.3 s (현재 선택/추천 1010.0 s)</x:t>
        </x:r>
      </x:text>
    </x:comment>
    <x:comment ref="AC1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M13 4-3 시작: 1028.0 s
가까운 후보: 1024.3
4번 낙상-천천히: 44.0 s / 예상 25~90 s / 시간 적합</x:t>
        </x:r>
      </x:text>
    </x:comment>
    <x:comment ref="AD18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M14 4-3 종료: 1072.0 s
가까운 후보: 1076.8
4번 낙상-천천히: 44.0 s / 예상 25~90 s / 시간 적합</x:t>
        </x:r>
      </x:text>
    </x:comment>
    <x:comment ref="AH18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M16 5 종료: 1358.0 s
가까운 후보: 1355.5
5번 코스: 190.0 s / 예상 130~230 s / 시간 적합</x:t>
        </x:r>
      </x:text>
    </x:comment>
    <x:comment ref="AJ18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M18 6 종료: 1433.0 s
가까운 후보: 1438.9
6번 왕복: 21.0 s / 예상 5~70 s / 시간 적합</x:t>
        </x:r>
      </x:text>
    </x:comment>
    <x:comment ref="AL18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S03_PSJ
값 출처: 기존 엑셀값
RAW 8.5V 일치: 없음
전수 후보 일치: 없음
M19 7 시작: 1466.0 s
가까운 후보: 1468.3, 1479.7
7번 자유: 12.0 s / 예상 5~70 s / 시간 적합</x:t>
        </x:r>
      </x:text>
    </x:comment>
    <x:comment ref="AM17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M20 7 종료의 대체 후보 1468.3 s (현재 선택/추천 1478.0 s)</x:t>
        </x:r>
      </x:text>
    </x:comment>
    <x:comment ref="AN1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M19 7 시작의 대체 후보 1479.7 s (현재 선택/추천 1466.0 s)</x:t>
        </x:r>
      </x:text>
    </x:comment>
    <x:comment ref="H22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S04_KTW
값 출처: 시간패턴 추천(미확정)
RAW 8.5V 일치: 25.0 s
전수 후보 일치: 22.6 s
M01 1 시작: 22.6 s
가까운 후보: 22.6, 29.4
1번 호흡: 200.8 s / 예상 150~240 s / 시간 적합
참가자 특이사항: 후반부 장시간 마커 공백(약 1,230~1,680초) — 수동 검토 필요</x:t>
        </x:r>
      </x:text>
    </x:comment>
    <x:comment ref="I2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M01 1 시작의 대체 후보 29.4 s (현재 선택/추천 22.6 s)</x:t>
        </x:r>
      </x:text>
    </x:comment>
    <x:comment ref="K22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S04_KTW
값 출처: 시간패턴 추천(미확정)
RAW 8.5V 일치: 219.9 s
전수 후보 일치: 223.5 s
M02 1 종료: 223.5 s
가까운 후보: 223.5
1번 호흡: 200.8 s / 예상 150~240 s / 시간 적합
참가자 특이사항: 후반부 장시간 마커 공백(약 1,230~1,680초) — 수동 검토 필요</x:t>
        </x:r>
      </x:text>
    </x:comment>
    <x:comment ref="M2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274.2 s
M03 2 시작: 274.2 s
가까운 후보: 274.2
2번 호흡: 373.0 s / 예상 240~450 s / 시간 적합
참가자 특이사항: 후반부 장시간 마커 공백(약 1,230~1,680초) — 수동 검토 필요</x:t>
        </x:r>
      </x:text>
    </x:comment>
    <x:comment ref="N2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S04_KTW
값 출처: 시간패턴 추천(미확정)
RAW 8.5V 일치: 646.3 s
전수 후보 일치: 647.2 s
M04 2 종료: 647.2 s
가까운 후보: 647.2
2번 호흡: 373.0 s / 예상 240~450 s / 시간 적합
참가자 특이사항: 후반부 장시간 마커 공백(약 1,230~1,680초) — 수동 검토 필요</x:t>
        </x:r>
      </x:text>
    </x:comment>
    <x:comment ref="P2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764.0 s
M05 3-1 시작: 764.0 s
가까운 후보: 764.0, 774.7
3번 픽업-1: 10.6 s / 예상 5~90 s / 시간 적합
참가자 특이사항: 후반부 장시간 마커 공백(약 1,230~1,680초) — 수동 검토 필요</x:t>
        </x:r>
      </x:text>
    </x:comment>
    <x:comment ref="P21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764.0 s (현재 선택/추천 774.7 s)</x:t>
        </x:r>
      </x:text>
    </x:comment>
    <x:comment ref="Q22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같은 경계에 가까운 대체 후보가 둘 이상 있음
참가자: S04_KTW
값 출처: 시간패턴 추천(미확정)
RAW 8.5V 일치: 774.7 s
전수 후보 일치: 774.7 s
M06 3-1 종료: 774.7 s
가까운 후보: 774.7, 779.1, 764.0
3번 픽업-1: 10.6 s / 예상 5~90 s / 시간 적합
참가자 특이사항: 후반부 장시간 마커 공백(약 1,230~1,680초) — 수동 검토 필요</x:t>
        </x:r>
      </x:text>
    </x:comment>
    <x:comment ref="Q21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774.7 s (현재 선택/추천 764.0 s)
M07 3-2 시작의 대체 후보 774.7 s (현재 선택/추천 779.1 s)</x:t>
        </x:r>
      </x:text>
    </x:comment>
    <x:comment ref="R22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같은 경계에 가까운 대체 후보가 둘 이상 있음
참가자: S04_KTW
값 출처: 시간패턴 추천(미확정)
RAW 8.5V 일치: 없음
전수 후보 일치: 779.1 s
M07 3-2 시작: 779.1 s
가까운 후보: 779.1, 774.7
3번 픽업-2: 15.7 s / 예상 5~90 s / 시간 적합
참가자 특이사항: 후반부 장시간 마커 공백(약 1,230~1,680초) — 수동 검토 필요</x:t>
        </x:r>
      </x:text>
    </x:comment>
    <x:comment ref="R21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779.1 s (현재 선택/추천 774.7 s)</x:t>
        </x:r>
      </x:text>
    </x:comment>
    <x:comment ref="T22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794.8 s
M08 3-2 종료: 794.8 s
가까운 후보: 794.8
3번 픽업-2: 15.7 s / 예상 5~90 s / 시간 적합
참가자 특이사항: 후반부 장시간 마커 공백(약 1,230~1,680초) — 수동 검토 필요</x:t>
        </x:r>
      </x:text>
    </x:comment>
    <x:comment ref="V22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같은 경계에 가까운 대체 후보가 둘 이상 있음 / 4번 낙상-즉시 지속시간이 예상 범위를 벗어나거나 경계가 누락됨
참가자: S04_KTW
값 출처: 시간패턴 추천(미확정)
RAW 8.5V 일치: 896.2 s
전수 후보 일치: 898.2 s
M09 4-1 시작: 898.2 s
가까운 후보: 898.2, 902.8
4번 낙상-즉시: 4.6 s / 예상 5~30 s / 시간 확인 필요
참가자 특이사항: 후반부 장시간 마커 공백(약 1,230~1,680초) — 수동 검토 필요</x:t>
        </x:r>
      </x:text>
    </x:comment>
    <x:comment ref="V2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898.2 s (현재 선택/추천 902.8 s)</x:t>
        </x:r>
      </x:text>
    </x:comment>
    <x:comment ref="W22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같은 경계에 가까운 대체 후보가 둘 이상 있음 / 4번 낙상-즉시 지속시간이 예상 범위를 벗어나거나 경계가 누락됨
참가자: S04_KTW
값 출처: 시간패턴 추천(미확정)
RAW 8.5V 일치: 없음
전수 후보 일치: 902.8 s
M10 4-1 종료: 902.8 s
가까운 후보: 902.8, 898.2, 914.2
4번 낙상-즉시: 4.6 s / 예상 5~30 s / 시간 확인 필요
참가자 특이사항: 후반부 장시간 마커 공백(약 1,230~1,680초) — 수동 검토 필요</x:t>
        </x:r>
      </x:text>
    </x:comment>
    <x:comment ref="W21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902.8 s (현재 선택/추천 898.2 s)
M11 4-2 시작의 대체 후보 902.8 s (현재 선택/추천 914.2 s)</x:t>
        </x:r>
      </x:text>
    </x:comment>
    <x:comment ref="Y22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낙상-30초 유지 지속시간이 예상 범위를 벗어나거나 경계가 누락됨
참가자: S04_KTW
값 출처: 시간패턴 추천(미확정)
RAW 8.5V 일치: 없음
전수 후보 일치: 914.2 s
M11 4-2 시작: 914.2 s
가까운 후보: 914.2, 902.8
4번 낙상-30초 유지: 17.1 s / 예상 25~75 s / 시간 확인 필요
참가자 특이사항: 후반부 장시간 마커 공백(약 1,230~1,680초) — 수동 검토 필요</x:t>
        </x:r>
      </x:text>
    </x:comment>
    <x:comment ref="Y21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914.2 s (현재 선택/추천 902.8 s)</x:t>
        </x:r>
      </x:text>
    </x:comment>
    <x:comment ref="AA2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낙상-30초 유지 지속시간이 예상 범위를 벗어나거나 경계가 누락됨
참가자: S04_KTW
값 출처: 시간패턴 추천(미확정)
RAW 8.5V 일치: 없음
전수 후보 일치: 931.3 s
M12 4-2 종료: 931.3 s
가까운 후보: 931.3
4번 낙상-30초 유지: 17.1 s / 예상 25~75 s / 시간 확인 필요
참가자 특이사항: 후반부 장시간 마커 공백(약 1,230~1,680초) — 수동 검토 필요</x:t>
        </x:r>
      </x:text>
    </x:comment>
    <x:comment ref="AC22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낙상-천천히 지속시간이 예상 범위를 벗어나거나 경계가 누락됨
참가자: S04_KTW
값 출처: 시간패턴 추천(미확정)
RAW 8.5V 일치: 없음
전수 후보 일치: 977.0 s
M13 4-3 시작: 977.0 s
가까운 후보: 977.0
4번 낙상-천천히: 15.4 s / 예상 25~90 s / 시간 확인 필요
참가자 특이사항: 후반부 장시간 마커 공백(약 1,230~1,680초) — 수동 검토 필요</x:t>
        </x:r>
      </x:text>
    </x:comment>
    <x:comment ref="AE2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4번 낙상-천천히 지속시간이 예상 범위를 벗어나거나 경계가 누락됨
참가자: S04_KTW
값 출처: 시간패턴 추천(미확정)
RAW 8.5V 일치: 992.7 s
전수 후보 일치: 992.3 s
M14 4-3 종료: 992.3 s
가까운 후보: 992.3
4번 낙상-천천히: 15.4 s / 예상 25~90 s / 시간 확인 필요
참가자 특이사항: 후반부 장시간 마커 공백(약 1,230~1,680초) — 수동 검토 필요</x:t>
        </x:r>
      </x:text>
    </x:comment>
    <x:comment ref="AG2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1042.7 s
M15 4-4 시작: 1042.7 s
가까운 후보: 1042.7
4번 물건 집기: 16.5 s / 예상 5~40 s / 시간 적합
참가자 특이사항: 후반부 장시간 마커 공백(약 1,230~1,680초) — 수동 검토 필요</x:t>
        </x:r>
      </x:text>
    </x:comment>
    <x:comment ref="AI22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1059.2 s
M16 4-4 종료: 1059.2 s
가까운 후보: 1059.2, 1074.0
4번 물건 집기: 16.5 s / 예상 5~40 s / 시간 적합
참가자 특이사항: 후반부 장시간 마커 공백(약 1,230~1,680초) — 수동 검토 필요</x:t>
        </x:r>
      </x:text>
    </x:comment>
    <x:comment ref="AI21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M17 5 시작의 대체 후보 1059.2 s (현재 선택/추천 1074.0 s)</x:t>
        </x:r>
      </x:text>
    </x:comment>
    <x:comment ref="AK22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5번 코스 지속시간이 예상 범위를 벗어나거나 경계가 누락됨
참가자: S04_KTW
값 출처: 시간패턴 추천(미확정)
RAW 8.5V 일치: 없음
전수 후보 일치: 1074.0 s
M17 5 시작: 1074.0 s
가까운 후보: 1074.0, 1059.2
5번 코스: 69.3 s / 예상 130~230 s / 시간 확인 필요
참가자 특이사항: 후반부 장시간 마커 공백(약 1,230~1,680초) — 수동 검토 필요</x:t>
        </x:r>
      </x:text>
    </x:comment>
    <x:comment ref="AK21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1074.0 s (현재 선택/추천 1059.2 s)</x:t>
        </x:r>
      </x:text>
    </x:comment>
    <x:comment ref="AM22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5번 코스 지속시간이 예상 범위를 벗어나거나 경계가 누락됨
참가자: S04_KTW
값 출처: 시간패턴 추천(미확정)
RAW 8.5V 일치: 없음
전수 후보 일치: 1143.4 s
M18 5 종료: 1143.4 s
가까운 후보: 1143.4
5번 코스: 69.3 s / 예상 130~230 s / 시간 확인 필요
참가자 특이사항: 후반부 장시간 마커 공백(약 1,230~1,680초) — 수동 검토 필요</x:t>
        </x:r>
      </x:text>
    </x:comment>
    <x:comment ref="AO22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1165.8 s
M19 6 시작: 1165.8 s
가까운 후보: 1165.8
6번 왕복: 19.7 s / 예상 5~70 s / 시간 적합
참가자 특이사항: 후반부 장시간 마커 공백(약 1,230~1,680초) — 수동 검토 필요</x:t>
        </x:r>
      </x:text>
    </x:comment>
    <x:comment ref="AQ22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S04_KTW
값 출처: 시간패턴 추천(미확정)
RAW 8.5V 일치: 없음
전수 후보 일치: 1185.5 s
M20 6 종료: 1185.5 s
가까운 후보: 1185.5
6번 왕복: 19.7 s / 예상 5~70 s / 시간 적합
참가자 특이사항: 후반부 장시간 마커 공백(약 1,230~1,680초) — 수동 검토 필요</x:t>
        </x:r>
      </x:text>
    </x:comment>
    <x:comment ref="AR22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7번 자유 지속시간이 예상 범위를 벗어나거나 경계가 누락됨
참가자: S04_KTW
값 출처: 시간패턴 추천(미확정)
RAW 8.5V 일치: 1225.7 s
전수 후보 일치: 1228.5 s
M21 7 시작: 1228.5 s
가까운 후보: 1228.5
7번 자유: 534.2 s / 예상 5~70 s / 시간 확인 필요
참가자 특이사항: 후반부 장시간 마커 공백(약 1,230~1,680초) — 수동 검토 필요</x:t>
        </x:r>
      </x:text>
    </x:comment>
    <x:comment ref="BB22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7번 자유 지속시간이 예상 범위를 벗어나거나 경계가 누락됨
참가자: S04_KTW
값 출처: 시간패턴 추천(미확정)
RAW 8.5V 일치: 없음
전수 후보 일치: 1762.7 s
M22 7 종료: 1762.7 s
가까운 후보: 1762.7
7번 자유: 534.2 s / 예상 5~70 s / 시간 확인 필요
참가자 특이사항: 후반부 장시간 마커 공백(약 1,230~1,680초) — 수동 검토 필요</x:t>
        </x:r>
      </x:text>
    </x:comment>
    <x:comment ref="K25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612.3 s (현재 선택/추천 620.0 s)</x:t>
        </x:r>
      </x:text>
    </x:comment>
    <x:comment ref="L26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S05_LHS
값 출처: $2 최종 선택
RAW 8.5V 일치: 없음
전수 후보 일치: 619.6 s
M05 3-1 시작: 620.0 s
가까운 후보: 619.6, 612.3
3번 픽업-1: 36.0 s / 예상 5~90 s / 시간 적합
참가자 특이사항: 자동 후보를 RSP 돌출·레이더 움직임·실험 순서로 수동 보정</x:t>
        </x:r>
      </x:text>
    </x:comment>
    <x:comment ref="L25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619.6 s (현재 선택/추천 612.0 s)</x:t>
        </x:r>
      </x:text>
    </x:comment>
    <x:comment ref="Q2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806.3 s (현재 선택/추천 820.0 s)</x:t>
        </x:r>
      </x:text>
    </x:comment>
    <x:comment ref="V2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1007.7 s (현재 선택/추천 1022.0 s)</x:t>
        </x:r>
      </x:text>
    </x:comment>
    <x:comment ref="W2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1022.0 s (현재 선택/추천 1008.0 s)</x:t>
        </x:r>
      </x:text>
    </x:comment>
    <x:comment ref="X26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S05_LHS
값 출처: $2 최종 선택
RAW 8.5V 일치: 1070.0 s
전수 후보 일치: 1068.2 s
M14 4-3 종료: 1068.0 s
가까운 후보: 1068.2, 1072.4
4번 낙상-천천히: 46.0 s / 예상 25~90 s / 시간 적합
참가자 특이사항: 자동 후보를 RSP 돌출·레이더 움직임·실험 순서로 수동 보정</x:t>
        </x:r>
      </x:text>
    </x:comment>
    <x:comment ref="X25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1068.2 s (현재 선택/추천 1072.0 s)</x:t>
        </x:r>
      </x:text>
    </x:comment>
    <x:comment ref="Y2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S05_LHS
값 출처: $2 최종 선택
RAW 8.5V 일치: 1074.2 s
전수 후보 일치: 1072.4 s
M15 4-4 시작: 1072.0 s
가까운 후보: 1072.4, 1068.2
4번 물건 집기: 17.0 s / 예상 5~40 s / 시간 적합
참가자 특이사항: 자동 후보를 RSP 돌출·레이더 움직임·실험 순서로 수동 보정</x:t>
        </x:r>
      </x:text>
    </x:comment>
    <x:comment ref="Y25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1072.4 s (현재 선택/추천 1068.0 s)</x:t>
        </x:r>
      </x:text>
    </x:comment>
    <x:comment ref="AA25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1101.3 s (현재 선택/추천 1089.0 s)</x:t>
        </x:r>
      </x:text>
    </x:comment>
    <x:comment ref="AF25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1497.8 s (현재 선택/추천 1509.0 s)</x:t>
        </x:r>
      </x:text>
    </x:comment>
    <x:comment ref="AG25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1509.3 s (현재 선택/추천 1498.0 s)</x:t>
        </x:r>
      </x:text>
    </x:comment>
    <x:comment ref="L29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644.6 s (현재 선택/추천 638.0 s)</x:t>
        </x:r>
      </x:text>
    </x:comment>
    <x:comment ref="M29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748.3 s (현재 선택/추천 763.3 s)</x:t>
        </x:r>
      </x:text>
    </x:comment>
    <x:comment ref="N29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763.3 s (현재 선택/추천 748.4 s)
M07 3-2 시작의 대체 후보 763.3 s (현재 선택/추천 778.2 s)</x:t>
        </x:r>
      </x:text>
    </x:comment>
    <x:comment ref="O29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778.1 s (현재 선택/추천 763.3 s)
M08 3-2 종료의 대체 후보 778.1 s (현재 선택/추천 792.3 s)</x:t>
        </x:r>
      </x:text>
    </x:comment>
    <x:comment ref="P29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792.3 s (현재 선택/추천 778.2 s)</x:t>
        </x:r>
      </x:text>
    </x:comment>
    <x:comment ref="R30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S06_LDW
값 출처: $2 최종 선택
RAW 8.5V 일치: 없음
전수 후보 일치: 없음
M09 4-1 시작: 919.0 s
가까운 후보: 916.7, 933.9
4번 낙상-즉시: 15.5 s / 예상 5~30 s / 시간 적합
참가자 특이사항: 자동 후보를 RSP 돌출·레이더 움직임·실험 순서로 수동 보정</x:t>
        </x:r>
      </x:text>
    </x:comment>
    <x:comment ref="S2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933.9 s (현재 선택/추천 919.0 s)
M11 4-2 시작의 대체 후보 933.9 s (현재 선택/추천 947.0 s)</x:t>
        </x:r>
      </x:text>
    </x:comment>
    <x:comment ref="T30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S06_LDW
값 출처: $2 최종 선택
RAW 8.5V 일치: 없음
전수 후보 일치: 없음
M11 4-2 시작: 947.0 s
가까운 후보: 957.0, 933.9
4번 낙상-30초 유지: 47.0 s / 예상 25~75 s / 시간 적합
참가자 특이사항: 자동 후보를 RSP 돌출·레이더 움직임·실험 순서로 수동 보정</x:t>
        </x:r>
      </x:text>
    </x:comment>
    <x:comment ref="W29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1005.4 s (현재 선택/추천 994.0 s)</x:t>
        </x:r>
      </x:text>
    </x:comment>
    <x:comment ref="X30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S06_LDW
값 출처: $2 최종 선택
RAW 8.5V 일치: 없음
전수 후보 일치: 없음
M13 4-3 시작: 1009.8 s
가까운 후보: 1005.4
4번 낙상-천천히: 49.4 s / 예상 25~90 s / 시간 적합
참가자 특이사항: 자동 후보를 RSP 돌출·레이더 움직임·실험 순서로 수동 보정</x:t>
        </x:r>
      </x:text>
    </x:comment>
    <x:comment ref="Y30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S06_LDW
값 출처: $2 최종 선택
RAW 8.5V 일치: 없음
전수 후보 일치: 없음
M14 4-3 종료: 1059.2 s
가까운 후보: 1071.6
4번 낙상-천천히: 49.4 s / 예상 25~90 s / 시간 적합
참가자 특이사항: 자동 후보를 RSP 돌출·레이더 움직임·실험 순서로 수동 보정</x:t>
        </x:r>
      </x:text>
    </x:comment>
    <x:comment ref="Z29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1071.6 s (현재 선택/추천 1086.0 s)</x:t>
        </x:r>
      </x:text>
    </x:comment>
    <x:comment ref="AA30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S06_LDW
값 출처: $2 최종 선택
RAW 8.5V 일치: 없음
전수 후보 일치: 없음
M15 4-4 시작: 1075.4 s
가까운 후보: 1071.6, 1087.0
4번 물건 집기: 10.6 s / 예상 5~40 s / 시간 적합
참가자 특이사항: 자동 후보를 RSP 돌출·레이더 움직임·실험 순서로 수동 보정</x:t>
        </x:r>
      </x:text>
    </x:comment>
    <x:comment ref="AB29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1087.0 s (현재 선택/추천 1075.4 s)</x:t>
        </x:r>
      </x:text>
    </x:comment>
    <x:comment ref="AD30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S06_LDW
값 출처: $2 최종 선택
RAW 8.5V 일치: 없음
전수 후보 일치: 없음
M17 5 시작: 1160.7 s
가까운 후보: 1157.9
5번 코스: 185.8 s / 예상 130~230 s / 시간 적합
참가자 특이사항: 자동 후보를 RSP 돌출·레이더 움직임·실험 순서로 수동 보정</x:t>
        </x:r>
      </x:text>
    </x:comment>
    <x:comment ref="AE30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S06_LDW
값 출처: $2 최종 선택
RAW 8.5V 일치: 1345.3 s
전수 후보 일치: 1345.3 s
M18 5 종료: 1346.5 s
가까운 후보: 1345.3, 1351.1
5번 코스: 185.8 s / 예상 130~230 s / 시간 적합
참가자 특이사항: 자동 후보를 RSP 돌출·레이더 움직임·실험 순서로 수동 보정</x:t>
        </x:r>
      </x:text>
    </x:comment>
    <x:comment ref="AF29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M18 5 종료의 대체 후보 1351.1 s (현재 선택/추천 1346.5 s)</x:t>
        </x:r>
      </x:text>
    </x:comment>
    <x:comment ref="AH29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M20 6 종료의 대체 후보 1421.3 s (현재 선택/추천 1424.2 s)</x:t>
        </x:r>
      </x:text>
    </x:comment>
    <x:comment ref="AI30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S06_LDW
값 출처: $2 최종 선택
RAW 8.5V 일치: 1425.7 s
전수 후보 일치: 1425.7 s
M20 6 종료: 1424.2 s
가까운 후보: 1425.7, 1421.3
6번 왕복: 29.6 s / 예상 5~70 s / 시간 적합
참가자 특이사항: 자동 후보를 RSP 돌출·레이더 움직임·실험 순서로 수동 보정</x:t>
        </x:r>
      </x:text>
    </x:comment>
    <x:comment ref="AJ29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1458.4 s (현재 선택/추천 1471.3 s)</x:t>
        </x:r>
      </x:text>
    </x:comment>
    <x:comment ref="AK29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1471.2 s (현재 선택/추천 1458.5 s)</x:t>
        </x:r>
      </x:text>
    </x:comment>
    <x:comment ref="H34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16.6 s
M01 1 시작: 16.6 s
가까운 후보: 16.6, 22.6
1번 호흡: 197.8 s / 예상 150~240 s / 시간 적합
참가자 특이사항: 참가자별 임계값 7.5, 후보 24개 중 22개 검증</x:t>
        </x:r>
      </x:text>
    </x:comment>
    <x:comment ref="I33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M01 1 시작의 대체 후보 22.6 s (현재 선택/추천 16.6 s)</x:t>
        </x:r>
      </x:text>
    </x:comment>
    <x:comment ref="J34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214.3 s
M02 1 종료: 214.3 s
가까운 후보: 214.3
1번 호흡: 197.8 s / 예상 150~240 s / 시간 적합
참가자 특이사항: 참가자별 임계값 7.5, 후보 24개 중 22개 검증</x:t>
        </x:r>
      </x:text>
    </x:comment>
    <x:comment ref="K34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275.6 s
M03 2 시작: 275.6 s
가까운 후보: 275.6
2번 호흡: 371.2 s / 예상 240~450 s / 시간 적합
참가자 특이사항: 참가자별 임계값 7.5, 후보 24개 중 22개 검증</x:t>
        </x:r>
      </x:text>
    </x:comment>
    <x:comment ref="L34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646.8 s
M04 2 종료: 646.8 s
가까운 후보: 646.8
2번 호흡: 371.2 s / 예상 240~450 s / 시간 적합
참가자 특이사항: 참가자별 임계값 7.5, 후보 24개 중 22개 검증</x:t>
        </x:r>
      </x:text>
    </x:comment>
    <x:comment ref="O34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784.7 s
M06 3-1 종료: 784.7 s
가까운 후보: 784.7, 799.3
3번 픽업-1: 18.6 s / 예상 5~90 s / 시간 적합
참가자 특이사항: 참가자별 임계값 7.5, 후보 24개 중 22개 검증</x:t>
        </x:r>
      </x:text>
    </x:comment>
    <x:comment ref="O33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784.7 s (현재 선택/추천 799.3 s)</x:t>
        </x:r>
      </x:text>
    </x:comment>
    <x:comment ref="Q34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799.3 s
M07 3-2 시작: 799.3 s
가까운 후보: 799.3, 784.7
3번 픽업-2: 16.3 s / 예상 5~90 s / 시간 적합
참가자 특이사항: 참가자별 임계값 7.5, 후보 24개 중 22개 검증</x:t>
        </x:r>
      </x:text>
    </x:comment>
    <x:comment ref="Q33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799.3 s (현재 선택/추천 784.7 s)</x:t>
        </x:r>
      </x:text>
    </x:comment>
    <x:comment ref="R34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815.6 s
M08 3-2 종료: 815.6 s
가까운 후보: 815.6
3번 픽업-2: 16.3 s / 예상 5~90 s / 시간 적합
참가자 특이사항: 참가자별 임계값 7.5, 후보 24개 중 22개 검증</x:t>
        </x:r>
      </x:text>
    </x:comment>
    <x:comment ref="T34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906.0 s
M09 4-1 시작: 906.0 s
가까운 후보: 906.0
4번 낙상-즉시: 16.1 s / 예상 5~30 s / 시간 적합
참가자 특이사항: 참가자별 임계값 7.5, 후보 24개 중 22개 검증</x:t>
        </x:r>
      </x:text>
    </x:comment>
    <x:comment ref="V34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922.1 s
M10 4-1 종료: 922.1 s
가까운 후보: 922.1, 933.8
4번 낙상-즉시: 16.1 s / 예상 5~30 s / 시간 적합
참가자 특이사항: 참가자별 임계값 7.5, 후보 24개 중 22개 검증</x:t>
        </x:r>
      </x:text>
    </x:comment>
    <x:comment ref="V33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922.1 s (현재 선택/추천 933.8 s)</x:t>
        </x:r>
      </x:text>
    </x:comment>
    <x:comment ref="X34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933.8 s
M11 4-2 시작: 933.8 s
가까운 후보: 933.8, 922.1
4번 낙상-30초 유지: 45.6 s / 예상 25~75 s / 시간 적합
참가자 특이사항: 참가자별 임계값 7.5, 후보 24개 중 22개 검증</x:t>
        </x:r>
      </x:text>
    </x:comment>
    <x:comment ref="X33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933.8 s (현재 선택/추천 922.1 s)</x:t>
        </x:r>
      </x:text>
    </x:comment>
    <x:comment ref="Z33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973.3 s (현재 선택/추천 979.5 s)
M13 4-3 시작의 대체 후보 973.3 s (현재 선택/추천 988.3 s)</x:t>
        </x:r>
      </x:text>
    </x:comment>
    <x:comment ref="AA34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979.5 s
M12 4-2 종료: 979.5 s
가까운 후보: 979.5, 973.3, 988.3
4번 낙상-30초 유지: 45.6 s / 예상 25~75 s / 시간 적합
참가자 특이사항: 참가자별 임계값 7.5, 후보 24개 중 22개 검증</x:t>
        </x:r>
      </x:text>
    </x:comment>
    <x:comment ref="AA33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979.5 s (현재 선택/추천 988.3 s)</x:t>
        </x:r>
      </x:text>
    </x:comment>
    <x:comment ref="AB33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988.3 s (현재 선택/추천 979.5 s)</x:t>
        </x:r>
      </x:text>
    </x:comment>
    <x:comment ref="AD34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1035.1 s
M14 4-3 종료: 1035.1 s
가까운 후보: 1035.1, 1046.7
4번 낙상-천천히: 46.8 s / 예상 25~90 s / 시간 적합
참가자 특이사항: 참가자별 임계값 7.5, 후보 24개 중 22개 검증</x:t>
        </x:r>
      </x:text>
    </x:comment>
    <x:comment ref="AD33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1035.1 s (현재 선택/추천 1046.7 s)</x:t>
        </x:r>
      </x:text>
    </x:comment>
    <x:comment ref="AE33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1046.7 s (현재 선택/추천 1035.1 s)
M16 4-4 종료의 대체 후보 1046.7 s (현재 선택/추천 1057.0 s)</x:t>
        </x:r>
      </x:text>
    </x:comment>
    <x:comment ref="AG34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1057.0 s
M16 4-4 종료: 1057.0 s
가까운 후보: 1057.0, 1046.7
4번 물건 집기: 10.3 s / 예상 5~40 s / 시간 적합
참가자 특이사항: 참가자별 임계값 7.5, 후보 24개 중 22개 검증</x:t>
        </x:r>
      </x:text>
    </x:comment>
    <x:comment ref="AG33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1057.0 s (현재 선택/추천 1046.7 s)</x:t>
        </x:r>
      </x:text>
    </x:comment>
    <x:comment ref="AI34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1133.8 s
M17 5 시작: 1133.8 s
가까운 후보: 1133.8
5번 코스: 186.5 s / 예상 130~230 s / 시간 적합
참가자 특이사항: 참가자별 임계값 7.5, 후보 24개 중 22개 검증</x:t>
        </x:r>
      </x:text>
    </x:comment>
    <x:comment ref="AK34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1320.3 s
M18 5 종료: 1320.3 s
가까운 후보: 1320.3
5번 코스: 186.5 s / 예상 130~230 s / 시간 적합
참가자 특이사항: 참가자별 임계값 7.5, 후보 24개 중 22개 검증</x:t>
        </x:r>
      </x:text>
    </x:comment>
    <x:comment ref="AM34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1377.1 s
M19 6 시작: 1377.1 s
가까운 후보: 1377.1
6번 왕복: 23.6 s / 예상 5~70 s / 시간 적합
참가자 특이사항: 참가자별 임계값 7.5, 후보 24개 중 22개 검증</x:t>
        </x:r>
      </x:text>
    </x:comment>
    <x:comment ref="AO34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1400.7 s
M20 6 종료: 1400.7 s
가까운 후보: 1400.7
6번 왕복: 23.6 s / 예상 5~70 s / 시간 적합
참가자 특이사항: 참가자별 임계값 7.5, 후보 24개 중 22개 검증</x:t>
        </x:r>
      </x:text>
    </x:comment>
    <x:comment ref="AQ34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1426.9 s
M21 7 시작: 1426.9 s
가까운 후보: 1426.9, 1439.6
7번 자유: 12.7 s / 예상 5~70 s / 시간 적합
참가자 특이사항: 참가자별 임계값 7.5, 후보 24개 중 22개 검증</x:t>
        </x:r>
      </x:text>
    </x:comment>
    <x:comment ref="AQ33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1426.9 s (현재 선택/추천 1439.6 s)</x:t>
        </x:r>
      </x:text>
    </x:comment>
    <x:comment ref="AS34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S07_KDM
값 출처: $2 최종 선택
RAW 8.5V 일치: 없음
전수 후보 일치: 1439.6 s
M22 7 종료: 1439.6 s
가까운 후보: 1439.6, 1426.9
7번 자유: 12.7 s / 예상 5~70 s / 시간 적합
참가자 특이사항: 참가자별 임계값 7.5, 후보 24개 중 22개 검증</x:t>
        </x:r>
      </x:text>
    </x:comment>
    <x:comment ref="AS33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1439.6 s (현재 선택/추천 1426.9 s)</x:t>
        </x:r>
      </x:text>
    </x:comment>
    <x:comment ref="J38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S08_MDO
값 출처: $2 최종 선택
RAW 8.5V 일치: 없음
전수 후보 일치: 260.4 s
M03 2 시작: 260.4 s
가까운 후보: 260.4
2번 호흡: 385.5 s / 예상 240~450 s / 시간 적합
참가자 특이사항: 참가자별 임계값 7.0, 후보 24개 중 22개 검증</x:t>
        </x:r>
      </x:text>
    </x:comment>
    <x:comment ref="K37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636.3 s (현재 선택/추천 645.9 s)</x:t>
        </x:r>
      </x:text>
    </x:comment>
    <x:comment ref="L38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S08_MDO
값 출처: $2 최종 선택
RAW 8.5V 일치: 없음
전수 후보 일치: 645.9 s
M04 2 종료: 645.9 s
가까운 후보: 645.9, 636.3
2번 호흡: 385.5 s / 예상 240~450 s / 시간 적합
참가자 특이사항: 참가자별 임계값 7.0, 후보 24개 중 22개 검증</x:t>
        </x:r>
      </x:text>
    </x:comment>
    <x:comment ref="M37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698.5 s (현재 선택/추천 707.7 s)</x:t>
        </x:r>
      </x:text>
    </x:comment>
    <x:comment ref="N37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707.7 s (현재 선택/추천 698.5 s)
M07 3-2 시작의 대체 후보 707.7 s (현재 선택/추천 721.9 s)</x:t>
        </x:r>
      </x:text>
    </x:comment>
    <x:comment ref="O38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S08_MDO
값 출처: $2 최종 선택
RAW 8.5V 일치: 없음
전수 후보 일치: 721.9 s
M07 3-2 시작: 721.9 s
가까운 후보: 721.9, 732.5, 707.7
3번 픽업-2: 10.6 s / 예상 5~90 s / 시간 적합
참가자 특이사항: 참가자별 임계값 7.0, 후보 24개 중 22개 검증</x:t>
        </x:r>
      </x:text>
    </x:comment>
    <x:comment ref="O37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721.9 s (현재 선택/추천 707.7 s)
M08 3-2 종료의 대체 후보 721.9 s (현재 선택/추천 732.5 s)</x:t>
        </x:r>
      </x:text>
    </x:comment>
    <x:comment ref="P37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732.5 s (현재 선택/추천 721.9 s)</x:t>
        </x:r>
      </x:text>
    </x:comment>
    <x:comment ref="Q37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808.6 s (현재 선택/추천 822.0 s)</x:t>
        </x:r>
      </x:text>
    </x:comment>
    <x:comment ref="R37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822.0 s (현재 선택/추천 808.6 s)
M11 4-2 시작의 대체 후보 822.0 s (현재 선택/추천 831.7 s)</x:t>
        </x:r>
      </x:text>
    </x:comment>
    <x:comment ref="S37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831.7 s (현재 선택/추천 822.0 s)</x:t>
        </x:r>
      </x:text>
    </x:comment>
    <x:comment ref="T37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876.2 s (현재 선택/추천 885.8 s)</x:t>
        </x:r>
      </x:text>
    </x:comment>
    <x:comment ref="U38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S08_MDO
값 출처: $2 최종 선택
RAW 8.5V 일치: 없음
전수 후보 일치: 885.8 s
M13 4-3 시작: 885.8 s
가까운 후보: 885.8, 876.2
4번 낙상-천천히: 47.7 s / 예상 25~90 s / 시간 적합
참가자 특이사항: 참가자별 임계값 7.0, 후보 24개 중 22개 검증</x:t>
        </x:r>
      </x:text>
    </x:comment>
    <x:comment ref="U37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885.8 s (현재 선택/추천 876.2 s)</x:t>
        </x:r>
      </x:text>
    </x:comment>
    <x:comment ref="V37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933.4 s (현재 선택/추천 948.3 s)</x:t>
        </x:r>
      </x:text>
    </x:comment>
    <x:comment ref="W37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948.3 s (현재 선택/추천 933.4 s)</x:t>
        </x:r>
      </x:text>
    </x:comment>
    <x:comment ref="X37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959.2 s (현재 선택/추천 948.3 s)
M16 4-4 종료의 대체 후보 959.2 s (현재 선택/추천 968.7 s)</x:t>
        </x:r>
      </x:text>
    </x:comment>
    <x:comment ref="Y38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S08_MDO
값 출처: $2 최종 선택
RAW 8.5V 일치: 없음
전수 후보 일치: 968.7 s
M16 4-4 종료: 968.7 s
가까운 후보: 968.7, 959.2
4번 물건 집기: 20.3 s / 예상 5~40 s / 시간 적합
참가자 특이사항: 참가자별 임계값 7.0, 후보 24개 중 22개 검증</x:t>
        </x:r>
      </x:text>
    </x:comment>
    <x:comment ref="Z38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S08_MDO
값 출처: $2 최종 선택
RAW 8.5V 일치: 없음
전수 후보 일치: 1021.3 s
M17 5 시작: 1021.3 s
가까운 후보: 1021.3
5번 코스: 185.4 s / 예상 130~230 s / 시간 적합
참가자 특이사항: 참가자별 임계값 7.0, 후보 24개 중 22개 검증</x:t>
        </x:r>
      </x:text>
    </x:comment>
    <x:comment ref="AD37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1274.4 s (현재 선택/추천 1286.2 s)</x:t>
        </x:r>
      </x:text>
    </x:comment>
    <x:comment ref="AE37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1286.2 s (현재 선택/추천 1274.4 s)</x:t>
        </x:r>
      </x:text>
    </x:comment>
    <x:comment ref="H42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16.9 s
M01 1 시작: 16.9 s
가까운 후보: 16.9
1번 호흡: 192.9 s / 예상 150~240 s / 시간 적합
참가자 특이사항: 참가자별 임계값 7.5, 후보 31개 중 22개 검증</x:t>
        </x:r>
      </x:text>
    </x:comment>
    <x:comment ref="K42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209.8 s
M02 1 종료: 209.8 s
가까운 후보: 209.8
1번 호흡: 192.9 s / 예상 150~240 s / 시간 적합
참가자 특이사항: 참가자별 임계값 7.5, 후보 31개 중 22개 검증</x:t>
        </x:r>
      </x:text>
    </x:comment>
    <x:comment ref="M42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272.4 s
M03 2 시작: 272.4 s
가까운 후보: 272.4
2번 호흡: 374.9 s / 예상 240~450 s / 시간 적합
참가자 특이사항: 참가자별 임계값 7.5, 후보 31개 중 22개 검증</x:t>
        </x:r>
      </x:text>
    </x:comment>
    <x:comment ref="U42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647.3 s
M04 2 종료: 647.3 s
가까운 후보: 647.3
2번 호흡: 374.9 s / 예상 240~450 s / 시간 적합
참가자 특이사항: 참가자별 임계값 7.5, 후보 31개 중 22개 검증</x:t>
        </x:r>
      </x:text>
    </x:comment>
    <x:comment ref="W42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781.9 s
M05 3-1 시작: 781.9 s
가까운 후보: 781.9
3번 픽업-1: 21.4 s / 예상 5~90 s / 시간 적합
참가자 특이사항: 참가자별 임계값 7.5, 후보 31개 중 22개 검증</x:t>
        </x:r>
      </x:text>
    </x:comment>
    <x:comment ref="Y42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803.3 s
M06 3-1 종료: 803.3 s
가까운 후보: 803.3
3번 픽업-1: 21.4 s / 예상 5~90 s / 시간 적합
참가자 특이사항: 참가자별 임계값 7.5, 후보 31개 중 22개 검증</x:t>
        </x:r>
      </x:text>
    </x:comment>
    <x:comment ref="AA42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825.6 s
M07 3-2 시작: 825.6 s
가까운 후보: 825.6
3번 픽업-2: 15.9 s / 예상 5~90 s / 시간 적합
참가자 특이사항: 참가자별 임계값 7.5, 후보 31개 중 22개 검증</x:t>
        </x:r>
      </x:text>
    </x:comment>
    <x:comment ref="AD42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951.8 s
M09 4-1 시작: 951.8 s
가까운 후보: 951.8, 960.7
4번 낙상-즉시: 18.0 s / 예상 5~30 s / 시간 적합
참가자 특이사항: 참가자별 임계값 7.5, 후보 31개 중 22개 검증</x:t>
        </x:r>
      </x:text>
    </x:comment>
    <x:comment ref="AE41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960.7 s (현재 선택/추천 951.8 s)
M10 4-1 종료의 대체 후보 960.7 s (현재 선택/추천 969.8 s)</x:t>
        </x:r>
      </x:text>
    </x:comment>
    <x:comment ref="AI41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1030.2 s (현재 선택/추천 1036.1 s)</x:t>
        </x:r>
      </x:text>
    </x:comment>
    <x:comment ref="AJ42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1036.1 s
M12 4-2 종료: 1036.1 s
가까운 후보: 1036.1, 1030.2, 1049.5
4번 낙상-30초 유지: 48.2 s / 예상 25~75 s / 시간 적합
참가자 특이사항: 참가자별 임계값 7.5, 후보 31개 중 22개 검증</x:t>
        </x:r>
      </x:text>
    </x:comment>
    <x:comment ref="AJ41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1036.1 s (현재 선택/추천 1049.5 s)</x:t>
        </x:r>
      </x:text>
    </x:comment>
    <x:comment ref="AK41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1049.5 s (현재 선택/추천 1036.1 s)</x:t>
        </x:r>
      </x:text>
    </x:comment>
    <x:comment ref="AM42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1099.1 s
M14 4-3 종료: 1099.1 s
가까운 후보: 1099.1
4번 낙상-천천히: 49.6 s / 예상 25~90 s / 시간 적합
참가자 특이사항: 참가자별 임계값 7.5, 후보 31개 중 22개 검증</x:t>
        </x:r>
      </x:text>
    </x:comment>
    <x:comment ref="AO42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1121.8 s
M15 4-4 시작: 1121.8 s
가까운 후보: 1121.8, 1134.6
4번 물건 집기: 12.8 s / 예상 5~40 s / 시간 적합
참가자 특이사항: 참가자별 임계값 7.5, 후보 31개 중 22개 검증</x:t>
        </x:r>
      </x:text>
    </x:comment>
    <x:comment ref="AO41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1121.8 s (현재 선택/추천 1134.6 s)</x:t>
        </x:r>
      </x:text>
    </x:comment>
    <x:comment ref="AP41" authorId="1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1134.6 s (현재 선택/추천 1121.8 s)</x:t>
        </x:r>
      </x:text>
    </x:comment>
    <x:comment ref="AR42" authorId="1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1206.6 s
M17 5 시작: 1206.6 s
가까운 후보: 1206.6
5번 코스: 188.2 s / 예상 130~230 s / 시간 적합
참가자 특이사항: 참가자별 임계값 7.5, 후보 31개 중 22개 검증</x:t>
        </x:r>
      </x:text>
    </x:comment>
    <x:comment ref="AT42" authorId="1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1394.8 s
M18 5 종료: 1394.8 s
가까운 후보: 1394.8
5번 코스: 188.2 s / 예상 130~230 s / 시간 적합
참가자 특이사항: 참가자별 임계값 7.5, 후보 31개 중 22개 검증</x:t>
        </x:r>
      </x:text>
    </x:comment>
    <x:comment ref="AV42" authorId="1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1445.0 s
M19 6 시작: 1445.0 s
가까운 후보: 1445.0
6번 왕복: 28.0 s / 예상 5~70 s / 시간 적합
참가자 특이사항: 참가자별 임계값 7.5, 후보 31개 중 22개 검증</x:t>
        </x:r>
      </x:text>
    </x:comment>
    <x:comment ref="AX42" authorId="1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1473.0 s
M20 6 종료: 1473.0 s
가까운 후보: 1473.0
6번 왕복: 28.0 s / 예상 5~70 s / 시간 적합
참가자 특이사항: 참가자별 임계값 7.5, 후보 31개 중 22개 검증</x:t>
        </x:r>
      </x:text>
    </x:comment>
    <x:comment ref="AZ42" authorId="1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S09_HDH
값 출처: $2 최종 선택
RAW 8.5V 일치: 없음
전수 후보 일치: 1499.3 s
M21 7 시작: 1499.3 s
가까운 후보: 1499.3, 1510.9
7번 자유: 11.6 s / 예상 5~70 s / 시간 적합
참가자 특이사항: 참가자별 임계값 7.5, 후보 31개 중 22개 검증</x:t>
        </x:r>
      </x:text>
    </x:comment>
    <x:comment ref="AZ41" authorId="1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1499.3 s (현재 선택/추천 1510.9 s)</x:t>
        </x:r>
      </x:text>
    </x:comment>
    <x:comment ref="BA41" authorId="1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1510.9 s (현재 선택/추천 1499.3 s)</x:t>
        </x:r>
      </x:text>
    </x:comment>
    <x:comment ref="I46" authorId="1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26.1 s
M01 1 시작: 26.1 s
가까운 후보: 26.1
1번 호흡: 186.3 s / 예상 150~240 s / 시간 적합
참가자 특이사항: 참가자별 임계값 8.0, 후보 26개 중 22개 검증</x:t>
        </x:r>
      </x:text>
    </x:comment>
    <x:comment ref="M45" authorId="1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M03 2 시작의 대체 후보 250.6 s (현재 선택/추천 244.7 s)</x:t>
        </x:r>
      </x:text>
    </x:comment>
    <x:comment ref="P46" authorId="1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625.8 s
M04 2 종료: 625.8 s
가까운 후보: 625.8
2번 호흡: 381.1 s / 예상 240~450 s / 시간 적합
참가자 특이사항: 참가자별 임계값 8.0, 후보 26개 중 22개 검증</x:t>
        </x:r>
      </x:text>
    </x:comment>
    <x:comment ref="R46" authorId="1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652.7 s
M05 3-1 시작: 652.7 s
가까운 후보: 652.7, 666.2
3번 픽업-1: 13.5 s / 예상 5~90 s / 시간 적합
참가자 특이사항: 참가자별 임계값 8.0, 후보 26개 중 22개 검증</x:t>
        </x:r>
      </x:text>
    </x:comment>
    <x:comment ref="R45" authorId="1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652.7 s (현재 선택/추천 666.2 s)</x:t>
        </x:r>
      </x:text>
    </x:comment>
    <x:comment ref="T46" authorId="1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666.2 s
M06 3-1 종료: 666.2 s
가까운 후보: 666.2, 652.7
3번 픽업-1: 13.5 s / 예상 5~90 s / 시간 적합
참가자 특이사항: 참가자별 임계값 8.0, 후보 26개 중 22개 검증</x:t>
        </x:r>
      </x:text>
    </x:comment>
    <x:comment ref="T45" authorId="1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666.2 s (현재 선택/추천 652.7 s)</x:t>
        </x:r>
      </x:text>
    </x:comment>
    <x:comment ref="V46" authorId="1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684.6 s
M07 3-2 시작: 684.6 s
가까운 후보: 684.6
3번 픽업-2: 16.8 s / 예상 5~90 s / 시간 적합
참가자 특이사항: 참가자별 임계값 8.0, 후보 26개 중 22개 검증</x:t>
        </x:r>
      </x:text>
    </x:comment>
    <x:comment ref="X46" authorId="1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701.4 s
M08 3-2 종료: 701.4 s
가까운 후보: 701.4
3번 픽업-2: 16.8 s / 예상 5~90 s / 시간 적합
참가자 특이사항: 참가자별 임계값 8.0, 후보 26개 중 22개 검증</x:t>
        </x:r>
      </x:text>
    </x:comment>
    <x:comment ref="Z46" authorId="1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751.7 s
M09 4-1 시작: 751.7 s
가까운 후보: 751.7, 765.2
4번 낙상-즉시: 13.4 s / 예상 5~30 s / 시간 적합
참가자 특이사항: 참가자별 임계값 8.0, 후보 26개 중 22개 검증</x:t>
        </x:r>
      </x:text>
    </x:comment>
    <x:comment ref="Z45" authorId="1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751.7 s (현재 선택/추천 765.2 s)</x:t>
        </x:r>
      </x:text>
    </x:comment>
    <x:comment ref="AB46" authorId="1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765.2 s
M10 4-1 종료: 765.2 s
가까운 후보: 765.2, 777.5, 751.7
4번 낙상-즉시: 13.4 s / 예상 5~30 s / 시간 적합
참가자 특이사항: 참가자별 임계값 8.0, 후보 26개 중 22개 검증</x:t>
        </x:r>
      </x:text>
    </x:comment>
    <x:comment ref="AB45" authorId="1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765.2 s (현재 선택/추천 751.7 s)
M11 4-2 시작의 대체 후보 765.2 s (현재 선택/추천 777.5 s)</x:t>
        </x:r>
      </x:text>
    </x:comment>
    <x:comment ref="AD46" authorId="1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777.5 s
M11 4-2 시작: 777.5 s
가까운 후보: 777.5, 765.2
4번 낙상-30초 유지: 46.2 s / 예상 25~75 s / 시간 적합
참가자 특이사항: 참가자별 임계값 8.0, 후보 26개 중 22개 검증</x:t>
        </x:r>
      </x:text>
    </x:comment>
    <x:comment ref="AD45" authorId="1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777.5 s (현재 선택/추천 765.2 s)</x:t>
        </x:r>
      </x:text>
    </x:comment>
    <x:comment ref="AF45" authorId="1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819.1 s (현재 선택/추천 823.7 s)</x:t>
        </x:r>
      </x:text>
    </x:comment>
    <x:comment ref="AG46" authorId="2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같은 경계에 가까운 대체 후보가 둘 이상 있음
참가자: S10_JKH
값 출처: $2 최종 선택
RAW 8.5V 일치: 없음
전수 후보 일치: 823.7 s
M12 4-2 종료: 823.7 s
가까운 후보: 823.7, 819.1, 835.3
4번 낙상-30초 유지: 46.2 s / 예상 25~75 s / 시간 적합
참가자 특이사항: 참가자별 임계값 8.0, 후보 26개 중 22개 검증</x:t>
        </x:r>
      </x:text>
    </x:comment>
    <x:comment ref="AG45" authorId="2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823.7 s (현재 선택/추천 835.3 s)</x:t>
        </x:r>
      </x:text>
    </x:comment>
    <x:comment ref="AI46" authorId="2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835.3 s
M13 4-3 시작: 835.3 s
가까운 후보: 835.3, 823.7
4번 낙상-천천히: 42.3 s / 예상 25~90 s / 시간 적합
참가자 특이사항: 참가자별 임계값 8.0, 후보 26개 중 22개 검증</x:t>
        </x:r>
      </x:text>
    </x:comment>
    <x:comment ref="AI45" authorId="2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835.3 s (현재 선택/추천 823.7 s)</x:t>
        </x:r>
      </x:text>
    </x:comment>
    <x:comment ref="AJ46" authorId="2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S10_JKH
값 출처: $2 최종 선택
RAW 8.5V 일치: 876.5 s
전수 후보 일치: 877.6 s
M14 4-3 종료: 877.6 s
가까운 후보: 877.6, 881.9
4번 낙상-천천히: 42.3 s / 예상 25~90 s / 시간 적합
참가자 특이사항: 참가자별 임계값 8.0, 후보 26개 중 22개 검증</x:t>
        </x:r>
      </x:text>
    </x:comment>
    <x:comment ref="AJ45" authorId="2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877.6 s (현재 선택/추천 881.9 s)</x:t>
        </x:r>
      </x:text>
    </x:comment>
    <x:comment ref="AK46" authorId="2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같은 경계에 가까운 대체 후보가 둘 이상 있음
참가자: S10_JKH
값 출처: $2 최종 선택
RAW 8.5V 일치: 없음
전수 후보 일치: 881.9 s
M15 4-4 시작: 881.9 s
가까운 후보: 881.9, 877.6, 896.5
4번 물건 집기: 28.7 s / 예상 5~40 s / 시간 적합
참가자 특이사항: 참가자별 임계값 8.0, 후보 26개 중 22개 검증</x:t>
        </x:r>
      </x:text>
    </x:comment>
    <x:comment ref="AK45" authorId="2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881.9 s (현재 선택/추천 877.6 s)</x:t>
        </x:r>
      </x:text>
    </x:comment>
    <x:comment ref="AM45" authorId="2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896.5 s (현재 선택/추천 881.9 s)
M16 4-4 종료의 대체 후보 896.5 s (현재 선택/추천 910.5 s)</x:t>
        </x:r>
      </x:text>
    </x:comment>
    <x:comment ref="AO46" authorId="2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910.5 s
M16 4-4 종료: 910.5 s
가까운 후보: 910.5, 896.5
4번 물건 집기: 28.7 s / 예상 5~40 s / 시간 적합
참가자 특이사항: 참가자별 임계값 8.0, 후보 26개 중 22개 검증</x:t>
        </x:r>
      </x:text>
    </x:comment>
    <x:comment ref="AQ46" authorId="2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934.8 s
M17 5 시작: 934.8 s
가까운 후보: 934.8
5번 코스: 183.2 s / 예상 130~230 s / 시간 적합
참가자 특이사항: 참가자별 임계값 8.0, 후보 26개 중 22개 검증</x:t>
        </x:r>
      </x:text>
    </x:comment>
    <x:comment ref="AS46" authorId="2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1118.0 s
M18 5 종료: 1118.0 s
가까운 후보: 1118.0
5번 코스: 183.2 s / 예상 130~230 s / 시간 적합
참가자 특이사항: 참가자별 임계값 8.0, 후보 26개 중 22개 검증</x:t>
        </x:r>
      </x:text>
    </x:comment>
    <x:comment ref="AU46" authorId="2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1134.6 s
M19 6 시작: 1134.6 s
가까운 후보: 1134.6
6번 왕복: 23.6 s / 예상 5~70 s / 시간 적합
참가자 특이사항: 참가자별 임계값 8.0, 후보 26개 중 22개 검증</x:t>
        </x:r>
      </x:text>
    </x:comment>
    <x:comment ref="AW46" authorId="2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1158.2 s
M20 6 종료: 1158.2 s
가까운 후보: 1158.2
6번 왕복: 23.6 s / 예상 5~70 s / 시간 적합
참가자 특이사항: 참가자별 임계값 8.0, 후보 26개 중 22개 검증</x:t>
        </x:r>
      </x:text>
    </x:comment>
    <x:comment ref="AY46" authorId="2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1173.7 s
M21 7 시작: 1173.7 s
가까운 후보: 1173.7, 1187.1
7번 자유: 13.4 s / 예상 5~70 s / 시간 적합
참가자 특이사항: 참가자별 임계값 8.0, 후보 26개 중 22개 검증</x:t>
        </x:r>
      </x:text>
    </x:comment>
    <x:comment ref="AY45" authorId="2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1173.7 s (현재 선택/추천 1187.1 s)</x:t>
        </x:r>
      </x:text>
    </x:comment>
    <x:comment ref="BA46" authorId="2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S10_JKH
값 출처: $2 최종 선택
RAW 8.5V 일치: 없음
전수 후보 일치: 1187.1 s
M22 7 종료: 1187.1 s
가까운 후보: 1187.1, 1173.7
7번 자유: 13.4 s / 예상 5~70 s / 시간 적합
참가자 특이사항: 참가자별 임계값 8.0, 후보 26개 중 22개 검증</x:t>
        </x:r>
      </x:text>
    </x:comment>
    <x:comment ref="BA45" authorId="2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1187.1 s (현재 선택/추천 1173.7 s)</x:t>
        </x:r>
      </x:text>
    </x:comment>
    <x:comment ref="H50" authorId="2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S11_SJE
값 출처: 시간패턴 추천(미확정)
RAW 8.5V 일치: 17.9 s
전수 후보 일치: 15.3 s
M01 1 시작: 15.3 s
가까운 후보: 15.3
1번 호흡: 192.2 s / 예상 150~240 s / 시간 적합
참가자 특이사항: 후반 마커 다수 누락/과검출 — 수동 검토 필요</x:t>
        </x:r>
      </x:text>
    </x:comment>
    <x:comment ref="I50" authorId="2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207.5 s
M02 1 종료: 207.5 s
가까운 후보: 207.5
1번 호흡: 192.2 s / 예상 150~240 s / 시간 적합
참가자 특이사항: 후반 마커 다수 누락/과검출 — 수동 검토 필요</x:t>
        </x:r>
      </x:text>
    </x:comment>
    <x:comment ref="K50" authorId="2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260.6 s
M03 2 시작: 260.6 s
가까운 후보: 260.6, 266.1
2번 호흡: 375.0 s / 예상 240~450 s / 시간 적합
참가자 특이사항: 후반 마커 다수 누락/과검출 — 수동 검토 필요</x:t>
        </x:r>
      </x:text>
    </x:comment>
    <x:comment ref="L49" authorId="2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M03 2 시작의 대체 후보 266.1 s (현재 선택/추천 260.6 s)</x:t>
        </x:r>
      </x:text>
    </x:comment>
    <x:comment ref="N50" authorId="2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S11_SJE
값 출처: 시간패턴 추천(미확정)
RAW 8.5V 일치: 638.9 s
전수 후보 일치: 635.6 s
M04 2 종료: 635.6 s
가까운 후보: 635.6
2번 호흡: 375.0 s / 예상 240~450 s / 시간 적합
참가자 특이사항: 후반 마커 다수 누락/과검출 — 수동 검토 필요</x:t>
        </x:r>
      </x:text>
    </x:comment>
    <x:comment ref="O50" authorId="2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759.2 s
M05 3-1 시작: 759.2 s
가까운 후보: 759.2, 771.9
3번 픽업-1: 12.7 s / 예상 5~90 s / 시간 적합
참가자 특이사항: 후반 마커 다수 누락/과검출 — 수동 검토 필요</x:t>
        </x:r>
      </x:text>
    </x:comment>
    <x:comment ref="O49" authorId="2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759.2 s (현재 선택/추천 771.9 s)</x:t>
        </x:r>
      </x:text>
    </x:comment>
    <x:comment ref="P50" authorId="2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771.9 s
M06 3-1 종료: 771.9 s
가까운 후보: 771.9, 759.2
3번 픽업-1: 12.7 s / 예상 5~90 s / 시간 적합
참가자 특이사항: 후반 마커 다수 누락/과검출 — 수동 검토 필요</x:t>
        </x:r>
      </x:text>
    </x:comment>
    <x:comment ref="P49" authorId="2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771.9 s (현재 선택/추천 759.2 s)</x:t>
        </x:r>
      </x:text>
    </x:comment>
    <x:comment ref="Q50" authorId="2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S11_SJE
값 출처: 시간패턴 추천(미확정)
RAW 8.5V 일치: 793.3 s
전수 후보 일치: 791.7 s
M07 3-2 시작: 791.7 s
가까운 후보: 791.7, 802.1
3번 픽업-2: 10.4 s / 예상 5~90 s / 시간 적합
참가자 특이사항: 후반 마커 다수 누락/과검출 — 수동 검토 필요</x:t>
        </x:r>
      </x:text>
    </x:comment>
    <x:comment ref="Q49" authorId="2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791.7 s (현재 선택/추천 802.1 s)</x:t>
        </x:r>
      </x:text>
    </x:comment>
    <x:comment ref="R50" authorId="2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S11_SJE
값 출처: 시간패턴 추천(미확정)
RAW 8.5V 일치: 805.4 s
전수 후보 일치: 802.1 s
M08 3-2 종료: 802.1 s
가까운 후보: 802.1, 791.7
3번 픽업-2: 10.4 s / 예상 5~90 s / 시간 적합
참가자 특이사항: 후반 마커 다수 누락/과검출 — 수동 검토 필요</x:t>
        </x:r>
      </x:text>
    </x:comment>
    <x:comment ref="R49" authorId="2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802.1 s (현재 선택/추천 791.7 s)</x:t>
        </x:r>
      </x:text>
    </x:comment>
    <x:comment ref="S50" authorId="2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894.9 s
M09 4-1 시작: 894.9 s
가까운 후보: 894.9, 904.0, 909.4
4번 낙상-즉시: 9.1 s / 예상 5~30 s / 시간 적합
참가자 특이사항: 후반 마커 다수 누락/과검출 — 수동 검토 필요</x:t>
        </x:r>
      </x:text>
    </x:comment>
    <x:comment ref="S49" authorId="2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894.9 s (현재 선택/추천 904.0 s)</x:t>
        </x:r>
      </x:text>
    </x:comment>
    <x:comment ref="U50" authorId="2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904.0 s
M10 4-1 종료: 904.0 s
가까운 후보: 904.0, 909.4, 894.9
4번 낙상-즉시: 9.1 s / 예상 5~30 s / 시간 적합
참가자 특이사항: 후반 마커 다수 누락/과검출 — 수동 검토 필요</x:t>
        </x:r>
      </x:text>
    </x:comment>
    <x:comment ref="U49" authorId="2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904.0 s (현재 선택/추천 894.9 s)
M11 4-2 시작의 대체 후보 904.0 s (현재 선택/추천 909.4 s)
M12 4-2 종료의 대체 후보 904.0 s (현재 선택/추천 914.1 s)</x:t>
        </x:r>
      </x:text>
    </x:comment>
    <x:comment ref="V50" authorId="2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같은 경계에 가까운 대체 후보가 둘 이상 있음 / 4번 낙상-30초 유지 지속시간이 예상 범위를 벗어나거나 경계가 누락됨
참가자: S11_SJE
값 출처: 시간패턴 추천(미확정)
RAW 8.5V 일치: 없음
전수 후보 일치: 909.4 s
M11 4-2 시작: 909.4 s
가까운 후보: 909.4, 914.1, 904.0
4번 낙상-30초 유지: 4.7 s / 예상 25~75 s / 시간 확인 필요
참가자 특이사항: 후반 마커 다수 누락/과검출 — 수동 검토 필요</x:t>
        </x:r>
      </x:text>
    </x:comment>
    <x:comment ref="V49" authorId="2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909.4 s (현재 선택/추천 894.9 s)
M10 4-1 종료의 대체 후보 909.4 s (현재 선택/추천 904.0 s)
M12 4-2 종료의 대체 후보 909.4 s (현재 선택/추천 914.1 s)</x:t>
        </x:r>
      </x:text>
    </x:comment>
    <x:comment ref="W50" authorId="2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같은 경계에 가까운 대체 후보가 둘 이상 있음 / 4번 낙상-30초 유지 지속시간이 예상 범위를 벗어나거나 경계가 누락됨
참가자: S11_SJE
값 출처: 시간패턴 추천(미확정)
RAW 8.5V 일치: 912.7 s
전수 후보 일치: 914.1 s
M12 4-2 종료: 914.1 s
가까운 후보: 914.1, 909.4, 904.0
4번 낙상-30초 유지: 4.7 s / 예상 25~75 s / 시간 확인 필요
참가자 특이사항: 후반 마커 다수 누락/과검출 — 수동 검토 필요</x:t>
        </x:r>
      </x:text>
    </x:comment>
    <x:comment ref="W49" authorId="2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914.1 s (현재 선택/추천 909.4 s)</x:t>
        </x:r>
      </x:text>
    </x:comment>
    <x:comment ref="X50" authorId="2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낙상-천천히 지속시간이 예상 범위를 벗어나거나 경계가 누락됨
참가자: S11_SJE
값 출처: 시간패턴 추천(미확정)
RAW 8.5V 일치: 없음
전수 후보 일치: 938.6 s
M13 4-3 시작: 938.6 s
가까운 후보: 938.6, 950.3
4번 낙상-천천히: 11.7 s / 예상 25~90 s / 시간 확인 필요
참가자 특이사항: 후반 마커 다수 누락/과검출 — 수동 검토 필요</x:t>
        </x:r>
      </x:text>
    </x:comment>
    <x:comment ref="X49" authorId="2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938.6 s (현재 선택/추천 950.3 s)</x:t>
        </x:r>
      </x:text>
    </x:comment>
    <x:comment ref="Y50" authorId="2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낙상-천천히 지속시간이 예상 범위를 벗어나거나 경계가 누락됨
참가자: S11_SJE
값 출처: 시간패턴 추천(미확정)
RAW 8.5V 일치: 없음
전수 후보 일치: 950.3 s
M14 4-3 종료: 950.3 s
가까운 후보: 950.3, 957.4, 938.6
4번 낙상-천천히: 11.7 s / 예상 25~90 s / 시간 확인 필요
참가자 특이사항: 후반 마커 다수 누락/과검출 — 수동 검토 필요</x:t>
        </x:r>
      </x:text>
    </x:comment>
    <x:comment ref="Y49" authorId="2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950.3 s (현재 선택/추천 938.6 s)
M15 4-4 시작의 대체 후보 950.3 s (현재 선택/추천 957.4 s)</x:t>
        </x:r>
      </x:text>
    </x:comment>
    <x:comment ref="Z50" authorId="2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물건 집기 지속시간이 예상 범위를 벗어나거나 경계가 누락됨
참가자: S11_SJE
값 출처: 시간패턴 추천(미확정)
RAW 8.5V 일치: 없음
전수 후보 일치: 957.4 s
M15 4-4 시작: 957.4 s
가까운 후보: 957.4, 950.3
4번 물건 집기: 53.8 s / 예상 5~40 s / 시간 확인 필요
참가자 특이사항: 후반 마커 다수 누락/과검출 — 수동 검토 필요</x:t>
        </x:r>
      </x:text>
    </x:comment>
    <x:comment ref="Z49" authorId="2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957.4 s (현재 선택/추천 950.3 s)</x:t>
        </x:r>
      </x:text>
    </x:comment>
    <x:comment ref="AA50" authorId="2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물건 집기 지속시간이 예상 범위를 벗어나거나 경계가 누락됨
참가자: S11_SJE
값 출처: 시간패턴 추천(미확정)
RAW 8.5V 일치: 없음
전수 후보 일치: 1011.2 s
M16 4-4 종료: 1011.2 s
가까운 후보: 1011.2
4번 물건 집기: 53.8 s / 예상 5~40 s / 시간 확인 필요
참가자 특이사항: 후반 마커 다수 누락/과검출 — 수동 검토 필요</x:t>
        </x:r>
      </x:text>
    </x:comment>
    <x:comment ref="AB50" authorId="2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같은 경계에 가까운 대체 후보가 둘 이상 있음 / 5번 코스 지속시간이 예상 범위를 벗어나거나 경계가 누락됨
참가자: S11_SJE
값 출처: 시간패턴 추천(미확정)
RAW 8.5V 일치: 없음
전수 후보 일치: 1044.1 s
M17 5 시작: 1044.1 s
가까운 후보: 1044.1, 1049.1
5번 코스: 5.0 s / 예상 130~230 s / 시간 확인 필요
참가자 특이사항: 후반 마커 다수 누락/과검출 — 수동 검토 필요</x:t>
        </x:r>
      </x:text>
    </x:comment>
    <x:comment ref="AB49" authorId="2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M18 5 종료의 대체 후보 1044.1 s (현재 선택/추천 1049.1 s)</x:t>
        </x:r>
      </x:text>
    </x:comment>
    <x:comment ref="AC50" authorId="2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같은 경계에 가까운 대체 후보가 둘 이상 있음 / 5번 코스 지속시간이 예상 범위를 벗어나거나 경계가 누락됨
참가자: S11_SJE
값 출처: 시간패턴 추천(미확정)
RAW 8.5V 일치: 없음
전수 후보 일치: 1049.1 s
M18 5 종료: 1049.1 s
가까운 후보: 1049.1, 1044.1, 1062.8
5번 코스: 5.0 s / 예상 130~230 s / 시간 확인 필요
참가자 특이사항: 후반 마커 다수 누락/과검출 — 수동 검토 필요</x:t>
        </x:r>
      </x:text>
    </x:comment>
    <x:comment ref="AC49" authorId="2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M17 5 시작의 대체 후보 1049.1 s (현재 선택/추천 1044.1 s)
M19 6 시작의 대체 후보 1049.1 s (현재 선택/추천 1062.8 s)</x:t>
        </x:r>
      </x:text>
    </x:comment>
    <x:comment ref="AD50" authorId="2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1062.8 s
M19 6 시작: 1062.8 s
가까운 후보: 1062.8, 1072.5, 1049.1
6번 왕복: 9.7 s / 예상 5~70 s / 시간 적합
참가자 특이사항: 후반 마커 다수 누락/과검출 — 수동 검토 필요</x:t>
        </x:r>
      </x:text>
    </x:comment>
    <x:comment ref="AD49" authorId="2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M18 5 종료의 대체 후보 1062.8 s (현재 선택/추천 1049.1 s)
M20 6 종료의 대체 후보 1062.8 s (현재 선택/추천 1072.5 s)</x:t>
        </x:r>
      </x:text>
    </x:comment>
    <x:comment ref="AE50" authorId="2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S11_SJE
값 출처: 시간패턴 추천(미확정)
RAW 8.5V 일치: 없음
전수 후보 일치: 1072.5 s
M20 6 종료: 1072.5 s
가까운 후보: 1072.5, 1062.8
6번 왕복: 9.7 s / 예상 5~70 s / 시간 적합
참가자 특이사항: 후반 마커 다수 누락/과검출 — 수동 검토 필요</x:t>
        </x:r>
      </x:text>
    </x:comment>
    <x:comment ref="AE49" authorId="2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M19 6 시작의 대체 후보 1072.5 s (현재 선택/추천 1062.8 s)</x:t>
        </x:r>
      </x:text>
    </x:comment>
    <x:comment ref="AF50" authorId="2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7번 자유 지속시간이 예상 범위를 벗어나거나 경계가 누락됨
참가자: S11_SJE
값 출처: 시간패턴 추천(미확정)
RAW 8.5V 일치: 없음
전수 후보 일치: 1159.0 s
M21 7 시작: 1159.0 s
가까운 후보: 1159.0
7번 자유: 302.3 s / 예상 5~70 s / 시간 확인 필요
참가자 특이사항: 후반 마커 다수 누락/과검출 — 수동 검토 필요</x:t>
        </x:r>
      </x:text>
    </x:comment>
    <x:comment ref="AJ49" authorId="2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1448.9 s (현재 선택/추천 1461.3 s)</x:t>
        </x:r>
      </x:text>
    </x:comment>
    <x:comment ref="AK50" authorId="2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7번 자유 지속시간이 예상 범위를 벗어나거나 경계가 누락됨
참가자: S11_SJE
값 출처: 시간패턴 추천(미확정)
RAW 8.5V 일치: 없음
전수 후보 일치: 1461.3 s
M22 7 종료: 1461.3 s
가까운 후보: 1461.3, 1448.9
7번 자유: 302.3 s / 예상 5~70 s / 시간 확인 필요
참가자 특이사항: 후반 마커 다수 누락/과검출 — 수동 검토 필요</x:t>
        </x:r>
      </x:text>
    </x:comment>
    <x:comment ref="H54" authorId="2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S12_KDH
값 출처: 시간패턴 추천(미확정)
RAW 8.5V 일치: 20.9 s
전수 후보 일치: 24.5 s
M01 1 시작: 24.5 s
가까운 후보: 24.5
1번 호흡: 198.1 s / 예상 150~240 s / 시간 적합
참가자 특이사항: RSP 마커 누락 및 자동 offset이 탐색 경계(-12초)에 도달 — 수동 검토 필요</x:t>
        </x:r>
      </x:text>
    </x:comment>
    <x:comment ref="I54" authorId="2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222.6 s
M02 1 종료: 222.6 s
가까운 후보: 222.6
1번 호흡: 198.1 s / 예상 150~240 s / 시간 적합
참가자 특이사항: RSP 마커 누락 및 자동 offset이 탐색 경계(-12초)에 도달 — 수동 검토 필요</x:t>
        </x:r>
      </x:text>
    </x:comment>
    <x:comment ref="K54" authorId="2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2번 호흡 지속시간이 예상 범위를 벗어나거나 경계가 누락됨
참가자: S12_KDH
값 출처: 시간패턴 추천(미확정)
RAW 8.5V 일치: 없음
전수 후보 일치: 270.4 s
M03 2 시작: 270.4 s
가까운 후보: 270.4
2번 호흡: 494.0 s / 예상 240~450 s / 시간 확인 필요
참가자 특이사항: RSP 마커 누락 및 자동 offset이 탐색 경계(-12초)에 도달 — 수동 검토 필요</x:t>
        </x:r>
      </x:text>
    </x:comment>
    <x:comment ref="N54" authorId="2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2번 호흡 지속시간이 예상 범위를 벗어나거나 경계가 누락됨
참가자: S12_KDH
값 출처: 시간패턴 추천(미확정)
RAW 8.5V 일치: 없음
전수 후보 일치: 764.5 s
M04 2 종료: 764.5 s
가까운 후보: 764.5, 774.2
2번 호흡: 494.0 s / 예상 240~450 s / 시간 확인 필요
참가자 특이사항: RSP 마커 누락 및 자동 offset이 탐색 경계(-12초)에 도달 — 수동 검토 필요</x:t>
        </x:r>
      </x:text>
    </x:comment>
    <x:comment ref="O53" authorId="2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774.2 s (현재 선택/추천 764.5 s)
M05 3-1 시작의 대체 후보 774.2 s (현재 선택/추천 781.5 s)</x:t>
        </x:r>
      </x:text>
    </x:comment>
    <x:comment ref="P54" authorId="2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781.5 s
M05 3-1 시작: 781.5 s
가까운 후보: 781.5, 774.2
3번 픽업-1: 16.1 s / 예상 5~90 s / 시간 적합
참가자 특이사항: RSP 마커 누락 및 자동 offset이 탐색 경계(-12초)에 도달 — 수동 검토 필요</x:t>
        </x:r>
      </x:text>
    </x:comment>
    <x:comment ref="Q54" authorId="2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797.5 s
M06 3-1 종료: 797.5 s
가까운 후보: 797.5, 806.9
3번 픽업-1: 16.1 s / 예상 5~90 s / 시간 적합
참가자 특이사항: RSP 마커 누락 및 자동 offset이 탐색 경계(-12초)에 도달 — 수동 검토 필요</x:t>
        </x:r>
      </x:text>
    </x:comment>
    <x:comment ref="Q53" authorId="2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797.5 s (현재 선택/추천 806.9 s)</x:t>
        </x:r>
      </x:text>
    </x:comment>
    <x:comment ref="R54" authorId="2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806.9 s
M07 3-2 시작: 806.9 s
가까운 후보: 806.9, 812.9, 797.5
3번 픽업-2: 6.0 s / 예상 5~90 s / 시간 적합
참가자 특이사항: RSP 마커 누락 및 자동 offset이 탐색 경계(-12초)에 도달 — 수동 검토 필요</x:t>
        </x:r>
      </x:text>
    </x:comment>
    <x:comment ref="R53" authorId="2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806.9 s (현재 선택/추천 797.5 s)
M08 3-2 종료의 대체 후보 806.9 s (현재 선택/추천 812.9 s)</x:t>
        </x:r>
      </x:text>
    </x:comment>
    <x:comment ref="S54" authorId="2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812.9 s
M08 3-2 종료: 812.9 s
가까운 후보: 812.9, 806.9
3번 픽업-2: 6.0 s / 예상 5~90 s / 시간 적합
참가자 특이사항: RSP 마커 누락 및 자동 offset이 탐색 경계(-12초)에 도달 — 수동 검토 필요</x:t>
        </x:r>
      </x:text>
    </x:comment>
    <x:comment ref="S53" authorId="2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812.9 s (현재 선택/추천 806.9 s)</x:t>
        </x:r>
      </x:text>
    </x:comment>
    <x:comment ref="T54" authorId="2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936.5 s
M09 4-1 시작: 936.5 s
가까운 후보: 936.5, 941.5, 946.6
4번 낙상-즉시: 5.1 s / 예상 5~30 s / 시간 적합
참가자 특이사항: RSP 마커 누락 및 자동 offset이 탐색 경계(-12초)에 도달 — 수동 검토 필요</x:t>
        </x:r>
      </x:text>
    </x:comment>
    <x:comment ref="T53" authorId="2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936.5 s (현재 선택/추천 941.5 s)</x:t>
        </x:r>
      </x:text>
    </x:comment>
    <x:comment ref="U54" authorId="2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941.5 s
M10 4-1 종료: 941.5 s
가까운 후보: 941.5, 936.5, 946.6
4번 낙상-즉시: 5.1 s / 예상 5~30 s / 시간 적합
참가자 특이사항: RSP 마커 누락 및 자동 offset이 탐색 경계(-12초)에 도달 — 수동 검토 필요</x:t>
        </x:r>
      </x:text>
    </x:comment>
    <x:comment ref="U53" authorId="2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941.5 s (현재 선택/추천 936.5 s)
M11 4-2 시작의 대체 후보 941.5 s (현재 선택/추천 946.6 s)</x:t>
        </x:r>
      </x:text>
    </x:comment>
    <x:comment ref="V54" authorId="2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낙상-30초 유지 지속시간이 예상 범위를 벗어나거나 경계가 누락됨
참가자: S12_KDH
값 출처: 시간패턴 추천(미확정)
RAW 8.5V 일치: 없음
전수 후보 일치: 946.6 s
M11 4-2 시작: 946.6 s
가까운 후보: 946.6, 941.5, 955.0
4번 낙상-30초 유지: 18.6 s / 예상 25~75 s / 시간 확인 필요
참가자 특이사항: RSP 마커 누락 및 자동 offset이 탐색 경계(-12초)에 도달 — 수동 검토 필요</x:t>
        </x:r>
      </x:text>
    </x:comment>
    <x:comment ref="V53" authorId="2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946.6 s (현재 선택/추천 936.5 s)
M10 4-1 종료의 대체 후보 946.6 s (현재 선택/추천 941.5 s)</x:t>
        </x:r>
      </x:text>
    </x:comment>
    <x:comment ref="W53" authorId="2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955.0 s (현재 선택/추천 946.6 s)
M12 4-2 종료의 대체 후보 955.0 s (현재 선택/추천 965.3 s)</x:t>
        </x:r>
      </x:text>
    </x:comment>
    <x:comment ref="X54" authorId="2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4번 낙상-30초 유지 지속시간이 예상 범위를 벗어나거나 경계가 누락됨
참가자: S12_KDH
값 출처: 시간패턴 추천(미확정)
RAW 8.5V 일치: 없음
전수 후보 일치: 965.3 s
M12 4-2 종료: 965.3 s
가까운 후보: 965.3, 973.1, 955.0
4번 낙상-30초 유지: 18.6 s / 예상 25~75 s / 시간 확인 필요
참가자 특이사항: RSP 마커 누락 및 자동 offset이 탐색 경계(-12초)에 도달 — 수동 검토 필요</x:t>
        </x:r>
      </x:text>
    </x:comment>
    <x:comment ref="X53" authorId="2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965.3 s (현재 선택/추천 973.1 s)</x:t>
        </x:r>
      </x:text>
    </x:comment>
    <x:comment ref="Y54" authorId="2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973.1 s
M13 4-3 시작: 973.1 s
가까운 후보: 973.1, 965.3
4번 낙상-천천히: 37.7 s / 예상 25~90 s / 시간 적합
참가자 특이사항: RSP 마커 누락 및 자동 offset이 탐색 경계(-12초)에 도달 — 수동 검토 필요</x:t>
        </x:r>
      </x:text>
    </x:comment>
    <x:comment ref="Y53" authorId="2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973.1 s (현재 선택/추천 965.3 s)</x:t>
        </x:r>
      </x:text>
    </x:comment>
    <x:comment ref="Z54" authorId="2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1010.8 s
M14 4-3 종료: 1010.8 s
가까운 후보: 1010.8, 1024.3
4번 낙상-천천히: 37.7 s / 예상 25~90 s / 시간 적합
참가자 특이사항: RSP 마커 누락 및 자동 offset이 탐색 경계(-12초)에 도달 — 수동 검토 필요</x:t>
        </x:r>
      </x:text>
    </x:comment>
    <x:comment ref="Z53" authorId="2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1010.8 s (현재 선택/추천 1024.3 s)</x:t>
        </x:r>
      </x:text>
    </x:comment>
    <x:comment ref="AA54" authorId="2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1024.3 s
M15 4-4 시작: 1024.3 s
가까운 후보: 1024.3, 1033.0, 1010.8
4번 물건 집기: 8.7 s / 예상 5~40 s / 시간 적합
참가자 특이사항: RSP 마커 누락 및 자동 offset이 탐색 경계(-12초)에 도달 — 수동 검토 필요</x:t>
        </x:r>
      </x:text>
    </x:comment>
    <x:comment ref="AA53" authorId="2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1024.3 s (현재 선택/추천 1010.8 s)
M16 4-4 종료의 대체 후보 1024.3 s (현재 선택/추천 1033.0 s)</x:t>
        </x:r>
      </x:text>
    </x:comment>
    <x:comment ref="AB54" authorId="2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1033.0 s
M16 4-4 종료: 1033.0 s
가까운 후보: 1033.0, 1024.3
4번 물건 집기: 8.7 s / 예상 5~40 s / 시간 적합
참가자 특이사항: RSP 마커 누락 및 자동 offset이 탐색 경계(-12초)에 도달 — 수동 검토 필요</x:t>
        </x:r>
      </x:text>
    </x:comment>
    <x:comment ref="AB53" authorId="2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1033.0 s (현재 선택/추천 1024.3 s)</x:t>
        </x:r>
      </x:text>
    </x:comment>
    <x:comment ref="AD54" authorId="2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5번 코스 지속시간이 예상 범위를 벗어나거나 경계가 누락됨
참가자: S12_KDH
값 출처: 시간패턴 추천(미확정)
RAW 8.5V 일치: 없음
전수 후보 일치: 1089.3 s
M17 5 시작: 1089.3 s
가까운 후보: 1089.3, 1097.0, 1102.5
5번 코스: 269.3 s / 예상 130~230 s / 시간 확인 필요
참가자 특이사항: RSP 마커 누락 및 자동 offset이 탐색 경계(-12초)에 도달 — 수동 검토 필요</x:t>
        </x:r>
      </x:text>
    </x:comment>
    <x:comment ref="AE53" authorId="2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M17 5 시작의 대체 후보 1097.0 s (현재 선택/추천 1089.3 s)</x:t>
        </x:r>
      </x:text>
    </x:comment>
    <x:comment ref="AF53" authorId="2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M17 5 시작의 대체 후보 1102.5 s (현재 선택/추천 1089.3 s)</x:t>
        </x:r>
      </x:text>
    </x:comment>
    <x:comment ref="AG54" authorId="2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5번 코스 지속시간이 예상 범위를 벗어나거나 경계가 누락됨
참가자: S12_KDH
값 출처: 시간패턴 추천(미확정)
RAW 8.5V 일치: 없음
전수 후보 일치: 1358.6 s
M18 5 종료: 1358.6 s
가까운 후보: 1358.6
5번 코스: 269.3 s / 예상 130~230 s / 시간 확인 필요
참가자 특이사항: RSP 마커 누락 및 자동 offset이 탐색 경계(-12초)에 도달 — 수동 검토 필요</x:t>
        </x:r>
      </x:text>
    </x:comment>
    <x:comment ref="AI54" authorId="2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1416.6 s
M19 6 시작: 1416.6 s
가까운 후보: 1416.6
6번 왕복: 29.5 s / 예상 5~70 s / 시간 적합
참가자 특이사항: RSP 마커 누락 및 자동 offset이 탐색 경계(-12초)에 도달 — 수동 검토 필요</x:t>
        </x:r>
      </x:text>
    </x:comment>
    <x:comment ref="AK54" authorId="2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1446.1 s
M20 6 종료: 1446.1 s
가까운 후보: 1446.1
6번 왕복: 29.5 s / 예상 5~70 s / 시간 적합
참가자 특이사항: RSP 마커 누락 및 자동 offset이 탐색 경계(-12초)에 도달 — 수동 검토 필요</x:t>
        </x:r>
      </x:text>
    </x:comment>
    <x:comment ref="AM54" authorId="2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1488.4 s
M21 7 시작: 1488.4 s
가까운 후보: 1488.4, 1498.6
7번 자유: 10.2 s / 예상 5~70 s / 시간 적합
참가자 특이사항: RSP 마커 누락 및 자동 offset이 탐색 경계(-12초)에 도달 — 수동 검토 필요</x:t>
        </x:r>
      </x:text>
    </x:comment>
    <x:comment ref="AM53" authorId="2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1488.4 s (현재 선택/추천 1498.6 s)</x:t>
        </x:r>
      </x:text>
    </x:comment>
    <x:comment ref="AO54" authorId="2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S12_KDH
값 출처: 시간패턴 추천(미확정)
RAW 8.5V 일치: 없음
전수 후보 일치: 1498.6 s
M22 7 종료: 1498.6 s
가까운 후보: 1498.6, 1488.4
7번 자유: 10.2 s / 예상 5~70 s / 시간 적합
참가자 특이사항: RSP 마커 누락 및 자동 offset이 탐색 경계(-12초)에 도달 — 수동 검토 필요</x:t>
        </x:r>
      </x:text>
    </x:comment>
    <x:comment ref="AO53" authorId="2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1498.6 s (현재 선택/추천 1488.4 s)</x:t>
        </x:r>
      </x:text>
    </x:comment>
    <x:comment ref="AA57" authorId="2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643.4 s (현재 선택/추천 656.8 s)</x:t>
        </x:r>
      </x:text>
    </x:comment>
    <x:comment ref="AB57" authorId="2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652.1 s (현재 선택/추천 643.4 s)
M06 3-1 종료의 대체 후보 652.1 s (현재 선택/추천 656.8 s)</x:t>
        </x:r>
      </x:text>
    </x:comment>
    <x:comment ref="AC58" authorId="2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S13_KTW
값 출처: $2 최종 선택
RAW 8.5V 일치: 658.3 s
전수 후보 일치: 656.8 s
M06 3-1 종료: 656.8 s
가까운 후보: 656.8, 652.1, 643.4
3번 픽업-1: 13.4 s / 예상 5~90 s / 시간 적합
참가자 특이사항: 자동 후보를 RSP 돌출·레이더 움직임·실험 순서로 수동 보정</x:t>
        </x:r>
      </x:text>
    </x:comment>
    <x:comment ref="AC57" authorId="2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656.8 s (현재 선택/추천 643.4 s)</x:t>
        </x:r>
      </x:text>
    </x:comment>
    <x:comment ref="AE57" authorId="3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680.7 s (현재 선택/추천 684.9 s)</x:t>
        </x:r>
      </x:text>
    </x:comment>
    <x:comment ref="AF58" authorId="3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 / 같은 경계에 가까운 대체 후보가 둘 이상 있음
참가자: S13_KTW
값 출처: $2 최종 선택
RAW 8.5V 일치: 없음
전수 후보 일치: 없음
M08 3-2 종료: 684.9 s
가까운 후보: 688.2, 680.7
3번 픽업-2: 9.4 s / 예상 5~90 s / 시간 적합
참가자 특이사항: 자동 후보를 RSP 돌출·레이더 움직임·실험 순서로 수동 보정</x:t>
        </x:r>
      </x:text>
    </x:comment>
    <x:comment ref="AG57" authorId="3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688.2 s (현재 선택/추천 675.5 s)</x:t>
        </x:r>
      </x:text>
    </x:comment>
    <x:comment ref="AI58" authorId="3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 / 4번 낙상-즉시 지속시간이 예상 범위를 벗어나거나 경계가 누락됨
참가자: S13_KTW
값 출처: $2 최종 선택
RAW 8.5V 일치: 없음
전수 후보 일치: 없음
M09 4-1 시작: 699.2 s
가까운 후보: 688.2
4번 낙상-즉시: 43.8 s / 예상 5~30 s / 시간 확인 필요
참가자 특이사항: 자동 후보를 RSP 돌출·레이더 움직임·실험 순서로 수동 보정</x:t>
        </x:r>
      </x:text>
    </x:comment>
    <x:comment ref="AK57" authorId="3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733.4 s (현재 선택/추천 743.0 s)</x:t>
        </x:r>
      </x:text>
    </x:comment>
    <x:comment ref="AL58" authorId="3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4번 낙상-즉시 지속시간이 예상 범위를 벗어나거나 경계가 누락됨
참가자: S13_KTW
값 출처: $2 최종 선택
RAW 8.5V 일치: 741.4 s
전수 후보 일치: 742.1 s
M10 4-1 종료: 743.0 s
가까운 후보: 742.1, 733.4, 756.9
4번 낙상-즉시: 43.8 s / 예상 5~30 s / 시간 확인 필요
참가자 특이사항: 자동 후보를 RSP 돌출·레이더 움직임·실험 순서로 수동 보정</x:t>
        </x:r>
      </x:text>
    </x:comment>
    <x:comment ref="AM57" authorId="3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756.9 s (현재 선택/추천 743.0 s)</x:t>
        </x:r>
      </x:text>
    </x:comment>
    <x:comment ref="AR57" authorId="3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818.2 s (현재 선택/추천 813.2 s)</x:t>
        </x:r>
      </x:text>
    </x:comment>
    <x:comment ref="AT57" authorId="3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857.8 s (현재 선택/추천 864.7 s)</x:t>
        </x:r>
      </x:text>
    </x:comment>
    <x:comment ref="AV58" authorId="3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S13_KTW
값 출처: $2 최종 선택
RAW 8.5V 일치: 없음
전수 후보 일치: 없음
M14 4-3 종료: 864.7 s
가까운 후보: 861.9, 857.8, 872.4
4번 낙상-천천히: 51.5 s / 예상 25~90 s / 시간 적합
참가자 특이사항: 자동 후보를 RSP 돌출·레이더 움직임·실험 순서로 수동 보정</x:t>
        </x:r>
      </x:text>
    </x:comment>
    <x:comment ref="AW58" authorId="3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S13_KTW
값 출처: $2 최종 선택
RAW 8.5V 일치: 873.9 s
전수 후보 일치: 872.4 s
M15 4-4 시작: 874.3 s
가까운 후보: 872.4, 877.6, 882.2
4번 물건 집기: 12.1 s / 예상 5~40 s / 시간 적합
참가자 특이사항: 자동 후보를 RSP 돌출·레이더 움직임·실험 순서로 수동 보정</x:t>
        </x:r>
      </x:text>
    </x:comment>
    <x:comment ref="AW57" authorId="3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872.4 s (현재 선택/추천 864.7 s)</x:t>
        </x:r>
      </x:text>
    </x:comment>
    <x:comment ref="AX57" authorId="3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877.6 s (현재 선택/추천 874.3 s)
M16 4-4 종료의 대체 후보 877.6 s (현재 선택/추천 886.4 s)</x:t>
        </x:r>
      </x:text>
    </x:comment>
    <x:comment ref="AY57" authorId="3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882.2 s (현재 선택/추천 874.3 s)
M16 4-4 종료의 대체 후보 882.2 s (현재 선택/추천 886.4 s)</x:t>
        </x:r>
      </x:text>
    </x:comment>
    <x:comment ref="AZ58" authorId="3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S13_KTW
값 출처: $2 최종 선택
RAW 8.5V 일치: 888.8 s
전수 후보 일치: 888.2 s
M16 4-4 종료: 886.4 s
가까운 후보: 888.2, 882.2, 877.6
4번 물건 집기: 12.1 s / 예상 5~40 s / 시간 적합
참가자 특이사항: 자동 후보를 RSP 돌출·레이더 움직임·실험 순서로 수동 보정</x:t>
        </x:r>
      </x:text>
    </x:comment>
    <x:comment ref="BC58" authorId="3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S13_KTW
값 출처: $2 최종 선택
RAW 8.5V 일치: 없음
전수 후보 일치: 없음
M17 5 시작: 920.5 s
가까운 후보: 917.2
5번 코스: 189.4 s / 예상 130~230 s / 시간 적합
참가자 특이사항: 자동 후보를 RSP 돌출·레이더 움직임·실험 순서로 수동 보정</x:t>
        </x:r>
      </x:text>
    </x:comment>
    <x:comment ref="BE58" authorId="3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S13_KTW
값 출처: $2 최종 선택
RAW 8.5V 일치: 없음
전수 후보 일치: 없음
M19 6 시작: 1129.3 s
가까운 후보: 없음
6번 왕복: 24.0 s / 예상 5~70 s / 시간 적합
참가자 특이사항: 자동 후보를 RSP 돌출·레이더 움직임·실험 순서로 수동 보정</x:t>
        </x:r>
      </x:text>
    </x:comment>
    <x:comment ref="BJ57" authorId="3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1189.9 s (현재 선택/추천 1178.9 s)</x:t>
        </x:r>
      </x:text>
    </x:comment>
    <x:comment ref="J62" authorId="3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S14_MDO
값 출처: $2 최종 선택
RAW 8.5V 일치: 없음
전수 후보 일치: 234.0 s
M03 2 시작: 234.0 s
가까운 후보: 234.0
2번 호흡: 373.5 s / 예상 240~450 s / 시간 적합
참가자 특이사항: 참가자별 임계값 6.5, 후보 24개 중 22개 검증</x:t>
        </x:r>
      </x:text>
    </x:comment>
    <x:comment ref="M61" authorId="3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636.1 s (현재 선택/추천 649.3 s)</x:t>
        </x:r>
      </x:text>
    </x:comment>
    <x:comment ref="N61" authorId="3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649.3 s (현재 선택/추천 636.1 s)</x:t>
        </x:r>
      </x:text>
    </x:comment>
    <x:comment ref="O61" authorId="3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668.1 s (현재 선택/추천 679.0 s)</x:t>
        </x:r>
      </x:text>
    </x:comment>
    <x:comment ref="P61" authorId="3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679.0 s (현재 선택/추천 668.1 s)</x:t>
        </x:r>
      </x:text>
    </x:comment>
    <x:comment ref="Q61" authorId="3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729.1 s (현재 선택/추천 741.4 s)</x:t>
        </x:r>
      </x:text>
    </x:comment>
    <x:comment ref="R61" authorId="3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741.4 s (현재 선택/추천 729.1 s)
M11 4-2 시작의 대체 후보 741.4 s (현재 선택/추천 749.5 s)</x:t>
        </x:r>
      </x:text>
    </x:comment>
    <x:comment ref="S61" authorId="3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749.5 s (현재 선택/추천 741.4 s)</x:t>
        </x:r>
      </x:text>
    </x:comment>
    <x:comment ref="T62" authorId="3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S14_MDO
값 출처: $2 최종 선택
RAW 8.5V 일치: 790.9 s
전수 후보 일치: 790.9 s
M12 4-2 종료: 790.9 s
가까운 후보: 790.9, 795.5, 802.3
4번 낙상-30초 유지: 41.3 s / 예상 25~75 s / 시간 적합
참가자 특이사항: 참가자별 임계값 6.5, 후보 24개 중 22개 검증</x:t>
        </x:r>
      </x:text>
    </x:comment>
    <x:comment ref="T61" authorId="3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790.9 s (현재 선택/추천 802.3 s)</x:t>
        </x:r>
      </x:text>
    </x:comment>
    <x:comment ref="U61" authorId="3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795.5 s (현재 선택/추천 790.9 s)
M13 4-3 시작의 대체 후보 795.5 s (현재 선택/추천 802.3 s)</x:t>
        </x:r>
      </x:text>
    </x:comment>
    <x:comment ref="V61" authorId="3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802.3 s (현재 선택/추천 790.9 s)</x:t>
        </x:r>
      </x:text>
    </x:comment>
    <x:comment ref="X62" authorId="3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S14_MDO
값 출처: $2 최종 선택
RAW 8.5V 일치: 없음
전수 후보 일치: 860.7 s
M15 4-4 시작: 860.7 s
가까운 후보: 860.7, 867.7
4번 물건 집기: 7.1 s / 예상 5~40 s / 시간 적합
참가자 특이사항: 참가자별 임계값 6.5, 후보 24개 중 22개 검증</x:t>
        </x:r>
      </x:text>
    </x:comment>
    <x:comment ref="X61" authorId="3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860.7 s (현재 선택/추천 867.7 s)</x:t>
        </x:r>
      </x:text>
    </x:comment>
    <x:comment ref="Y62" authorId="3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S14_MDO
값 출처: $2 최종 선택
RAW 8.5V 일치: 없음
전수 후보 일치: 867.7 s
M16 4-4 종료: 867.7 s
가까운 후보: 867.7, 860.7
4번 물건 집기: 7.1 s / 예상 5~40 s / 시간 적합
참가자 특이사항: 참가자별 임계값 6.5, 후보 24개 중 22개 검증</x:t>
        </x:r>
      </x:text>
    </x:comment>
    <x:comment ref="Y61" authorId="3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867.7 s (현재 선택/추천 860.7 s)</x:t>
        </x:r>
      </x:text>
    </x:comment>
    <x:comment ref="Z62" authorId="3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S14_MDO
값 출처: $2 최종 선택
RAW 8.5V 일치: 없음
전수 후보 일치: 892.4 s
M17 5 시작: 892.4 s
가까운 후보: 892.4
5번 코스: 184.9 s / 예상 130~230 s / 시간 적합
참가자 특이사항: 참가자별 임계값 6.5, 후보 24개 중 22개 검증</x:t>
        </x:r>
      </x:text>
    </x:comment>
    <x:comment ref="AA62" authorId="3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S14_MDO
값 출처: $2 최종 선택
RAW 8.5V 일치: 없음
전수 후보 일치: 1077.2 s
M18 5 종료: 1077.2 s
가까운 후보: 1077.2, 1089.3
5번 코스: 184.9 s / 예상 130~230 s / 시간 적합
참가자 특이사항: 참가자별 임계값 6.5, 후보 24개 중 22개 검증</x:t>
        </x:r>
      </x:text>
    </x:comment>
    <x:comment ref="AA61" authorId="3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M19 6 시작의 대체 후보 1077.2 s (현재 선택/추천 1089.3 s)</x:t>
        </x:r>
      </x:text>
    </x:comment>
    <x:comment ref="AB61" authorId="3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M18 5 종료의 대체 후보 1089.3 s (현재 선택/추천 1077.2 s)</x:t>
        </x:r>
      </x:text>
    </x:comment>
    <x:comment ref="AC61" authorId="3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1109.7 s (현재 선택/추천 1124.2 s)</x:t>
        </x:r>
      </x:text>
    </x:comment>
    <x:comment ref="AD62" authorId="3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S14_MDO
값 출처: $2 최종 선택
RAW 8.5V 일치: 없음
전수 후보 일치: 1124.2 s
M21 7 시작: 1124.2 s
가까운 후보: 1124.2, 1135.3, 1109.7
7번 자유: 11.1 s / 예상 5~70 s / 시간 적합
참가자 특이사항: 참가자별 임계값 6.5, 후보 24개 중 22개 검증</x:t>
        </x:r>
      </x:text>
    </x:comment>
    <x:comment ref="AD61" authorId="3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M20 6 종료의 대체 후보 1124.2 s (현재 선택/추천 1109.7 s)
M22 7 종료의 대체 후보 1124.2 s (현재 선택/추천 1135.3 s)</x:t>
        </x:r>
      </x:text>
    </x:comment>
    <x:comment ref="AE61" authorId="3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1135.3 s (현재 선택/추천 1124.2 s)</x:t>
        </x:r>
      </x:text>
    </x:comment>
    <x:comment ref="I66" authorId="3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S15_JKH
값 출처: $2 최종 선택
RAW 8.5V 일치: 없음
전수 후보 일치: 199.3 s
M02 1 종료: 199.3 s
가까운 후보: 199.3, 205.9
1번 호흡: 193.8 s / 예상 150~240 s / 시간 적합
참가자 특이사항: 참가자별 임계값 8.0, 후보 29개 중 22개 검증</x:t>
        </x:r>
      </x:text>
    </x:comment>
    <x:comment ref="J65" authorId="3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M02 1 종료의 대체 후보 205.9 s (현재 선택/추천 199.3 s)</x:t>
        </x:r>
      </x:text>
    </x:comment>
    <x:comment ref="K65" authorId="3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M03 2 시작의 대체 후보 225.8 s (현재 선택/추천 234.2 s)</x:t>
        </x:r>
      </x:text>
    </x:comment>
    <x:comment ref="M66" authorId="3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같은 경계에 가까운 대체 후보가 둘 이상 있음
참가자: S15_JKH
값 출처: $2 최종 선택
RAW 8.5V 일치: 없음
전수 후보 일치: 599.2 s
M04 2 종료: 599.2 s
가까운 후보: 599.2, 603.4, 608.2
2번 호흡: 365.0 s / 예상 240~450 s / 시간 적합
참가자 특이사항: 참가자별 임계값 8.0, 후보 29개 중 22개 검증</x:t>
        </x:r>
      </x:text>
    </x:comment>
    <x:comment ref="N65" authorId="3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603.4 s (현재 선택/추천 599.2 s)</x:t>
        </x:r>
      </x:text>
    </x:comment>
    <x:comment ref="O65" authorId="3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608.2 s (현재 선택/추천 599.2 s)</x:t>
        </x:r>
      </x:text>
    </x:comment>
    <x:comment ref="P65" authorId="3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631.5 s (현재 선택/추천 642.4 s)</x:t>
        </x:r>
      </x:text>
    </x:comment>
    <x:comment ref="Q65" authorId="3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642.4 s (현재 선택/추천 631.5 s)</x:t>
        </x:r>
      </x:text>
    </x:comment>
    <x:comment ref="U65" authorId="3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724.8 s (현재 선택/추천 732.9 s)</x:t>
        </x:r>
      </x:text>
    </x:comment>
    <x:comment ref="V65" authorId="3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732.9 s (현재 선택/추천 724.8 s)</x:t>
        </x:r>
      </x:text>
    </x:comment>
    <x:comment ref="W65" authorId="3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782.1 s (현재 선택/추천 790.7 s)</x:t>
        </x:r>
      </x:text>
    </x:comment>
    <x:comment ref="X65" authorId="3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790.7 s (현재 선택/추천 782.1 s)</x:t>
        </x:r>
      </x:text>
    </x:comment>
    <x:comment ref="Y65" authorId="3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795.8 s (현재 선택/추천 782.1 s)
M13 4-3 시작의 대체 후보 795.8 s (현재 선택/추천 790.7 s)</x:t>
        </x:r>
      </x:text>
    </x:comment>
    <x:comment ref="Z65" authorId="3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836.4 s (현재 선택/추천 849.2 s)</x:t>
        </x:r>
      </x:text>
    </x:comment>
    <x:comment ref="AA65" authorId="3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849.2 s (현재 선택/추천 836.4 s)</x:t>
        </x:r>
      </x:text>
    </x:comment>
    <x:comment ref="AB65" authorId="3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855.3 s (현재 선택/추천 849.2 s)</x:t>
        </x:r>
      </x:text>
    </x:comment>
    <x:comment ref="AC65" authorId="3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866.9 s (현재 선택/추천 871.5 s)</x:t>
        </x:r>
      </x:text>
    </x:comment>
    <x:comment ref="AD66" authorId="3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S15_JKH
값 출처: $2 최종 선택
RAW 8.5V 일치: 871.5 s
전수 후보 일치: 871.5 s
M16 4-4 종료: 871.5 s
가까운 후보: 871.5, 866.9
4번 물건 집기: 22.3 s / 예상 5~40 s / 시간 적합
참가자 특이사항: 참가자별 임계값 8.0, 후보 29개 중 22개 검증</x:t>
        </x:r>
      </x:text>
    </x:comment>
    <x:comment ref="AH65" authorId="3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1120.2 s (현재 선택/추천 1134.6 s)</x:t>
        </x:r>
      </x:text>
    </x:comment>
    <x:comment ref="AI65" authorId="3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M20 6 종료의 대체 후보 1134.6 s (현재 선택/추천 1120.2 s)
M22 7 종료의 대체 후보 1134.6 s (현재 선택/추천 1147.9 s)</x:t>
        </x:r>
      </x:text>
    </x:comment>
    <x:comment ref="AJ65" authorId="3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1147.9 s (현재 선택/추천 1134.6 s)</x:t>
        </x:r>
      </x:text>
    </x:comment>
    <x:comment ref="I69" authorId="3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M01 1 시작의 대체 후보 18.7 s (현재 선택/추천 12.9 s)</x:t>
        </x:r>
      </x:text>
    </x:comment>
    <x:comment ref="K70" authorId="3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2번 호흡 지속시간이 예상 범위를 벗어나거나 경계가 누락됨
참가자: S16_LJH
값 출처: $2 최종 선택
RAW 8.5V 일치: 282.0 s
전수 후보 일치: 282.0 s
M03 2 시작: 282.0 s
가까운 후보: 282.0
2번 호흡: 477.1 s / 예상 240~450 s / 시간 확인 필요
참가자 특이사항: 참가자별 임계값 8.0, 후보 28개 중 22개 검증</x:t>
        </x:r>
      </x:text>
    </x:comment>
    <x:comment ref="Q70" authorId="3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2번 호흡 지속시간이 예상 범위를 벗어나거나 경계가 누락됨
참가자: S16_LJH
값 출처: $2 최종 선택
RAW 8.5V 일치: 759.1 s
전수 후보 일치: 759.1 s
M04 2 종료: 759.1 s
가까운 후보: 759.1, 771.1
2번 호흡: 477.1 s / 예상 240~450 s / 시간 확인 필요
참가자 특이사항: 참가자별 임계값 8.0, 후보 28개 중 22개 검증</x:t>
        </x:r>
      </x:text>
    </x:comment>
    <x:comment ref="Q69" authorId="3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759.1 s (현재 선택/추천 771.1 s)</x:t>
        </x:r>
      </x:text>
    </x:comment>
    <x:comment ref="R69" authorId="3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771.1 s (현재 선택/추천 759.1 s)
M06 3-1 종료의 대체 후보 771.1 s (현재 선택/추천 780.8 s)</x:t>
        </x:r>
      </x:text>
    </x:comment>
    <x:comment ref="S69" authorId="3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780.8 s (현재 선택/추천 771.1 s)</x:t>
        </x:r>
      </x:text>
    </x:comment>
    <x:comment ref="T69" authorId="3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800.3 s (현재 선택/추천 814.1 s)</x:t>
        </x:r>
      </x:text>
    </x:comment>
    <x:comment ref="U69" authorId="3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814.1 s (현재 선택/추천 800.3 s)</x:t>
        </x:r>
      </x:text>
    </x:comment>
    <x:comment ref="W69" authorId="3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945.2 s (현재 선택/추천 956.2 s)</x:t>
        </x:r>
      </x:text>
    </x:comment>
    <x:comment ref="X69" authorId="3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956.2 s (현재 선택/추천 945.2 s)</x:t>
        </x:r>
      </x:text>
    </x:comment>
    <x:comment ref="Y70" authorId="3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S16_LJH
값 출처: $2 최종 선택
RAW 8.5V 일치: 없음
전수 후보 일치: 1004.2 s
M12 4-2 종료: 1004.2 s
가까운 후보: 1004.2, 1017.0
4번 낙상-30초 유지: 48.0 s / 예상 25~75 s / 시간 적합
참가자 특이사항: 참가자별 임계값 8.0, 후보 28개 중 22개 검증</x:t>
        </x:r>
      </x:text>
    </x:comment>
    <x:comment ref="Y69" authorId="3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1004.2 s (현재 선택/추천 1017.0 s)</x:t>
        </x:r>
      </x:text>
    </x:comment>
    <x:comment ref="Z70" authorId="3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S16_LJH
값 출처: $2 최종 선택
RAW 8.5V 일치: 없음
전수 후보 일치: 1017.0 s
M13 4-3 시작: 1017.0 s
가까운 후보: 1017.0, 1004.2
4번 낙상-천천히: 45.3 s / 예상 25~90 s / 시간 적합
참가자 특이사항: 참가자별 임계값 8.0, 후보 28개 중 22개 검증</x:t>
        </x:r>
      </x:text>
    </x:comment>
    <x:comment ref="Z69" authorId="3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1017.0 s (현재 선택/추천 1004.2 s)</x:t>
        </x:r>
      </x:text>
    </x:comment>
    <x:comment ref="AB69" authorId="3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1077.6 s (현재 선택/추천 1089.0 s)</x:t>
        </x:r>
      </x:text>
    </x:comment>
    <x:comment ref="AC69" authorId="3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1089.0 s (현재 선택/추천 1077.6 s)</x:t>
        </x:r>
      </x:text>
    </x:comment>
    <x:comment ref="H74" authorId="3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15.9 s
M01 1 시작: 15.9 s
가까운 후보: 15.9
1번 호흡: 193.9 s / 예상 150~240 s / 시간 적합
참가자 특이사항: 참가자별 임계값 7.0, 후보 24개 중 22개 검증</x:t>
        </x:r>
      </x:text>
    </x:comment>
    <x:comment ref="J74" authorId="3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209.8 s
M02 1 종료: 209.8 s
가까운 후보: 209.8
1번 호흡: 193.9 s / 예상 150~240 s / 시간 적합
참가자 특이사항: 참가자별 임계값 7.0, 후보 24개 중 22개 검증</x:t>
        </x:r>
      </x:text>
    </x:comment>
    <x:comment ref="L73" authorId="3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M03 2 시작의 대체 후보 227.9 s (현재 선택/추천 232.9 s)</x:t>
        </x:r>
      </x:text>
    </x:comment>
    <x:comment ref="M74" authorId="3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232.9 s
M03 2 시작: 232.9 s
가까운 후보: 232.9, 227.9
2번 호흡: 371.4 s / 예상 240~450 s / 시간 적합
참가자 특이사항: 참가자별 임계값 7.0, 후보 24개 중 22개 검증</x:t>
        </x:r>
      </x:text>
    </x:comment>
    <x:comment ref="P74" authorId="3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604.3 s
M04 2 종료: 604.3 s
가까운 후보: 604.3
2번 호흡: 371.4 s / 예상 240~450 s / 시간 적합
참가자 특이사항: 참가자별 임계값 7.0, 후보 24개 중 22개 검증</x:t>
        </x:r>
      </x:text>
    </x:comment>
    <x:comment ref="R74" authorId="3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663.2 s
M05 3-1 시작: 663.2 s
가까운 후보: 663.2, 676.8
3번 픽업-1: 13.6 s / 예상 5~90 s / 시간 적합
참가자 특이사항: 참가자별 임계값 7.0, 후보 24개 중 22개 검증</x:t>
        </x:r>
      </x:text>
    </x:comment>
    <x:comment ref="R73" authorId="3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663.2 s (현재 선택/추천 676.8 s)</x:t>
        </x:r>
      </x:text>
    </x:comment>
    <x:comment ref="T74" authorId="3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676.8 s
M06 3-1 종료: 676.8 s
가까운 후보: 676.8, 663.2
3번 픽업-1: 13.6 s / 예상 5~90 s / 시간 적합
참가자 특이사항: 참가자별 임계값 7.0, 후보 24개 중 22개 검증</x:t>
        </x:r>
      </x:text>
    </x:comment>
    <x:comment ref="T73" authorId="3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676.8 s (현재 선택/추천 663.2 s)</x:t>
        </x:r>
      </x:text>
    </x:comment>
    <x:comment ref="V74" authorId="3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692.6 s
M07 3-2 시작: 692.6 s
가까운 후보: 692.6, 705.4
3번 픽업-2: 12.8 s / 예상 5~90 s / 시간 적합
참가자 특이사항: 참가자별 임계값 7.0, 후보 24개 중 22개 검증</x:t>
        </x:r>
      </x:text>
    </x:comment>
    <x:comment ref="V73" authorId="3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692.6 s (현재 선택/추천 705.4 s)</x:t>
        </x:r>
      </x:text>
    </x:comment>
    <x:comment ref="X74" authorId="3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705.4 s
M08 3-2 종료: 705.4 s
가까운 후보: 705.4, 692.6
3번 픽업-2: 12.8 s / 예상 5~90 s / 시간 적합
참가자 특이사항: 참가자별 임계값 7.0, 후보 24개 중 22개 검증</x:t>
        </x:r>
      </x:text>
    </x:comment>
    <x:comment ref="X73" authorId="3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705.4 s (현재 선택/추천 692.6 s)</x:t>
        </x:r>
      </x:text>
    </x:comment>
    <x:comment ref="Z74" authorId="3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756.3 s
M09 4-1 시작: 756.3 s
가까운 후보: 756.3, 770.6
4번 낙상-즉시: 14.3 s / 예상 5~30 s / 시간 적합
참가자 특이사항: 참가자별 임계값 7.0, 후보 24개 중 22개 검증</x:t>
        </x:r>
      </x:text>
    </x:comment>
    <x:comment ref="Z73" authorId="3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756.3 s (현재 선택/추천 770.6 s)</x:t>
        </x:r>
      </x:text>
    </x:comment>
    <x:comment ref="AB74" authorId="3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770.6 s
M10 4-1 종료: 770.6 s
가까운 후보: 770.6, 782.4, 756.3
4번 낙상-즉시: 14.3 s / 예상 5~30 s / 시간 적합
참가자 특이사항: 참가자별 임계값 7.0, 후보 24개 중 22개 검증</x:t>
        </x:r>
      </x:text>
    </x:comment>
    <x:comment ref="AB73" authorId="3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770.6 s (현재 선택/추천 756.3 s)
M11 4-2 시작의 대체 후보 770.6 s (현재 선택/추천 782.4 s)</x:t>
        </x:r>
      </x:text>
    </x:comment>
    <x:comment ref="AC74" authorId="3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782.4 s
M11 4-2 시작: 782.4 s
가까운 후보: 782.4, 770.6
4번 낙상-30초 유지: 45.7 s / 예상 25~75 s / 시간 적합
참가자 특이사항: 참가자별 임계값 7.0, 후보 24개 중 22개 검증</x:t>
        </x:r>
      </x:text>
    </x:comment>
    <x:comment ref="AC73" authorId="3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782.4 s (현재 선택/추천 770.6 s)</x:t>
        </x:r>
      </x:text>
    </x:comment>
    <x:comment ref="AE74" authorId="3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828.1 s
M12 4-2 종료: 828.1 s
가까운 후보: 828.1, 842.7
4번 낙상-30초 유지: 45.7 s / 예상 25~75 s / 시간 적합
참가자 특이사항: 참가자별 임계값 7.0, 후보 24개 중 22개 검증</x:t>
        </x:r>
      </x:text>
    </x:comment>
    <x:comment ref="AE73" authorId="3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828.1 s (현재 선택/추천 842.7 s)</x:t>
        </x:r>
      </x:text>
    </x:comment>
    <x:comment ref="AF74" authorId="4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842.7 s
M13 4-3 시작: 842.7 s
가까운 후보: 842.7, 828.1
4번 낙상-천천히: 49.8 s / 예상 25~90 s / 시간 적합
참가자 특이사항: 참가자별 임계값 7.0, 후보 24개 중 22개 검증</x:t>
        </x:r>
      </x:text>
    </x:comment>
    <x:comment ref="AF73" authorId="4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842.7 s (현재 선택/추천 828.1 s)</x:t>
        </x:r>
      </x:text>
    </x:comment>
    <x:comment ref="AH74" authorId="4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892.4 s
M14 4-3 종료: 892.4 s
가까운 후보: 892.4
4번 낙상-천천히: 49.8 s / 예상 25~90 s / 시간 적합
참가자 특이사항: 참가자별 임계값 7.0, 후보 24개 중 22개 검증</x:t>
        </x:r>
      </x:text>
    </x:comment>
    <x:comment ref="AI74" authorId="4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910.9 s
M15 4-4 시작: 910.9 s
가까운 후보: 910.9, 923.9
4번 물건 집기: 13.0 s / 예상 5~40 s / 시간 적합
참가자 특이사항: 참가자별 임계값 7.0, 후보 24개 중 22개 검증</x:t>
        </x:r>
      </x:text>
    </x:comment>
    <x:comment ref="AI73" authorId="4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910.9 s (현재 선택/추천 923.9 s)</x:t>
        </x:r>
      </x:text>
    </x:comment>
    <x:comment ref="AK74" authorId="4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923.9 s
M16 4-4 종료: 923.9 s
가까운 후보: 923.9, 910.9
4번 물건 집기: 13.0 s / 예상 5~40 s / 시간 적합
참가자 특이사항: 참가자별 임계값 7.0, 후보 24개 중 22개 검증</x:t>
        </x:r>
      </x:text>
    </x:comment>
    <x:comment ref="AK73" authorId="4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923.9 s (현재 선택/추천 910.9 s)</x:t>
        </x:r>
      </x:text>
    </x:comment>
    <x:comment ref="AL74" authorId="4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960.8 s
M17 5 시작: 960.8 s
가까운 후보: 960.8
5번 코스: 188.1 s / 예상 130~230 s / 시간 적합
참가자 특이사항: 참가자별 임계값 7.0, 후보 24개 중 22개 검증</x:t>
        </x:r>
      </x:text>
    </x:comment>
    <x:comment ref="AM74" authorId="4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1148.8 s
M18 5 종료: 1148.8 s
가까운 후보: 1148.8
5번 코스: 188.1 s / 예상 130~230 s / 시간 적합
참가자 특이사항: 참가자별 임계값 7.0, 후보 24개 중 22개 검증</x:t>
        </x:r>
      </x:text>
    </x:comment>
    <x:comment ref="AO74" authorId="4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1189.4 s
M19 6 시작: 1189.4 s
가까운 후보: 1189.4
6번 왕복: 25.0 s / 예상 5~70 s / 시간 적합
참가자 특이사항: 참가자별 임계값 7.0, 후보 24개 중 22개 검증</x:t>
        </x:r>
      </x:text>
    </x:comment>
    <x:comment ref="AP74" authorId="4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1214.4 s
M20 6 종료: 1214.4 s
가까운 후보: 1214.4
6번 왕복: 25.0 s / 예상 5~70 s / 시간 적합
참가자 특이사항: 참가자별 임계값 7.0, 후보 24개 중 22개 검증</x:t>
        </x:r>
      </x:text>
    </x:comment>
    <x:comment ref="AQ74" authorId="4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1240.4 s
M21 7 시작: 1240.4 s
가까운 후보: 1240.4, 1253.6
7번 자유: 13.1 s / 예상 5~70 s / 시간 적합
참가자 특이사항: 참가자별 임계값 7.0, 후보 24개 중 22개 검증</x:t>
        </x:r>
      </x:text>
    </x:comment>
    <x:comment ref="AQ73" authorId="4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1240.4 s (현재 선택/추천 1253.6 s)</x:t>
        </x:r>
      </x:text>
    </x:comment>
    <x:comment ref="AS74" authorId="4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S17_RJS
값 출처: $2 최종 선택
RAW 8.5V 일치: 없음
전수 후보 일치: 1253.6 s
M22 7 종료: 1253.6 s
가까운 후보: 1253.6, 1240.4
7번 자유: 13.1 s / 예상 5~70 s / 시간 적합
참가자 특이사항: 참가자별 임계값 7.0, 후보 24개 중 22개 검증</x:t>
        </x:r>
      </x:text>
    </x:comment>
    <x:comment ref="AS73" authorId="4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1253.6 s (현재 선택/추천 1240.4 s)</x:t>
        </x:r>
      </x:text>
    </x:comment>
    <x:comment ref="P77" authorId="4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669.5 s (현재 선택/추천 681.1 s)</x:t>
        </x:r>
      </x:text>
    </x:comment>
    <x:comment ref="Q77" authorId="4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681.1 s (현재 선택/추천 669.5 s)</x:t>
        </x:r>
      </x:text>
    </x:comment>
    <x:comment ref="R77" authorId="4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723.0 s (현재 선택/추천 737.3 s)</x:t>
        </x:r>
      </x:text>
    </x:comment>
    <x:comment ref="S77" authorId="4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737.3 s (현재 선택/추천 723.0 s)
M11 4-2 시작의 대체 후보 737.3 s (현재 선택/추천 746.9 s)</x:t>
        </x:r>
      </x:text>
    </x:comment>
    <x:comment ref="T77" authorId="4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746.9 s (현재 선택/추천 737.3 s)</x:t>
        </x:r>
      </x:text>
    </x:comment>
    <x:comment ref="U77" authorId="4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792.2 s (현재 선택/추천 802.3 s)</x:t>
        </x:r>
      </x:text>
    </x:comment>
    <x:comment ref="V77" authorId="4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802.3 s (현재 선택/추천 792.2 s)</x:t>
        </x:r>
      </x:text>
    </x:comment>
    <x:comment ref="X77" authorId="4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863.3 s (현재 선택/추천 874.4 s)</x:t>
        </x:r>
      </x:text>
    </x:comment>
    <x:comment ref="Y77" authorId="4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874.4 s (현재 선택/추천 863.3 s)</x:t>
        </x:r>
      </x:text>
    </x:comment>
    <x:comment ref="AC77" authorId="4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1127.7 s (현재 선택/추천 1139.9 s)</x:t>
        </x:r>
      </x:text>
    </x:comment>
    <x:comment ref="AD77" authorId="4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M20 6 종료의 대체 후보 1139.9 s (현재 선택/추천 1127.7 s)
M22 7 종료의 대체 후보 1139.9 s (현재 선택/추천 1151.4 s)</x:t>
        </x:r>
      </x:text>
    </x:comment>
    <x:comment ref="AE77" authorId="4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1151.4 s (현재 선택/추천 1139.9 s)</x:t>
        </x:r>
      </x:text>
    </x:comment>
    <x:comment ref="L81" authorId="4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M04 2 종료의 대체 후보 647.5 s (현재 선택/추천 662.1 s)</x:t>
        </x:r>
      </x:text>
    </x:comment>
    <x:comment ref="M82" authorId="4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662.1 s
M04 2 종료: 662.1 s
가까운 후보: 662.1, 647.5
2번 호흡: 390.0 s / 예상 240~450 s / 시간 적합
참가자 특이사항: 참가자별 임계값 7.0, 후보 25개 중 22개 검증</x:t>
        </x:r>
      </x:text>
    </x:comment>
    <x:comment ref="P82" authorId="4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783.9 s
M06 3-1 종료: 783.9 s
가까운 후보: 783.9
3번 픽업-1: 20.3 s / 예상 5~90 s / 시간 적합
참가자 특이사항: 참가자별 임계값 7.0, 후보 25개 중 22개 검증</x:t>
        </x:r>
      </x:text>
    </x:comment>
    <x:comment ref="T82" authorId="4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926.8 s
M09 4-1 시작: 926.8 s
가까운 후보: 926.8
4번 낙상-즉시: 27.3 s / 예상 5~30 s / 시간 적합
참가자 특이사항: 참가자별 임계값 7.0, 후보 25개 중 22개 검증</x:t>
        </x:r>
      </x:text>
    </x:comment>
    <x:comment ref="U81" authorId="4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944.1 s (현재 선택/추천 954.1 s)</x:t>
        </x:r>
      </x:text>
    </x:comment>
    <x:comment ref="V82" authorId="4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954.1 s
M10 4-1 종료: 954.1 s
가까운 후보: 954.1, 962.2, 944.1
4번 낙상-즉시: 27.3 s / 예상 5~30 s / 시간 적합
참가자 특이사항: 참가자별 임계값 7.0, 후보 25개 중 22개 검증</x:t>
        </x:r>
      </x:text>
    </x:comment>
    <x:comment ref="V81" authorId="4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954.1 s (현재 선택/추천 962.2 s)</x:t>
        </x:r>
      </x:text>
    </x:comment>
    <x:comment ref="W81" authorId="4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962.2 s (현재 선택/추천 954.1 s)</x:t>
        </x:r>
      </x:text>
    </x:comment>
    <x:comment ref="X81" authorId="4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1009.6 s (현재 선택/추천 1024.3 s)</x:t>
        </x:r>
      </x:text>
    </x:comment>
    <x:comment ref="Y81" authorId="4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1024.3 s (현재 선택/추천 1009.6 s)</x:t>
        </x:r>
      </x:text>
    </x:comment>
    <x:comment ref="AA82" authorId="4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1096.3 s
M15 4-4 시작: 1096.3 s
가까운 후보: 1096.3, 1106.6
4번 물건 집기: 10.3 s / 예상 5~40 s / 시간 적합
참가자 특이사항: 참가자별 임계값 7.0, 후보 25개 중 22개 검증</x:t>
        </x:r>
      </x:text>
    </x:comment>
    <x:comment ref="AA81" authorId="4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1096.3 s (현재 선택/추천 1106.6 s)</x:t>
        </x:r>
      </x:text>
    </x:comment>
    <x:comment ref="AB81" authorId="4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1106.6 s (현재 선택/추천 1096.3 s)</x:t>
        </x:r>
      </x:text>
    </x:comment>
    <x:comment ref="AC82" authorId="4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1188.5 s
M17 5 시작: 1188.5 s
가까운 후보: 1188.5
5번 코스: 183.9 s / 예상 130~230 s / 시간 적합
참가자 특이사항: 참가자별 임계값 7.0, 후보 25개 중 22개 검증</x:t>
        </x:r>
      </x:text>
    </x:comment>
    <x:comment ref="AE82" authorId="4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S19_CHW
값 출처: $2 최종 선택
RAW 8.5V 일치: 없음
전수 후보 일치: 1429.7 s
M19 6 시작: 1429.7 s
가까운 후보: 1429.7
6번 왕복: 25.2 s / 예상 5~70 s / 시간 적합
참가자 특이사항: 참가자별 임계값 7.0, 후보 25개 중 22개 검증</x:t>
        </x:r>
      </x:text>
    </x:comment>
    <x:comment ref="M86" authorId="4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S20_YSE
값 출처: $2 최종 선택
RAW 8.5V 일치: 없음
전수 후보 일치: 600.7 s
M04 2 종료: 600.7 s
가까운 후보: 600.7
2번 호흡: 371.0 s / 예상 240~450 s / 시간 적합
참가자 특이사항: 참가자별 임계값 6.5, 후보 25개 중 22개 검증</x:t>
        </x:r>
      </x:text>
    </x:comment>
    <x:comment ref="N85" authorId="4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649.0 s (현재 선택/추천 661.7 s)</x:t>
        </x:r>
      </x:text>
    </x:comment>
    <x:comment ref="O85" authorId="4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661.7 s (현재 선택/추천 649.0 s)</x:t>
        </x:r>
      </x:text>
    </x:comment>
    <x:comment ref="P85" authorId="4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681.1 s (현재 선택/추천 693.2 s)</x:t>
        </x:r>
      </x:text>
    </x:comment>
    <x:comment ref="Q85" authorId="4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693.2 s (현재 선택/추천 681.1 s)</x:t>
        </x:r>
      </x:text>
    </x:comment>
    <x:comment ref="R85" authorId="4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756.1 s (현재 선택/추천 770.7 s)</x:t>
        </x:r>
      </x:text>
    </x:comment>
    <x:comment ref="T85" authorId="4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766.4 s (현재 선택/추천 756.1 s)
M10 4-1 종료의 대체 후보 766.4 s (현재 선택/추천 770.7 s)</x:t>
        </x:r>
      </x:text>
    </x:comment>
    <x:comment ref="U86" authorId="4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S20_YSE
값 출처: $2 최종 선택
RAW 8.5V 일치: 769.8 s
전수 후보 일치: 770.7 s
M10 4-1 종료: 770.7 s
가까운 후보: 770.7, 766.4, 756.1
4번 낙상-즉시: 14.6 s / 예상 5~30 s / 시간 적합
참가자 특이사항: 참가자별 임계값 6.5, 후보 25개 중 22개 검증</x:t>
        </x:r>
      </x:text>
    </x:comment>
    <x:comment ref="U85" authorId="4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770.7 s (현재 선택/추천 756.1 s)</x:t>
        </x:r>
      </x:text>
    </x:comment>
    <x:comment ref="W85" authorId="4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836.5 s (현재 선택/추천 847.9 s)</x:t>
        </x:r>
      </x:text>
    </x:comment>
    <x:comment ref="X85" authorId="4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847.9 s (현재 선택/추천 836.5 s)</x:t>
        </x:r>
      </x:text>
    </x:comment>
    <x:comment ref="Y86" authorId="4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같은 경계에 가까운 대체 후보가 둘 이상 있음
참가자: S20_YSE
값 출처: $2 최종 선택
RAW 8.5V 일치: 없음
전수 후보 일치: 890.6 s
M14 4-3 종료: 890.6 s
가까운 후보: 890.6, 894.7
4번 낙상-천천히: 42.7 s / 예상 25~90 s / 시간 적합
참가자 특이사항: 참가자별 임계값 6.5, 후보 25개 중 22개 검증</x:t>
        </x:r>
      </x:text>
    </x:comment>
    <x:comment ref="Y85" authorId="4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890.6 s (현재 선택/추천 894.7 s)</x:t>
        </x:r>
      </x:text>
    </x:comment>
    <x:comment ref="Z86" authorId="4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S20_YSE
값 출처: $2 최종 선택
RAW 8.5V 일치: 894.1 s
전수 후보 일치: 894.7 s
M15 4-4 시작: 894.7 s
가까운 후보: 894.7, 890.6
4번 물건 집기: 32.7 s / 예상 5~40 s / 시간 적합
참가자 특이사항: 참가자별 임계값 6.5, 후보 25개 중 22개 검증</x:t>
        </x:r>
      </x:text>
    </x:comment>
    <x:comment ref="Z85" authorId="4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894.7 s (현재 선택/추천 890.6 s)</x:t>
        </x:r>
      </x:text>
    </x:comment>
    <x:comment ref="AA85" authorId="4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916.3 s (현재 선택/추천 927.4 s)</x:t>
        </x:r>
      </x:text>
    </x:comment>
    <x:comment ref="AE86" authorId="4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S20_YSE
값 출처: $2 최종 선택
RAW 8.5V 일치: 없음
전수 후보 일치: 1178.8 s
M19 6 시작: 1178.8 s
가까운 후보: 1178.8
6번 왕복: 24.2 s / 예상 5~70 s / 시간 적합
참가자 특이사항: 참가자별 임계값 6.5, 후보 25개 중 22개 검증</x:t>
        </x:r>
      </x:text>
    </x:comment>
    <x:comment ref="AF86" authorId="4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S20_YSE
값 출처: $2 최종 선택
RAW 8.5V 일치: 없음
전수 후보 일치: 1203.0 s
M20 6 종료: 1203.0 s
가까운 후보: 1203.0
6번 왕복: 24.2 s / 예상 5~70 s / 시간 적합
참가자 특이사항: 참가자별 임계값 6.5, 후보 25개 중 22개 검증</x:t>
        </x:r>
      </x:text>
    </x:comment>
    <x:comment ref="AG85" authorId="4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1225.3 s (현재 선택/추천 1234.5 s)</x:t>
        </x:r>
      </x:text>
    </x:comment>
    <x:comment ref="AH86" authorId="4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S20_YSE
값 출처: $2 최종 선택
RAW 8.5V 일치: 없음
전수 후보 일치: 1234.5 s
M22 7 종료: 1234.5 s
가까운 후보: 1234.5, 1225.3
7번 자유: 9.2 s / 예상 5~70 s / 시간 적합
참가자 특이사항: 참가자별 임계값 6.5, 후보 25개 중 22개 검증</x:t>
        </x:r>
      </x:text>
    </x:comment>
    <x:comment ref="AH85" authorId="4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1234.5 s (현재 선택/추천 1225.3 s)</x:t>
        </x:r>
      </x:text>
    </x:comment>
    <x:comment ref="M89" authorId="4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654.9 s (현재 선택/추천 668.4 s)</x:t>
        </x:r>
      </x:text>
    </x:comment>
    <x:comment ref="N89" authorId="4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668.4 s (현재 선택/추천 654.9 s)</x:t>
        </x:r>
      </x:text>
    </x:comment>
    <x:comment ref="O89" authorId="4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688.3 s (현재 선택/추천 698.5 s)</x:t>
        </x:r>
      </x:text>
    </x:comment>
    <x:comment ref="P89" authorId="4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698.5 s (현재 선택/추천 688.3 s)</x:t>
        </x:r>
      </x:text>
    </x:comment>
    <x:comment ref="Q89" authorId="4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793.5 s (현재 선택/추천 808.0 s)</x:t>
        </x:r>
      </x:text>
    </x:comment>
    <x:comment ref="R89" authorId="4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808.0 s (현재 선택/추천 793.5 s)
M11 4-2 시작의 대체 후보 808.0 s (현재 선택/추천 816.4 s)</x:t>
        </x:r>
      </x:text>
    </x:comment>
    <x:comment ref="S89" authorId="4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816.4 s (현재 선택/추천 808.0 s)</x:t>
        </x:r>
      </x:text>
    </x:comment>
    <x:comment ref="T89" authorId="4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862.9 s (현재 선택/추천 875.2 s)</x:t>
        </x:r>
      </x:text>
    </x:comment>
    <x:comment ref="U90" authorId="4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S21_PSJ
값 출처: $2 최종 선택
RAW 8.5V 일치: 없음
전수 후보 일치: 875.2 s
M13 4-3 시작: 875.2 s
가까운 후보: 875.2, 862.9
4번 낙상-천천히: 46.1 s / 예상 25~90 s / 시간 적합
참가자 특이사항: 참가자별 임계값 7.5, 후보 25개 중 22개 검증</x:t>
        </x:r>
      </x:text>
    </x:comment>
    <x:comment ref="U89" authorId="4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875.2 s (현재 선택/추천 862.9 s)</x:t>
        </x:r>
      </x:text>
    </x:comment>
    <x:comment ref="X89" authorId="4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958.4 s (현재 선택/추천 970.6 s)</x:t>
        </x:r>
      </x:text>
    </x:comment>
    <x:comment ref="Z90" authorId="4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S21_PSJ
값 출처: $2 최종 선택
RAW 8.5V 일치: 없음
전수 후보 일치: 1012.9 s
M17 5 시작: 1012.9 s
가까운 후보: 1012.9, 1020.4
5번 코스: 196.1 s / 예상 130~230 s / 시간 적합
참가자 특이사항: 참가자별 임계값 7.5, 후보 25개 중 22개 검증</x:t>
        </x:r>
      </x:text>
    </x:comment>
    <x:comment ref="AA89" authorId="4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M17 5 시작의 대체 후보 1020.4 s (현재 선택/추천 1012.9 s)</x:t>
        </x:r>
      </x:text>
    </x:comment>
    <x:comment ref="AE89" authorId="4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1306.7 s (현재 선택/추천 1317.1 s)</x:t>
        </x:r>
      </x:text>
    </x:comment>
    <x:comment ref="AF89" authorId="4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1317.1 s (현재 선택/추천 1306.7 s)</x:t>
        </x:r>
      </x:text>
    </x:comment>
    <x:comment ref="H94" authorId="4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1번 호흡 지속시간이 예상 범위를 벗어나거나 경계가 누락됨
참가자: S22_KJH
값 출처: 시간패턴 추천(미확정)
RAW 8.5V 일치: 없음
전수 후보 일치: 222.0 s
M01 1 시작: 222.0 s
가까운 후보: 222.0
1번 호흡: 82.8 s / 예상 150~240 s / 시간 확인 필요
참가자 특이사항: RSP 초반 마커와 낙상 4번째 종료 마커가 불명확 — 수동 검토 필요</x:t>
        </x:r>
      </x:text>
    </x:comment>
    <x:comment ref="I94" authorId="4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1번 호흡 지속시간이 예상 범위를 벗어나거나 경계가 누락됨
참가자: S22_KJH
값 출처: 시간패턴 추천(미확정)
RAW 8.5V 일치: 없음
전수 후보 일치: 304.8 s
M02 1 종료: 304.8 s
가까운 후보: 304.8, 314.7
1번 호흡: 82.8 s / 예상 150~240 s / 시간 확인 필요
참가자 특이사항: RSP 초반 마커와 낙상 4번째 종료 마커가 불명확 — 수동 검토 필요</x:t>
        </x:r>
      </x:text>
    </x:comment>
    <x:comment ref="I93" authorId="4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M03 2 시작의 대체 후보 304.8 s (현재 선택/추천 314.7 s)</x:t>
        </x:r>
      </x:text>
    </x:comment>
    <x:comment ref="J94" authorId="4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S22_KJH
값 출처: 시간패턴 추천(미확정)
RAW 8.5V 일치: 없음
전수 후보 일치: 314.7 s
M03 2 시작: 314.7 s
가까운 후보: 314.7, 304.8
2번 호흡: 366.7 s / 예상 240~450 s / 시간 적합
참가자 특이사항: RSP 초반 마커와 낙상 4번째 종료 마커가 불명확 — 수동 검토 필요</x:t>
        </x:r>
      </x:text>
    </x:comment>
    <x:comment ref="J93" authorId="4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M02 1 종료의 대체 후보 314.7 s (현재 선택/추천 304.8 s)</x:t>
        </x:r>
      </x:text>
    </x:comment>
    <x:comment ref="K94" authorId="4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S22_KJH
값 출처: 시간패턴 추천(미확정)
RAW 8.5V 일치: 없음
전수 후보 일치: 681.4 s
M04 2 종료: 681.4 s
가까운 후보: 681.4
2번 호흡: 366.7 s / 예상 240~450 s / 시간 적합
참가자 특이사항: RSP 초반 마커와 낙상 4번째 종료 마커가 불명확 — 수동 검토 필요</x:t>
        </x:r>
      </x:text>
    </x:comment>
    <x:comment ref="L94" authorId="4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699.8 s
전수 후보 일치: 698.7 s
M05 3-1 시작: 698.7 s
가까운 후보: 698.7
3번 픽업-1: 17.1 s / 예상 5~90 s / 시간 적합
참가자 특이사항: RSP 초반 마커와 낙상 4번째 종료 마커가 불명확 — 수동 검토 필요</x:t>
        </x:r>
      </x:text>
    </x:comment>
    <x:comment ref="M94" authorId="4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716.2 s
전수 후보 일치: 715.8 s
M06 3-1 종료: 715.8 s
가까운 후보: 715.8
3번 픽업-1: 17.1 s / 예상 5~90 s / 시간 적합
참가자 특이사항: RSP 초반 마커와 낙상 4번째 종료 마커가 불명확 — 수동 검토 필요</x:t>
        </x:r>
      </x:text>
    </x:comment>
    <x:comment ref="N94" authorId="4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734.0 s
전수 후보 일치: 733.6 s
M07 3-2 시작: 733.6 s
가까운 후보: 733.6
3번 픽업-2: 80.3 s / 예상 5~90 s / 시간 적합
참가자 특이사항: RSP 초반 마커와 낙상 4번째 종료 마커가 불명확 — 수동 검토 필요</x:t>
        </x:r>
      </x:text>
    </x:comment>
    <x:comment ref="O94" authorId="4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814.3 s
전수 후보 일치: 813.9 s
M08 3-2 종료: 813.9 s
가까운 후보: 813.9
3번 픽업-2: 80.3 s / 예상 5~90 s / 시간 적합
참가자 특이사항: RSP 초반 마커와 낙상 4번째 종료 마커가 불명확 — 수동 검토 필요</x:t>
        </x:r>
      </x:text>
    </x:comment>
    <x:comment ref="Q94" authorId="4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 / 같은 경계에 가까운 대체 후보가 둘 이상 있음 / 4번 낙상-즉시 지속시간이 예상 범위를 벗어나거나 경계가 누락됨
참가자: S22_KJH
값 출처: 시간패턴 추천(미확정)
RAW 8.5V 일치: 없음
전수 후보 일치: 830.1 s
M09 4-1 시작: 830.1 s
가까운 후보: 830.1, 835.0
4번 낙상-즉시: 4.8 s / 예상 5~30 s / 시간 확인 필요
참가자 특이사항: RSP 초반 마커와 낙상 4번째 종료 마커가 불명확 — 수동 검토 필요</x:t>
        </x:r>
      </x:text>
    </x:comment>
    <x:comment ref="Q93" authorId="4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830.1 s (현재 선택/추천 835.0 s)</x:t>
        </x:r>
      </x:text>
    </x:comment>
    <x:comment ref="R94" authorId="4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같은 경계에 가까운 대체 후보가 둘 이상 있음 / 4번 낙상-즉시 지속시간이 예상 범위를 벗어나거나 경계가 누락됨
참가자: S22_KJH
값 출처: 시간패턴 추천(미확정)
RAW 8.5V 일치: 835.4 s
전수 후보 일치: 835.0 s
M10 4-1 종료: 835.0 s
가까운 후보: 835.0, 830.1, 847.7
4번 낙상-즉시: 4.8 s / 예상 5~30 s / 시간 확인 필요
참가자 특이사항: RSP 초반 마커와 낙상 4번째 종료 마커가 불명확 — 수동 검토 필요</x:t>
        </x:r>
      </x:text>
    </x:comment>
    <x:comment ref="R93" authorId="4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835.0 s (현재 선택/추천 830.1 s)
M11 4-2 시작의 대체 후보 835.0 s (현재 선택/추천 847.7 s)</x:t>
        </x:r>
      </x:text>
    </x:comment>
    <x:comment ref="S94" authorId="4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848.1 s
전수 후보 일치: 847.7 s
M11 4-2 시작: 847.7 s
가까운 후보: 847.7, 835.0
4번 낙상-30초 유지: 46.9 s / 예상 25~75 s / 시간 적합
참가자 특이사항: RSP 초반 마커와 낙상 4번째 종료 마커가 불명확 — 수동 검토 필요</x:t>
        </x:r>
      </x:text>
    </x:comment>
    <x:comment ref="S93" authorId="4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847.7 s (현재 선택/추천 835.0 s)</x:t>
        </x:r>
      </x:text>
    </x:comment>
    <x:comment ref="T94" authorId="4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894.9 s
전수 후보 일치: 894.5 s
M12 4-2 종료: 894.5 s
가까운 후보: 894.5, 903.9
4번 낙상-30초 유지: 46.9 s / 예상 25~75 s / 시간 적합
참가자 특이사항: RSP 초반 마커와 낙상 4번째 종료 마커가 불명확 — 수동 검토 필요</x:t>
        </x:r>
      </x:text>
    </x:comment>
    <x:comment ref="U93" authorId="4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903.9 s (현재 선택/추천 894.5 s)
M13 4-3 시작의 대체 후보 903.9 s (현재 선택/추천 912.0 s)</x:t>
        </x:r>
      </x:text>
    </x:comment>
    <x:comment ref="V94" authorId="4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전수 후보에는 있으나 RAW 8.5V에는 일치값이 없음
참가자: S22_KJH
값 출처: 시간패턴 추천(미확정)
RAW 8.5V 일치: 없음
전수 후보 일치: 912.0 s
M13 4-3 시작: 912.0 s
가까운 후보: 912.0, 903.9
4번 낙상-천천히: 41.1 s / 예상 25~90 s / 시간 적합
참가자 특이사항: RSP 초반 마커와 낙상 4번째 종료 마커가 불명확 — 수동 검토 필요</x:t>
        </x:r>
      </x:text>
    </x:comment>
    <x:comment ref="W93" authorId="4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948.6 s (현재 선택/추천 953.2 s)</x:t>
        </x:r>
      </x:text>
    </x:comment>
    <x:comment ref="X94" authorId="4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 / 같은 경계에 가까운 대체 후보가 둘 이상 있음
참가자: S22_KJH
값 출처: 시간패턴 추천(미확정)
RAW 8.5V 일치: 953.6 s
전수 후보 일치: 953.2 s
M14 4-3 종료: 953.2 s
가까운 후보: 953.2, 948.6
4번 낙상-천천히: 41.1 s / 예상 25~90 s / 시간 적합
참가자 특이사항: RSP 초반 마커와 낙상 4번째 종료 마커가 불명확 — 수동 검토 필요</x:t>
        </x:r>
      </x:text>
    </x:comment>
    <x:comment ref="Y94" authorId="4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971.8 s
전수 후보 일치: 969.7 s
M15 4-4 시작: 969.7 s
가까운 후보: 969.7, 982.2
4번 물건 집기: 12.6 s / 예상 5~40 s / 시간 적합
참가자 특이사항: RSP 초반 마커와 낙상 4번째 종료 마커가 불명확 — 수동 검토 필요</x:t>
        </x:r>
      </x:text>
    </x:comment>
    <x:comment ref="Y93" authorId="5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969.7 s (현재 선택/추천 982.2 s)</x:t>
        </x:r>
      </x:text>
    </x:comment>
    <x:comment ref="Z94" authorId="5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982.6 s
전수 후보 일치: 982.2 s
M16 4-4 종료: 982.2 s
가까운 후보: 982.2, 969.7
4번 물건 집기: 12.6 s / 예상 5~40 s / 시간 적합
참가자 특이사항: RSP 초반 마커와 낙상 4번째 종료 마커가 불명확 — 수동 검토 필요</x:t>
        </x:r>
      </x:text>
    </x:comment>
    <x:comment ref="Z93" authorId="5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982.2 s (현재 선택/추천 969.7 s)</x:t>
        </x:r>
      </x:text>
    </x:comment>
    <x:comment ref="AA94" authorId="5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1050.7 s
전수 후보 일치: 1050.3 s
M17 5 시작: 1050.3 s
가까운 후보: 1050.3
5번 코스: 187.9 s / 예상 130~230 s / 시간 적합
참가자 특이사항: RSP 초반 마커와 낙상 4번째 종료 마커가 불명확 — 수동 검토 필요</x:t>
        </x:r>
      </x:text>
    </x:comment>
    <x:comment ref="AB94" authorId="5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1240.1 s
전수 후보 일치: 1238.2 s
M18 5 종료: 1238.2 s
가까운 후보: 1238.2
5번 코스: 187.9 s / 예상 130~230 s / 시간 적합
참가자 특이사항: RSP 초반 마커와 낙상 4번째 종료 마커가 불명확 — 수동 검토 필요</x:t>
        </x:r>
      </x:text>
    </x:comment>
    <x:comment ref="AC94" authorId="5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1285.4 s
전수 후보 일치: 1285.0 s
M19 6 시작: 1285.0 s
가까운 후보: 1285.0
6번 왕복: 24.5 s / 예상 5~70 s / 시간 적합
참가자 특이사항: RSP 초반 마커와 낙상 4번째 종료 마커가 불명확 — 수동 검토 필요</x:t>
        </x:r>
      </x:text>
    </x:comment>
    <x:comment ref="AD94" authorId="5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1309.9 s
전수 후보 일치: 1309.5 s
M20 6 종료: 1309.5 s
가까운 후보: 1309.5
6번 왕복: 24.5 s / 예상 5~70 s / 시간 적합
참가자 특이사항: RSP 초반 마커와 낙상 4번째 종료 마커가 불명확 — 수동 검토 필요</x:t>
        </x:r>
      </x:text>
    </x:comment>
    <x:comment ref="AE94" authorId="5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1342.5 s
전수 후보 일치: 1342.1 s
M21 7 시작: 1342.1 s
가까운 후보: 1342.1, 1355.9
7번 자유: 13.7 s / 예상 5~70 s / 시간 적합
참가자 특이사항: RSP 초반 마커와 낙상 4번째 종료 마커가 불명확 — 수동 검토 필요</x:t>
        </x:r>
      </x:text>
    </x:comment>
    <x:comment ref="AE93" authorId="5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1342.1 s (현재 선택/추천 1355.9 s)</x:t>
        </x:r>
      </x:text>
    </x:comment>
    <x:comment ref="AF94" authorId="5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시간패턴 추천값으로 아직 확정되지 않음
참가자: S22_KJH
값 출처: 시간패턴 추천(미확정)
RAW 8.5V 일치: 1356.3 s
전수 후보 일치: 1355.9 s
M22 7 종료: 1355.9 s
가까운 후보: 1355.9, 1342.1
7번 자유: 13.7 s / 예상 5~70 s / 시간 적합
참가자 특이사항: RSP 초반 마커와 낙상 4번째 종료 마커가 불명확 — 수동 검토 필요</x:t>
        </x:r>
      </x:text>
    </x:comment>
    <x:comment ref="AF93" authorId="5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1355.9 s (현재 선택/추천 1342.1 s)</x:t>
        </x:r>
      </x:text>
    </x:comment>
    <x:comment ref="I98" authorId="5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17.0 s
M01 1 시작: 17.0 s
가까운 후보: 17.0
1번 호흡: 195.8 s / 예상 150~240 s / 시간 적합
참가자 특이사항: 참가자별 임계값 8.0, 후보 32개 중 22개 검증</x:t>
        </x:r>
      </x:text>
    </x:comment>
    <x:comment ref="K98" authorId="5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212.8 s
M02 1 종료: 212.8 s
가까운 후보: 212.8
1번 호흡: 195.8 s / 예상 150~240 s / 시간 적합
참가자 특이사항: 참가자별 임계값 8.0, 후보 32개 중 22개 검증</x:t>
        </x:r>
      </x:text>
    </x:comment>
    <x:comment ref="W98" authorId="5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603.5 s
M04 2 종료: 603.5 s
가까운 후보: 603.5
2번 호흡: 373.8 s / 예상 240~450 s / 시간 적합
참가자 특이사항: 참가자별 임계값 8.0, 후보 32개 중 22개 검증</x:t>
        </x:r>
      </x:text>
    </x:comment>
    <x:comment ref="Y97" authorId="5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660.0 s (현재 선택/추천 671.1 s)</x:t>
        </x:r>
      </x:text>
    </x:comment>
    <x:comment ref="Z98" authorId="5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671.1 s
M06 3-1 종료: 671.1 s
가까운 후보: 671.1, 660.0
3번 픽업-1: 11.1 s / 예상 5~90 s / 시간 적합
참가자 특이사항: 참가자별 임계값 8.0, 후보 32개 중 22개 검증</x:t>
        </x:r>
      </x:text>
    </x:comment>
    <x:comment ref="Z97" authorId="5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671.1 s (현재 선택/추천 660.0 s)</x:t>
        </x:r>
      </x:text>
    </x:comment>
    <x:comment ref="AB97" authorId="5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691.2 s (현재 선택/추천 702.6 s)</x:t>
        </x:r>
      </x:text>
    </x:comment>
    <x:comment ref="AC98" authorId="5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702.6 s
M08 3-2 종료: 702.6 s
가까운 후보: 702.6, 691.2
3번 픽업-2: 11.4 s / 예상 5~90 s / 시간 적합
참가자 특이사항: 참가자별 임계값 8.0, 후보 32개 중 22개 검증</x:t>
        </x:r>
      </x:text>
    </x:comment>
    <x:comment ref="AC97" authorId="5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702.6 s (현재 선택/추천 691.2 s)</x:t>
        </x:r>
      </x:text>
    </x:comment>
    <x:comment ref="AE97" authorId="5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756.1 s (현재 선택/추천 762.3 s)</x:t>
        </x:r>
      </x:text>
    </x:comment>
    <x:comment ref="AF98" authorId="5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762.3 s
M10 4-1 종료: 762.3 s
가까운 후보: 762.3, 756.1
4번 낙상-즉시: 6.2 s / 예상 5~30 s / 시간 적합
참가자 특이사항: 참가자별 임계값 8.0, 후보 32개 중 22개 검증</x:t>
        </x:r>
      </x:text>
    </x:comment>
    <x:comment ref="AF97" authorId="5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762.3 s (현재 선택/추천 756.1 s)</x:t>
        </x:r>
      </x:text>
    </x:comment>
    <x:comment ref="AH98" authorId="5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777.9 s
M11 4-2 시작: 777.9 s
가까운 후보: 777.9
4번 낙상-30초 유지: 41.7 s / 예상 25~75 s / 시간 적합
참가자 특이사항: 참가자별 임계값 8.0, 후보 32개 중 22개 검증</x:t>
        </x:r>
      </x:text>
    </x:comment>
    <x:comment ref="AJ98" authorId="5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819.6 s
M12 4-2 종료: 819.6 s
가까운 후보: 819.6, 831.4
4번 낙상-30초 유지: 41.7 s / 예상 25~75 s / 시간 적합
참가자 특이사항: 참가자별 임계값 8.0, 후보 32개 중 22개 검증</x:t>
        </x:r>
      </x:text>
    </x:comment>
    <x:comment ref="AJ97" authorId="5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819.6 s (현재 선택/추천 831.4 s)</x:t>
        </x:r>
      </x:text>
    </x:comment>
    <x:comment ref="AL98" authorId="5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831.4 s
M13 4-3 시작: 831.4 s
가까운 후보: 831.4, 841.4, 819.6
4번 낙상-천천히: 49.5 s / 예상 25~90 s / 시간 적합
참가자 특이사항: 참가자별 임계값 8.0, 후보 32개 중 22개 검증</x:t>
        </x:r>
      </x:text>
    </x:comment>
    <x:comment ref="AL97" authorId="5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831.4 s (현재 선택/추천 819.6 s)</x:t>
        </x:r>
      </x:text>
    </x:comment>
    <x:comment ref="AM97" authorId="5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841.4 s (현재 선택/추천 831.4 s)</x:t>
        </x:r>
      </x:text>
    </x:comment>
    <x:comment ref="AO98" authorId="5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880.9 s
M14 4-3 종료: 880.9 s
가까운 후보: 880.9
4번 낙상-천천히: 49.5 s / 예상 25~90 s / 시간 적합
참가자 특이사항: 참가자별 임계값 8.0, 후보 32개 중 22개 검증</x:t>
        </x:r>
      </x:text>
    </x:comment>
    <x:comment ref="AQ97" authorId="5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899.9 s (현재 선택/추천 907.8 s)</x:t>
        </x:r>
      </x:text>
    </x:comment>
    <x:comment ref="AR98" authorId="5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907.8 s
M16 4-4 종료: 907.8 s
가까운 후보: 907.8, 899.9
4번 물건 집기: 7.9 s / 예상 5~40 s / 시간 적합
참가자 특이사항: 참가자별 임계값 8.0, 후보 32개 중 22개 검증</x:t>
        </x:r>
      </x:text>
    </x:comment>
    <x:comment ref="AR97" authorId="5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907.8 s (현재 선택/추천 899.9 s)</x:t>
        </x:r>
      </x:text>
    </x:comment>
    <x:comment ref="AT98" authorId="5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946.6 s
M17 5 시작: 946.6 s
가까운 후보: 946.6
5번 코스: 183.7 s / 예상 130~230 s / 시간 적합
참가자 특이사항: 참가자별 임계값 8.0, 후보 32개 중 22개 검증</x:t>
        </x:r>
      </x:text>
    </x:comment>
    <x:comment ref="AV98" authorId="5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1130.3 s
M18 5 종료: 1130.3 s
가까운 후보: 1130.3
5번 코스: 183.7 s / 예상 130~230 s / 시간 적합
참가자 특이사항: 참가자별 임계값 8.0, 후보 32개 중 22개 검증</x:t>
        </x:r>
      </x:text>
    </x:comment>
    <x:comment ref="AX98" authorId="5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1147.4 s
M19 6 시작: 1147.4 s
가까운 후보: 1147.4
6번 왕복: 23.3 s / 예상 5~70 s / 시간 적합
참가자 특이사항: 참가자별 임계값 8.0, 후보 32개 중 22개 검증</x:t>
        </x:r>
      </x:text>
    </x:comment>
    <x:comment ref="AZ98" authorId="5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1170.7 s
M20 6 종료: 1170.7 s
가까운 후보: 1170.7
6번 왕복: 23.3 s / 예상 5~70 s / 시간 적합
참가자 특이사항: 참가자별 임계값 8.0, 후보 32개 중 22개 검증</x:t>
        </x:r>
      </x:text>
    </x:comment>
    <x:comment ref="BB98" authorId="5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1193.7 s
M21 7 시작: 1193.7 s
가까운 후보: 1193.7, 1202.6
7번 자유: 17.7 s / 예상 5~70 s / 시간 적합
참가자 특이사항: 참가자별 임계값 8.0, 후보 32개 중 22개 검증</x:t>
        </x:r>
      </x:text>
    </x:comment>
    <x:comment ref="BC97" authorId="5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1202.6 s (현재 선택/추천 1193.7 s)
M22 7 종료의 대체 후보 1202.6 s (현재 선택/추천 1211.4 s)</x:t>
        </x:r>
      </x:text>
    </x:comment>
    <x:comment ref="BD98" authorId="5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S23_KDM
값 출처: $2 최종 선택
RAW 8.5V 일치: 없음
전수 후보 일치: 1211.4 s
M22 7 종료: 1211.4 s
가까운 후보: 1211.4, 1202.6
7번 자유: 17.7 s / 예상 5~70 s / 시간 적합
참가자 특이사항: 참가자별 임계값 8.0, 후보 32개 중 22개 검증</x:t>
        </x:r>
      </x:text>
    </x:comment>
    <x:comment ref="I106" authorId="5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S25_GEC
값 출처: $2 최종 선택
RAW 8.5V 일치: 213.0 s
전수 후보 일치: 216.5 s
M02 1 종료: 216.6 s
가까운 후보: 216.5, 220.8
1번 호흡: 197.6 s / 예상 150~240 s / 시간 적합
참가자 특이사항: 자동 후보를 RSP 돌출·레이더 움직임·실험 순서로 수동 보정</x:t>
        </x:r>
      </x:text>
    </x:comment>
    <x:comment ref="J105" authorId="5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M02 1 종료의 대체 후보 220.8 s (현재 선택/추천 216.6 s)</x:t>
        </x:r>
      </x:text>
    </x:comment>
    <x:comment ref="O105" authorId="5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738.6 s (현재 선택/추천 749.3 s)</x:t>
        </x:r>
      </x:text>
    </x:comment>
    <x:comment ref="P105" authorId="5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749.3 s (현재 선택/추천 739.9 s)</x:t>
        </x:r>
      </x:text>
    </x:comment>
    <x:comment ref="R105" authorId="5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863.7 s (현재 선택/추천 848.9 s)
M11 4-2 시작의 대체 후보 863.7 s (현재 선택/추천 874.6 s)</x:t>
        </x:r>
      </x:text>
    </x:comment>
    <x:comment ref="S105" authorId="5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874.5 s (현재 선택/추천 863.8 s)</x:t>
        </x:r>
      </x:text>
    </x:comment>
    <x:comment ref="T105" authorId="5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919.5 s (현재 선택/추천 923.9 s)
M13 4-3 시작의 대체 후보 919.5 s (현재 선택/추천 934.0 s)</x:t>
        </x:r>
      </x:text>
    </x:comment>
    <x:comment ref="U106" authorId="5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S25_GEC
값 출처: $2 최종 선택
RAW 8.5V 일치: 920.4 s
전수 후보 일치: 923.9 s
M12 4-2 종료: 923.9 s
가까운 후보: 923.9, 919.5, 933.9
4번 낙상-30초 유지: 49.3 s / 예상 25~75 s / 시간 적합
참가자 특이사항: 자동 후보를 RSP 돌출·레이더 움직임·실험 순서로 수동 보정</x:t>
        </x:r>
      </x:text>
    </x:comment>
    <x:comment ref="U105" authorId="5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923.9 s (현재 선택/추천 934.0 s)</x:t>
        </x:r>
      </x:text>
    </x:comment>
    <x:comment ref="V105" authorId="5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933.9 s (현재 선택/추천 923.9 s)</x:t>
        </x:r>
      </x:text>
    </x:comment>
    <x:comment ref="W105" authorId="5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M14 4-3 종료의 대체 후보 983.9 s (현재 선택/추천 989.2 s)</x:t>
        </x:r>
      </x:text>
    </x:comment>
    <x:comment ref="Y105" authorId="5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1008.1 s (현재 선택/추천 1021.9 s)</x:t>
        </x:r>
      </x:text>
    </x:comment>
    <x:comment ref="Z105" authorId="5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1021.9 s (현재 선택/추천 1008.1 s)</x:t>
        </x:r>
      </x:text>
    </x:comment>
    <x:comment ref="AC105" authorId="5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M19 6 시작의 대체 후보 1311.7 s (현재 선택/추천 1319.4 s)</x:t>
        </x:r>
      </x:text>
    </x:comment>
    <x:comment ref="AE105" authorId="5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M19 6 시작의 대체 후보 1324.7 s (현재 선택/추천 1319.4 s)</x:t>
        </x:r>
      </x:text>
    </x:comment>
    <x:comment ref="AG105" authorId="5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1373.1 s (현재 선택/추천 1387.4 s)</x:t>
        </x:r>
      </x:text>
    </x:comment>
    <x:comment ref="AH105" authorId="5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1387.4 s (현재 선택/추천 1373.2 s)</x:t>
        </x:r>
      </x:text>
    </x:comment>
    <x:comment ref="L109" authorId="5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687.1 s (현재 선택/추천 700.0 s)</x:t>
        </x:r>
      </x:text>
    </x:comment>
    <x:comment ref="M109" authorId="5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700.0 s (현재 선택/추천 687.1 s)</x:t>
        </x:r>
      </x:text>
    </x:comment>
    <x:comment ref="N109" authorId="5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718.7 s (현재 선택/추천 730.8 s)</x:t>
        </x:r>
      </x:text>
    </x:comment>
    <x:comment ref="O109" authorId="5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730.8 s (현재 선택/추천 718.7 s)</x:t>
        </x:r>
      </x:text>
    </x:comment>
    <x:comment ref="Q109" authorId="5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794.9 s (현재 선택/추천 788.4 s)
M10 4-1 종료의 대체 후보 794.9 s (현재 선택/추천 805.0 s)</x:t>
        </x:r>
      </x:text>
    </x:comment>
    <x:comment ref="R109" authorId="5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805.0 s (현재 선택/추천 817.9 s)</x:t>
        </x:r>
      </x:text>
    </x:comment>
    <x:comment ref="S109" authorId="5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817.9 s (현재 선택/추천 805.0 s)</x:t>
        </x:r>
      </x:text>
    </x:comment>
    <x:comment ref="T109" authorId="5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864.6 s (현재 선택/추천 874.2 s)</x:t>
        </x:r>
      </x:text>
    </x:comment>
    <x:comment ref="U109" authorId="5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874.2 s (현재 선택/추천 864.6 s)</x:t>
        </x:r>
      </x:text>
    </x:comment>
    <x:comment ref="V109" authorId="5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879.3 s (현재 선택/추천 864.6 s)
M13 4-3 시작의 대체 후보 879.3 s (현재 선택/추천 874.2 s)</x:t>
        </x:r>
      </x:text>
    </x:comment>
    <x:comment ref="X109" authorId="5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944.9 s (현재 선택/추천 958.1 s)</x:t>
        </x:r>
      </x:text>
    </x:comment>
    <x:comment ref="Y109" authorId="5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958.1 s (현재 선택/추천 944.9 s)</x:t>
        </x:r>
      </x:text>
    </x:comment>
    <x:comment ref="AD109" authorId="5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1278.0 s (현재 선택/추천 1291.4 s)</x:t>
        </x:r>
      </x:text>
    </x:comment>
    <x:comment ref="AE109" authorId="5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1291.4 s (현재 선택/추천 1278.0 s)</x:t>
        </x:r>
      </x:text>
    </x:comment>
    <x:comment ref="H113" authorId="5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M01 1 시작의 대체 후보 -2.1 s (현재 선택/추천 6.2 s)</x:t>
        </x:r>
      </x:text>
    </x:comment>
    <x:comment ref="J114" authorId="5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S27_HDH
값 출처: $2 최종 선택
RAW 8.5V 일치: 없음
전수 후보 일치: 없음
M02 1 종료: 198.3 s
가까운 후보: 201.9
1번 호흡: 192.1 s / 예상 150~240 s / 시간 적합
참가자 특이사항: 자동 후보를 RSP 돌출·레이더 움직임·실험 순서로 수동 보정</x:t>
        </x:r>
      </x:text>
    </x:comment>
    <x:comment ref="L114" authorId="5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S27_HDH
값 출처: $2 최종 선택
RAW 8.5V 일치: 없음
전수 후보 일치: 없음
M03 2 시작: 221.1 s
가까운 후보: 224.4
2번 호흡: 375.8 s / 예상 240~450 s / 시간 적합
참가자 특이사항: 자동 후보를 RSP 돌출·레이더 움직임·실험 순서로 수동 보정</x:t>
        </x:r>
      </x:text>
    </x:comment>
    <x:comment ref="Y114" authorId="5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S27_HDH
값 출처: $2 최종 선택
RAW 8.5V 일치: 없음
전수 후보 일치: 없음
M07 3-2 시작: 682.1 s
가까운 후보: 684.3
3번 픽업-2: 13.6 s / 예상 5~90 s / 시간 적합
참가자 특이사항: 자동 후보를 RSP 돌출·레이더 움직임·실험 순서로 수동 보정</x:t>
        </x:r>
      </x:text>
    </x:comment>
    <x:comment ref="Z113" authorId="5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684.3 s (현재 선택/추천 695.7 s)</x:t>
        </x:r>
      </x:text>
    </x:comment>
    <x:comment ref="AA114" authorId="5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S27_HDH
값 출처: $2 최종 선택
RAW 8.5V 일치: 없음
전수 후보 일치: 없음
M08 3-2 종료: 695.7 s
가까운 후보: 698.0, 684.3
3번 픽업-2: 13.6 s / 예상 5~90 s / 시간 적합
참가자 특이사항: 자동 후보를 RSP 돌출·레이더 움직임·실험 순서로 수동 보정</x:t>
        </x:r>
      </x:text>
    </x:comment>
    <x:comment ref="AC113" authorId="5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754.6 s (현재 선택/추천 767.2 s)</x:t>
        </x:r>
      </x:text>
    </x:comment>
    <x:comment ref="AD113" authorId="5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762.8 s (현재 선택/추천 754.0 s)
M10 4-1 종료의 대체 후보 762.8 s (현재 선택/추천 767.2 s)</x:t>
        </x:r>
      </x:text>
    </x:comment>
    <x:comment ref="AE114" authorId="5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S27_HDH
값 출처: $2 최종 선택
RAW 8.5V 일치: 770.2 s
전수 후보 일치: 768.6 s
M10 4-1 종료: 767.2 s
가까운 후보: 768.6, 762.8, 754.6
4번 낙상-즉시: 13.2 s / 예상 5~30 s / 시간 적합
참가자 특이사항: 자동 후보를 RSP 돌출·레이더 움직임·실험 순서로 수동 보정</x:t>
        </x:r>
      </x:text>
    </x:comment>
    <x:comment ref="AE113" authorId="5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768.6 s (현재 선택/추천 754.0 s)
M11 4-2 시작의 대체 후보 768.6 s (현재 선택/추천 780.3 s)</x:t>
        </x:r>
      </x:text>
    </x:comment>
    <x:comment ref="AG113" authorId="5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786.5 s (현재 선택/추천 780.3 s)</x:t>
        </x:r>
      </x:text>
    </x:comment>
    <x:comment ref="AH113" authorId="5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826.5 s (현재 선택/추천 838.1 s)</x:t>
        </x:r>
      </x:text>
    </x:comment>
    <x:comment ref="AI114" authorId="5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S27_HDH
값 출처: $2 최종 선택
RAW 8.5V 일치: 없음
전수 후보 일치: 없음
M13 4-3 시작: 838.1 s
가까운 후보: 840.9, 826.5
4번 낙상-천천히: 50.9 s / 예상 25~90 s / 시간 적합
참가자 특이사항: 자동 후보를 RSP 돌출·레이더 움직임·실험 순서로 수동 보정</x:t>
        </x:r>
      </x:text>
    </x:comment>
    <x:comment ref="AJ113" authorId="5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840.9 s (현재 선택/추천 825.9 s)</x:t>
        </x:r>
      </x:text>
    </x:comment>
    <x:comment ref="AL113" authorId="5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911.0 s (현재 선택/추천 922.5 s)</x:t>
        </x:r>
      </x:text>
    </x:comment>
    <x:comment ref="AM113" authorId="5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921.6 s (현재 선택/추천 910.0 s)</x:t>
        </x:r>
      </x:text>
    </x:comment>
    <x:comment ref="AO114" authorId="5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S27_HDH
값 출처: $2 최종 선택
RAW 8.5V 일치: 없음
전수 후보 일치: 없음
M17 5 시작: 972.0 s
가까운 후보: 969.8
5번 코스: 187.6 s / 예상 130~230 s / 시간 적합
참가자 특이사항: 자동 후보를 RSP 돌출·레이더 움직임·실험 순서로 수동 보정</x:t>
        </x:r>
      </x:text>
    </x:comment>
    <x:comment ref="AR114" authorId="5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S27_HDH
값 출처: $2 최종 선택
RAW 8.5V 일치: 없음
전수 후보 일치: 1205.4 s
M20 6 종료: 1205.4 s
가까운 후보: 1205.4
6번 왕복: 22.1 s / 예상 5~70 s / 시간 적합
참가자 특이사항: 자동 후보를 RSP 돌출·레이더 움직임·실험 순서로 수동 보정</x:t>
        </x:r>
      </x:text>
    </x:comment>
    <x:comment ref="AS113" authorId="5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1224.3 s (현재 선택/추천 1236.0 s)</x:t>
        </x:r>
      </x:text>
    </x:comment>
    <x:comment ref="AT113" authorId="5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1236.3 s (현재 선택/추천 1225.3 s)</x:t>
        </x:r>
      </x:text>
    </x:comment>
    <x:comment ref="J118" authorId="5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S28_KDH
값 출처: $2 최종 선택
RAW 8.5V 일치: 없음
전수 후보 일치: 207.6 s
M02 1 종료: 207.6 s
가까운 후보: 207.6, 214.4
1번 호흡: 193.2 s / 예상 150~240 s / 시간 적합
참가자 특이사항: 참가자별 임계값 7.0, 후보 25개 중 22개 검증</x:t>
        </x:r>
      </x:text>
    </x:comment>
    <x:comment ref="K117" authorId="5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M02 1 종료의 대체 후보 214.4 s (현재 선택/추천 207.6 s)</x:t>
        </x:r>
      </x:text>
    </x:comment>
    <x:comment ref="L118" authorId="5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S28_KDH
값 출처: $2 최종 선택
RAW 8.5V 일치: 없음
전수 후보 일치: 238.9 s
M03 2 시작: 238.9 s
가까운 후보: 238.9
2번 호흡: 377.4 s / 예상 240~450 s / 시간 적합
참가자 특이사항: 참가자별 임계값 7.0, 후보 25개 중 22개 검증</x:t>
        </x:r>
      </x:text>
    </x:comment>
    <x:comment ref="N118" authorId="5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S28_KDH
값 출처: $2 최종 선택
RAW 8.5V 일치: 없음
전수 후보 일치: 674.4 s
M05 3-1 시작: 674.4 s
가까운 후보: 674.4
3번 픽업-1: 16.3 s / 예상 5~90 s / 시간 적합
참가자 특이사항: 참가자별 임계값 7.0, 후보 25개 중 22개 검증</x:t>
        </x:r>
      </x:text>
    </x:comment>
    <x:comment ref="O118" authorId="5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S28_KDH
값 출처: $2 최종 선택
RAW 8.5V 일치: 없음
전수 후보 일치: 690.7 s
M06 3-1 종료: 690.7 s
가까운 후보: 690.7
3번 픽업-1: 16.3 s / 예상 5~90 s / 시간 적합
참가자 특이사항: 참가자별 임계값 7.0, 후보 25개 중 22개 검증</x:t>
        </x:r>
      </x:text>
    </x:comment>
    <x:comment ref="T117" authorId="5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M09 4-1 시작의 대체 후보 797.9 s (현재 선택/추천 788.8 s)
M10 4-1 종료의 대체 후보 797.9 s (현재 선택/추천 804.4 s)</x:t>
        </x:r>
      </x:text>
    </x:comment>
    <x:comment ref="U117" authorId="5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804.4 s (현재 선택/추천 817.7 s)</x:t>
        </x:r>
      </x:text>
    </x:comment>
    <x:comment ref="V117" authorId="5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817.7 s (현재 선택/추천 804.4 s)</x:t>
        </x:r>
      </x:text>
    </x:comment>
    <x:comment ref="Y117" authorId="5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887.4 s (현재 선택/추천 881.2 s)</x:t>
        </x:r>
      </x:text>
    </x:comment>
    <x:comment ref="AA118" authorId="6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S28_KDH
값 출처: $2 최종 선택
RAW 8.5V 일치: 없음
전수 후보 일치: 946.0 s
M15 4-4 시작: 946.0 s
가까운 후보: 946.0, 958.0
4번 물건 집기: 11.9 s / 예상 5~40 s / 시간 적합
참가자 특이사항: 참가자별 임계값 7.0, 후보 25개 중 22개 검증</x:t>
        </x:r>
      </x:text>
    </x:comment>
    <x:comment ref="AA117" authorId="6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946.0 s (현재 선택/추천 958.0 s)</x:t>
        </x:r>
      </x:text>
    </x:comment>
    <x:comment ref="AB117" authorId="6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958.0 s (현재 선택/추천 946.0 s)</x:t>
        </x:r>
      </x:text>
    </x:comment>
    <x:comment ref="AD118" authorId="6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S28_KDH
값 출처: $2 최종 선택
RAW 8.5V 일치: 없음
전수 후보 일치: 1191.4 s
M18 5 종료: 1191.4 s
가까운 후보: 1191.4
5번 코스: 188.9 s / 예상 130~230 s / 시간 적합
참가자 특이사항: 참가자별 임계값 7.0, 후보 25개 중 22개 검증</x:t>
        </x:r>
      </x:text>
    </x:comment>
    <x:comment ref="AG117" authorId="6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1265.3 s (현재 선택/추천 1278.3 s)</x:t>
        </x:r>
      </x:text>
    </x:comment>
    <x:comment ref="AH117" authorId="6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1278.3 s (현재 선택/추천 1265.3 s)</x:t>
        </x:r>
      </x:text>
    </x:comment>
    <x:comment ref="L121" authorId="6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652.5 s (현재 선택/추천 666.7 s)</x:t>
        </x:r>
      </x:text>
    </x:comment>
    <x:comment ref="M121" authorId="6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M05 3-1 시작의 대체 후보 666.7 s (현재 선택/추천 652.5 s)</x:t>
        </x:r>
      </x:text>
    </x:comment>
    <x:comment ref="N121" authorId="6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M08 3-2 종료의 대체 후보 682.4 s (현재 선택/추천 695.8 s)</x:t>
        </x:r>
      </x:text>
    </x:comment>
    <x:comment ref="O121" authorId="6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M07 3-2 시작의 대체 후보 695.8 s (현재 선택/추천 682.4 s)</x:t>
        </x:r>
      </x:text>
    </x:comment>
    <x:comment ref="Q121" authorId="6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781.2 s (현재 선택/추천 790.8 s)</x:t>
        </x:r>
      </x:text>
    </x:comment>
    <x:comment ref="R121" authorId="6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790.8 s (현재 선택/추천 781.2 s)</x:t>
        </x:r>
      </x:text>
    </x:comment>
    <x:comment ref="S121" authorId="6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837.3 s (현재 선택/추천 848.7 s)</x:t>
        </x:r>
      </x:text>
    </x:comment>
    <x:comment ref="T121" authorId="6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848.7 s (현재 선택/추천 837.3 s)</x:t>
        </x:r>
      </x:text>
    </x:comment>
    <x:comment ref="V121" authorId="6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M16 4-4 종료의 대체 후보 914.5 s (현재 선택/추천 927.2 s)</x:t>
        </x:r>
      </x:text>
    </x:comment>
    <x:comment ref="W121" authorId="6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927.2 s (현재 선택/추천 914.5 s)</x:t>
        </x:r>
      </x:text>
    </x:comment>
    <x:comment ref="Y122" authorId="6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 / 같은 경계에 가까운 대체 후보가 둘 이상 있음
참가자: S29_LHS
값 출처: $2 최종 선택
RAW 8.5V 일치: 없음
전수 후보 일치: 없음
M17 5 시작: 972.3 s
가까운 후보: 969.7, 975.0
5번 코스: 186.2 s / 예상 130~230 s / 시간 적합
참가자 특이사항: 약 970/975초 이중 마커를 1개로 병합</x:t>
        </x:r>
      </x:text>
    </x:comment>
    <x:comment ref="Z121" authorId="6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M17 5 시작의 대체 후보 975.0 s (현재 선택/추천 972.3 s)</x:t>
        </x:r>
      </x:text>
    </x:comment>
    <x:comment ref="AD121" authorId="6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1236.9 s (현재 선택/추천 1251.6 s)</x:t>
        </x:r>
      </x:text>
    </x:comment>
    <x:comment ref="AE121" authorId="6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1251.6 s (현재 선택/추천 1236.9 s)</x:t>
        </x:r>
      </x:text>
    </x:comment>
    <x:comment ref="H125" authorId="6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M01 1 시작의 대체 후보 -1.7 s (현재 선택/추천 6.5 s)</x:t>
        </x:r>
      </x:text>
    </x:comment>
    <x:comment ref="I126" authorId="6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S30_SJE
값 출처: $2 최종 선택
RAW 8.5V 일치: 없음
전수 후보 일치: 5.5 s
M01 1 시작: 6.5 s
가까운 후보: 5.5, -1.7
1번 호흡: 185.7 s / 예상 150~240 s / 시간 적합
참가자 특이사항: BIOPAC RSP 포화/클리핑으로 자동 마커 5개만 검출; 레이더 3대와 결합해 수동 보정</x:t>
        </x:r>
      </x:text>
    </x:comment>
    <x:comment ref="J126" authorId="6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M02 1 종료: 192.2 s
가까운 후보: 없음
1번 호흡: 185.7 s / 예상 150~240 s / 시간 적합
참가자 특이사항: BIOPAC RSP 포화/클리핑으로 자동 마커 5개만 검출; 레이더 3대와 결합해 수동 보정</x:t>
        </x:r>
      </x:text>
    </x:comment>
    <x:comment ref="K126" authorId="6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M03 2 시작: 237.3 s
가까운 후보: 243.9
2번 호흡: 382.9 s / 예상 240~450 s / 시간 적합
참가자 특이사항: BIOPAC RSP 포화/클리핑으로 자동 마커 5개만 검출; 레이더 3대와 결합해 수동 보정</x:t>
        </x:r>
      </x:text>
    </x:comment>
    <x:comment ref="N126" authorId="6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M04 2 종료: 620.1 s
가까운 후보: 615.9
2번 호흡: 382.9 s / 예상 240~450 s / 시간 적합
참가자 특이사항: BIOPAC RSP 포화/클리핑으로 자동 마커 5개만 검출; 레이더 3대와 결합해 수동 보정</x:t>
        </x:r>
      </x:text>
    </x:comment>
    <x:comment ref="O126" authorId="6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M05 3-1 시작: 661.8 s
가까운 후보: 없음
3번 픽업-1: 14.6 s / 예상 5~90 s / 시간 적합
참가자 특이사항: BIOPAC RSP 포화/클리핑으로 자동 마커 5개만 검출; 레이더 3대와 결합해 수동 보정</x:t>
        </x:r>
      </x:text>
    </x:comment>
    <x:comment ref="Q125" authorId="6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M06 3-1 종료의 대체 후보 687.4 s (현재 선택/추천 676.4 s)</x:t>
        </x:r>
      </x:text>
    </x:comment>
    <x:comment ref="T126" authorId="6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M07 3-2 시작: 730.0 s
가까운 후보: 없음
3번 픽업-2: 11.2 s / 예상 5~90 s / 시간 적합
참가자 특이사항: BIOPAC RSP 포화/클리핑으로 자동 마커 5개만 검출; 레이더 3대와 결합해 수동 보정</x:t>
        </x:r>
      </x:text>
    </x:comment>
    <x:comment ref="U126" authorId="6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M08 3-2 종료: 741.3 s
가까운 후보: 없음
3번 픽업-2: 11.2 s / 예상 5~90 s / 시간 적합
참가자 특이사항: BIOPAC RSP 포화/클리핑으로 자동 마커 5개만 검출; 레이더 3대와 결합해 수동 보정</x:t>
        </x:r>
      </x:text>
    </x:comment>
    <x:comment ref="V126" authorId="6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 / 4번 낙상-즉시 지속시간이 예상 범위를 벗어나거나 경계가 누락됨
참가자: S30_SJE
값 출처: $2 최종 선택
RAW 8.5V 일치: 없음
전수 후보 일치: 없음
M09 4-1 시작: 755.0 s
가까운 후보: 없음
4번 낙상-즉시: 36.1 s / 예상 5~30 s / 시간 확인 필요
참가자 특이사항: BIOPAC RSP 포화/클리핑으로 자동 마커 5개만 검출; 레이더 3대와 결합해 수동 보정</x:t>
        </x:r>
      </x:text>
    </x:comment>
    <x:comment ref="W125" authorId="6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781.2 s (현재 선택/추천 791.1 s)</x:t>
        </x:r>
      </x:text>
    </x:comment>
    <x:comment ref="X126" authorId="6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4번 낙상-즉시 지속시간이 예상 범위를 벗어나거나 경계가 누락됨
참가자: S30_SJE
값 출처: $2 최종 선택
RAW 8.5V 일치: 없음
전수 후보 일치: 791.7 s
M10 4-1 종료: 791.1 s
가까운 후보: 791.7, 781.2, 801.2
4번 낙상-즉시: 36.1 s / 예상 5~30 s / 시간 확인 필요
참가자 특이사항: BIOPAC RSP 포화/클리핑으로 자동 마커 5개만 검출; 레이더 3대와 결합해 수동 보정</x:t>
        </x:r>
      </x:text>
    </x:comment>
    <x:comment ref="X125" authorId="6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M11 4-2 시작의 대체 후보 791.7 s (현재 선택/추천 800.7 s)</x:t>
        </x:r>
      </x:text>
    </x:comment>
    <x:comment ref="Y125" authorId="6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M10 4-1 종료의 대체 후보 801.2 s (현재 선택/추천 791.1 s)</x:t>
        </x:r>
      </x:text>
    </x:comment>
    <x:comment ref="Z125" authorId="6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840.3 s (현재 선택/추천 844.1 s)
M13 4-3 시작의 대체 후보 840.3 s (현재 선택/추천 853.6 s)</x:t>
        </x:r>
      </x:text>
    </x:comment>
    <x:comment ref="AA126" authorId="6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같은 경계에 가까운 대체 후보가 둘 이상 있음
참가자: S30_SJE
값 출처: $2 최종 선택
RAW 8.5V 일치: 844.5 s
전수 후보 일치: 844.5 s
M12 4-2 종료: 844.1 s
가까운 후보: 844.5, 840.3, 854.1
4번 낙상-30초 유지: 43.4 s / 예상 25~75 s / 시간 적합
참가자 특이사항: BIOPAC RSP 포화/클리핑으로 자동 마커 5개만 검출; 레이더 3대와 결합해 수동 보정</x:t>
        </x:r>
      </x:text>
    </x:comment>
    <x:comment ref="AA125" authorId="6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M13 4-3 시작의 대체 후보 844.5 s (현재 선택/추천 853.6 s)</x:t>
        </x:r>
      </x:text>
    </x:comment>
    <x:comment ref="AB126" authorId="6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S30_SJE
값 출처: $2 최종 선택
RAW 8.5V 일치: 없음
전수 후보 일치: 854.1 s
M13 4-3 시작: 853.6 s
가까운 후보: 854.1, 844.5, 840.3
4번 낙상-천천히: 43.1 s / 예상 25~90 s / 시간 적합
참가자 특이사항: BIOPAC RSP 포화/클리핑으로 자동 마커 5개만 검출; 레이더 3대와 결합해 수동 보정</x:t>
        </x:r>
      </x:text>
    </x:comment>
    <x:comment ref="AB125" authorId="6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M12 4-2 종료의 대체 후보 854.1 s (현재 선택/추천 844.1 s)</x:t>
        </x:r>
      </x:text>
    </x:comment>
    <x:comment ref="AC126" authorId="6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S30_SJE
값 출처: $2 최종 선택
RAW 8.5V 일치: 없음
전수 후보 일치: 895.5 s
M14 4-3 종료: 896.7 s
가까운 후보: 895.5
4번 낙상-천천히: 43.1 s / 예상 25~90 s / 시간 적합
참가자 특이사항: BIOPAC RSP 포화/클리핑으로 자동 마커 5개만 검출; 레이더 3대와 결합해 수동 보정</x:t>
        </x:r>
      </x:text>
    </x:comment>
    <x:comment ref="AD126" authorId="6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4번 물건 집기 지속시간이 예상 범위를 벗어나거나 경계가 누락됨
참가자: S30_SJE
값 출처: $2 최종 선택
RAW 8.5V 일치: 없음
전수 후보 일치: 912.3 s
M15 4-4 시작: 911.8 s
가까운 후보: 912.3, 921.2
4번 물건 집기: 57.1 s / 예상 5~40 s / 시간 확인 필요
참가자 특이사항: BIOPAC RSP 포화/클리핑으로 자동 마커 5개만 검출; 레이더 3대와 결합해 수동 보정</x:t>
        </x:r>
      </x:text>
    </x:comment>
    <x:comment ref="AE125" authorId="6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M15 4-4 시작의 대체 후보 921.2 s (현재 선택/추천 911.8 s)</x:t>
        </x:r>
      </x:text>
    </x:comment>
    <x:comment ref="AF126" authorId="6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 / 4번 물건 집기 지속시간이 예상 범위를 벗어나거나 경계가 누락됨
참가자: S30_SJE
값 출처: $2 최종 선택
RAW 8.5V 일치: 없음
전수 후보 일치: 970.7 s
M16 4-4 종료: 968.9 s
가까운 후보: 970.7
4번 물건 집기: 57.1 s / 예상 5~40 s / 시간 확인 필요
참가자 특이사항: BIOPAC RSP 포화/클리핑으로 자동 마커 5개만 검출; 레이더 3대와 결합해 수동 보정</x:t>
        </x:r>
      </x:text>
    </x:comment>
    <x:comment ref="AG126" authorId="6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M17 5 시작: 974.4 s
가까운 후보: 970.7
5번 코스: 184.4 s / 예상 130~230 s / 시간 적합
참가자 특이사항: BIOPAC RSP 포화/클리핑으로 자동 마커 5개만 검출; 레이더 3대와 결합해 수동 보정</x:t>
        </x:r>
      </x:text>
    </x:comment>
    <x:comment ref="AH126" authorId="6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S30_SJE
값 출처: $2 최종 선택
RAW 8.5V 일치: 없음
전수 후보 일치: 1159.4 s
M18 5 종료: 1158.8 s
가까운 후보: 1159.4
5번 코스: 184.4 s / 예상 130~230 s / 시간 적합
참가자 특이사항: BIOPAC RSP 포화/클리핑으로 자동 마커 5개만 검출; 레이더 3대와 결합해 수동 보정</x:t>
        </x:r>
      </x:text>
    </x:comment>
    <x:comment ref="AI126" authorId="6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M19 6 시작: 1175.4 s
가까운 후보: 없음
6번 왕복: 44.3 s / 예상 5~70 s / 시간 적합
참가자 특이사항: BIOPAC RSP 포화/클리핑으로 자동 마커 5개만 검출; 레이더 3대와 결합해 수동 보정</x:t>
        </x:r>
      </x:text>
    </x:comment>
    <x:comment ref="AL126" authorId="6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선택값이 RAW 8.5V 및 전수 후보와 ±2초 이내에서 일치하지 않음
참가자: S30_SJE
값 출처: $2 최종 선택
RAW 8.5V 일치: 없음
전수 후보 일치: 없음
M20 6 종료: 1219.6 s
가까운 후보: 1212.3
6번 왕복: 44.3 s / 예상 5~70 s / 시간 적합
참가자 특이사항: BIOPAC RSP 포화/클리핑으로 자동 마커 5개만 검출; 레이더 3대와 결합해 수동 보정</x:t>
        </x:r>
      </x:text>
    </x:comment>
    <x:comment ref="AM126" authorId="6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검토 구분: 전수 후보에는 있으나 RAW 8.5V에는 일치값이 없음
참가자: S30_SJE
값 출처: $2 최종 선택
RAW 8.5V 일치: 없음
전수 후보 일치: 1244.4 s
M21 7 시작: 1243.9 s
가까운 후보: 1244.4, 1254.8
7번 자유: 10.4 s / 예상 5~70 s / 시간 적합
참가자 특이사항: BIOPAC RSP 포화/클리핑으로 자동 마커 5개만 검출; 레이더 3대와 결합해 수동 보정</x:t>
        </x:r>
      </x:text>
    </x:comment>
    <x:comment ref="AM125" authorId="6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M22 7 종료의 대체 후보 1244.4 s (현재 선택/추천 1254.3 s)</x:t>
        </x:r>
      </x:text>
    </x:comment>
    <x:comment ref="AN125" authorId="6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M21 7 시작의 대체 후보 1254.8 s (현재 선택/추천 1243.9 s)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<x:sst xmlns:x="http://schemas.openxmlformats.org/spreadsheetml/2006/main">
  <x:si>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날짜</x:t>
  </x:si>
  <x:si>
    <x:t xml:space="preserve">이름</x:t>
  </x:si>
  <x:si>
    <x:t xml:space="preserve">sub label</x:t>
  </x:si>
  <x:si>
    <x:t xml:space="preserve">sub num</x:t>
  </x:si>
  <x:si>
    <x:t xml:space="preserve">키 </x:t>
  </x:si>
  <x:si>
    <x:t xml:space="preserve">몸무게</x:t>
  </x:si>
  <x:si>
    <x:t xml:space="preserve">나이</x:t>
  </x:si>
  <x:si>
    <x:t xml:space="preserve">동작</x:t>
  </x:si>
  <x:si>
    <x:t xml:space="preserve">이슈</x:t>
  </x:si>
  <x:si>
    <x:t xml:space="preserve">1번</x:t>
  </x:si>
  <x:si>
    <x:t xml:space="preserve">2번</x:t>
  </x:si>
  <x:si>
    <x:t xml:space="preserve">3번(픽업)</x:t>
  </x:si>
  <x:si>
    <x:t xml:space="preserve">4번(낙상)</x:t>
  </x:si>
  <x:si>
    <x:t xml:space="preserve">5번(지그) </x:t>
  </x:si>
  <x:si>
    <x:t xml:space="preserve">6번(왕복)</x:t>
  </x:si>
  <x:si>
    <x:t xml:space="preserve">7번(자율)</x:t>
  </x:si>
  <x:si>
    <x:t xml:space="preserve">추민석</x:t>
  </x:si>
  <x:si>
    <x:t xml:space="preserve">CMS</x:t>
  </x:si>
  <x:si>
    <x:t xml:space="preserve">만24</x:t>
  </x:si>
  <x:si>
    <x:t xml:space="preserve">Dodge</x:t>
  </x:si>
  <x:si>
    <x:t xml:space="preserve">류준석</x:t>
  </x:si>
  <x:si>
    <x:t xml:space="preserve">RJS</x:t>
  </x:si>
  <x:si>
    <x:t xml:space="preserve">낙상 전에 마커를 주지 않고 그대로 수행함.
-&gt; 낙상 마커를 줄 필요가 있어보임</x:t>
  </x:si>
  <x:si>
    <x:t xml:space="preserve">25~217</x:t>
  </x:si>
  <x:si>
    <x:t xml:space="preserve">245~611</x:t>
  </x:si>
  <x:si>
    <x:t xml:space="preserve">708~723 / 740~754</x:t>
  </x:si>
  <x:si>
    <x:t xml:space="preserve">842~896/896~944/946~1000</x:t>
  </x:si>
  <x:si>
    <x:t xml:space="preserve">1020~1184</x:t>
  </x:si>
  <x:si>
    <x:t xml:space="preserve">1232~1259</x:t>
  </x:si>
  <x:si>
    <x:t xml:space="preserve">1286~1295</x:t>
  </x:si>
  <x:si>
    <x:t xml:space="preserve">박상준</x:t>
  </x:si>
  <x:si>
    <x:t xml:space="preserve">PSJ</x:t>
  </x:si>
  <x:si>
    <x:t xml:space="preserve">만32</x:t>
  </x:si>
  <x:si>
    <x:t xml:space="preserve">마커를 많이 줌, 지그재그는 줄 필요없고, 왕복은 주는 것으로.</x:t>
  </x:si>
  <x:si>
    <x:t xml:space="preserve">23~210</x:t>
  </x:si>
  <x:si>
    <x:t xml:space="preserve">276~646</x:t>
  </x:si>
  <x:si>
    <x:t xml:space="preserve">~736</x:t>
  </x:si>
  <x:si>
    <x:t xml:space="preserve">934~945/971~1010/1028~1072</x:t>
  </x:si>
  <x:si>
    <x:t xml:space="preserve">1168~1358</x:t>
  </x:si>
  <x:si>
    <x:t xml:space="preserve">1412~1433</x:t>
  </x:si>
  <x:si>
    <x:t xml:space="preserve">1466~1478</x:t>
  </x:si>
  <x:si>
    <x:t xml:space="preserve">강태웅</x:t>
  </x:si>
  <x:si>
    <x:t xml:space="preserve">KTW</x:t>
  </x:si>
  <x:si>
    <x:t xml:space="preserve">이휘성</x:t>
  </x:si>
  <x:si>
    <x:t xml:space="preserve">LHS</x:t>
  </x:si>
  <x:si>
    <x:t xml:space="preserve">만23</x:t>
  </x:si>
  <x:si>
    <x:t xml:space="preserve">괜찮은듯?</x:t>
  </x:si>
  <x:si>
    <x:t xml:space="preserve">이덕원</x:t>
  </x:si>
  <x:si>
    <x:t xml:space="preserve">LDW</x:t>
  </x:si>
  <x:si>
    <x:t xml:space="preserve">지그재그 끝날때 칸 이동해버리고, 코너링 별로
BIOPAC 걱정 됨 -&gt; 흘러 내려보였음</x:t>
  </x:si>
  <x:si>
    <x:t xml:space="preserve">강동민</x:t>
  </x:si>
  <x:si>
    <x:t xml:space="preserve">KDM</x:t>
  </x:si>
  <x:si>
    <x:t xml:space="preserve">스쿼트 + 팔굽혀펴기</x:t>
  </x:si>
  <x:si>
    <x:t xml:space="preserve">문동오</x:t>
  </x:si>
  <x:si>
    <x:t xml:space="preserve">MDO</x:t>
  </x:si>
  <x:si>
    <x:t xml:space="preserve">운동후 앉을 때 1번 레이더 바라봄</x:t>
  </x:si>
  <x:si>
    <x:t xml:space="preserve">홍동현</x:t>
  </x:si>
  <x:si>
    <x:t xml:space="preserve">HDH</x:t>
  </x:si>
  <x:si>
    <x:t xml:space="preserve">전기헌</x:t>
  </x:si>
  <x:si>
    <x:t xml:space="preserve">JKH</x:t>
  </x:si>
  <x:si>
    <x:t xml:space="preserve">픽업에서 2번쨰 코스 마지막 마커때 인형 내려놓으면서
레이더 움직임</x:t>
  </x:si>
  <x:si>
    <x:t xml:space="preserve">신정은</x:t>
  </x:si>
  <x:si>
    <x:t xml:space="preserve">SJE</x:t>
  </x:si>
  <x:si>
    <x:t xml:space="preserve">Strike</x:t>
  </x:si>
  <x:si>
    <x:t xml:space="preserve">전체적으로 스트라이크 동작 애매함.</x:t>
  </x:si>
  <x:si>
    <x:t xml:space="preserve">김동현</x:t>
  </x:si>
  <x:si>
    <x:t xml:space="preserve">KDH</x:t>
  </x:si>
  <x:si>
    <x:t xml:space="preserve">지그재그 코너링 살짝 이상</x:t>
  </x:si>
  <x:si>
    <x:t xml:space="preserve">운동을 바로 시작해버림 15초 대기 안하고</x:t>
  </x:si>
  <x:si>
    <x:t xml:space="preserve">이준호</x:t>
  </x:si>
  <x:si>
    <x:t xml:space="preserve">LJH</x:t>
  </x:si>
  <x:si>
    <x:t xml:space="preserve">마커를 조금 대충 주는 느낌이 많이 든다.</x:t>
  </x:si>
  <x:si>
    <x:t xml:space="preserve">박준석</x:t>
  </x:si>
  <x:si>
    <x:t xml:space="preserve">PJS</x:t>
  </x:si>
  <x:si>
    <x:t xml:space="preserve">CJW</x:t>
  </x:si>
  <x:si>
    <x:t xml:space="preserve">조금 빨리 걸었다 왕복에서</x:t>
  </x:si>
  <x:si>
    <x:t xml:space="preserve">양서은</x:t>
  </x:si>
  <x:si>
    <x:t xml:space="preserve">Kick</x:t>
  </x:si>
  <x:si>
    <x:t xml:space="preserve">낙상 시나리오에서 인형 줍기 한번 실수도 다시 측정</x:t>
  </x:si>
  <x:si>
    <x:t xml:space="preserve">김재현</x:t>
  </x:si>
  <x:si>
    <x:t xml:space="preserve">KJH</x:t>
  </x:si>
  <x:si>
    <x:t xml:space="preserve">김효정</x:t>
  </x:si>
  <x:si>
    <x:t xml:space="preserve">KHJ</x:t>
  </x:si>
  <x:si>
    <x:t xml:space="preserve">고은채</x:t>
  </x:si>
  <x:si>
    <x:t xml:space="preserve">GEC</x:t>
  </x:si>
  <x:si>
    <x:t xml:space="preserve">운동 후 호흡이 그렇게 빠르지 않음
마커가 설렁설렁</x:t>
  </x:si>
  <x:si>
    <x:t xml:space="preserve">천천히 눕기 조금 철푸덕 느낌</x:t>
  </x:si>
  <x:si>
    <x:t xml:space="preserve">생각보다 낙상 속도 차이가 별로 안남 - 순간 넘어짐 vs 천천히 눕기</x:t>
  </x:si>
</x:sst>
</file>

<file path=xl/styles.xml><?xml version="1.0" encoding="utf-8"?>
<x:styleSheet xmlns:x="http://schemas.openxmlformats.org/spreadsheetml/2006/main">
  <x:numFmts count="3">
    <x:numFmt numFmtId="176" formatCode="mm&quot;월&quot;\ dd&quot;일&quot;"/>
    <x:numFmt numFmtId="200" formatCode="0.0"/>
    <x:numFmt numFmtId="201" formatCode="0"/>
  </x:numFmts>
  <x:fonts count="28">
    <x:font>
      <x:sz val="11"/>
      <x:color theme="1"/>
      <x:name val="맑은 고딕"/>
    </x:font>
    <x:font>
      <x:sz val="8"/>
      <x:name val="맑은 고딕"/>
    </x:font>
    <x:font>
      <x:sz val="11"/>
      <x:color rgb="FFFF0000"/>
      <x:name val="맑은 고딕"/>
    </x:font>
    <x:font>
      <x:b/>
      <x:sz val="16"/>
      <x:color rgb="FFFFFFFF"/>
      <x:name val="맑은 고딕"/>
    </x:font>
    <x:font>
      <x:i/>
      <x:sz val="11"/>
      <x:color rgb="FF44546A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b/>
      <x:sz val="18"/>
      <x:color rgb="FFFFFFFF"/>
      <x:name val="맑은 고딕"/>
    </x:font>
    <x:font>
      <x:i/>
      <x:sz val="10"/>
      <x:color rgb="FF5B6573"/>
      <x:name val="맑은 고딕"/>
    </x:font>
    <x:font>
      <x:b/>
      <x:sz val="11"/>
      <x:color rgb="FF1F4E78"/>
      <x:name val="맑은 고딕"/>
    </x:font>
    <x:font>
      <x:sz val="10"/>
      <x:color rgb="FF1F2937"/>
      <x:name val="맑은 고딕"/>
    </x:font>
    <x:font>
      <x:b/>
      <x:sz val="12"/>
      <x:color rgb="FFFFFFFF"/>
      <x:name val="맑은 고딕"/>
    </x:font>
    <x:font>
      <x:b/>
      <x:sz val="11"/>
      <x:color rgb="FF1F2937"/>
      <x:name val="맑은 고딕"/>
    </x:font>
    <x:font>
      <x:b/>
      <x:sz val="11"/>
      <x:color rgb="FF1F2937"/>
      <x:name val="맑은 고딕"/>
    </x:font>
    <x:font>
      <x:b/>
      <x:i/>
      <x:sz val="11"/>
      <x:color rgb="FF1F2937"/>
      <x:name val="맑은 고딕"/>
    </x:font>
    <x:font>
      <x:b/>
      <x:sz val="11"/>
      <x:color rgb="FF000000"/>
      <x:name val="맑은 고딕"/>
    </x:font>
    <x:font>
      <x:sz val="11"/>
      <x:color rgb="FF000000"/>
      <x:name val="맑은 고딕"/>
    </x:font>
    <x:font>
      <x:b/>
      <x:sz val="11"/>
      <x:color rgb="FF0070C0"/>
      <x:name val="맑은 고딕"/>
    </x:font>
    <x:font>
      <x:b/>
      <x:sz val="11"/>
      <x:color rgb="FFC00000"/>
      <x:name val="맑은 고딕"/>
    </x:font>
    <x:font>
      <x:sz val="9"/>
      <x:color rgb="FF000000"/>
      <x:name val="맑은 고딕"/>
    </x:font>
    <x:font>
      <x:sz val="9"/>
      <x:color rgb="FF1F2937"/>
      <x:name val="맑은 고딕"/>
    </x:font>
    <x:font>
      <x:b/>
      <x:sz val="9"/>
      <x:color rgb="FF1F2937"/>
      <x:name val="맑은 고딕"/>
    </x:font>
    <x:font>
      <x:b/>
      <x:sz val="9"/>
      <x:color rgb="FFC00000"/>
      <x:name val="맑은 고딕"/>
    </x:font>
    <x:font>
      <x:b/>
      <x:sz val="9"/>
      <x:color rgb="FF000000"/>
      <x:name val="맑은 고딕"/>
    </x:font>
    <x:font>
      <x:b/>
      <x:sz val="9"/>
      <x:color rgb="FF0070C0"/>
      <x:name val="맑은 고딕"/>
    </x:font>
    <x:font>
      <x:b/>
      <x:sz val="9"/>
      <x:color rgb="FF0070C0"/>
      <x:name val="맑은 고딕"/>
    </x:font>
    <x:font>
      <x:b/>
      <x:i/>
      <x:sz val="9"/>
      <x:color rgb="FFC00000"/>
      <x:name val="맑은 고딕"/>
    </x:font>
    <x:font>
      <x:b/>
      <x:i/>
      <x:sz val="9"/>
      <x:color rgb="FF0070C0"/>
      <x:name val="맑은 고딕"/>
    </x:font>
  </x:fonts>
  <x:fills count="26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BDD7EE"/>
      </x:patternFill>
    </x:fill>
    <x:fill>
      <x:patternFill patternType="solid">
        <x:fgColor rgb="FFD9E1F2"/>
      </x:patternFill>
    </x:fill>
    <x:fill>
      <x:patternFill patternType="solid">
        <x:fgColor rgb="FFFFE699"/>
      </x:patternFill>
    </x:fill>
    <x:fill>
      <x:patternFill patternType="solid">
        <x:fgColor rgb="FFC6E0B4"/>
      </x:patternFill>
    </x:fill>
    <x:fill>
      <x:patternFill patternType="solid">
        <x:fgColor rgb="FFB7DEE8"/>
      </x:patternFill>
    </x:fill>
  </x:fills>
  <x:borders count="2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E2E8F0"/>
      </x:top>
      <x:bottom style="medium">
        <x:color rgb="FFB4C6E7"/>
      </x:bottom>
    </x:border>
    <x:border>
      <x:left style="thin">
        <x:color rgb="FFD9D9D9"/>
      </x:left>
      <x:right style="thin">
        <x:color rgb="FFD9D9D9"/>
      </x:right>
      <x:top style="thin">
        <x:color rgb="FFE2E8F0"/>
      </x:top>
      <x:bottom style="medium">
        <x:color rgb="FFB4C6E7"/>
      </x:bottom>
    </x:border>
  </x:borders>
  <x:cellStyleXfs count="1">
    <x:xf numFmtId="0" fontId="0" fillId="0" borderId="0">
      <x:alignment vertical="center"/>
    </x:xf>
  </x:cellStyleXfs>
  <x:cellXfs count="300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4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2" borderId="8" xfId="0" applyFill="1" applyBorder="1" applyAlignment="1">
      <x:alignment horizontal="center" vertical="center"/>
    </x:xf>
    <x:xf numFmtId="0" fontId="0" fillId="2" borderId="9" xfId="0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12" xfId="0" applyBorder="1" applyAlignment="1">
      <x:alignment horizontal="left" vertical="center"/>
    </x:xf>
    <x:xf numFmtId="176" fontId="0" fillId="0" borderId="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5" xfId="0" applyNumberFormat="1" applyBorder="1" applyAlignment="1">
      <x:alignment horizontal="center" vertical="center"/>
    </x:xf>
    <x:xf numFmtId="176" fontId="0" fillId="0" borderId="10" xfId="0" applyNumberFormat="1" applyBorder="1" applyAlignment="1">
      <x:alignment horizontal="center" vertical="center"/>
    </x:xf>
    <x:xf numFmtId="176" fontId="0" fillId="0" borderId="6" xfId="0" applyNumberFormat="1" applyBorder="1" applyAlignment="1">
      <x:alignment horizontal="center" vertical="center"/>
    </x:xf>
    <x:xf numFmtId="176" fontId="0" fillId="0" borderId="11" xfId="0" applyNumberFormat="1" applyBorder="1" applyAlignment="1">
      <x:alignment horizontal="center" vertical="center"/>
    </x:xf>
    <x:xf numFmtId="176" fontId="0" fillId="0" borderId="13" xfId="0" applyNumberFormat="1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200" fontId="0" fillId="6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horizontal="center" vertical="center"/>
    </x:xf>
    <x:xf numFmtId="200" fontId="0" fillId="7" borderId="15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14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9" fillId="11" borderId="14" xfId="0" applyNumberFormat="1" applyFont="1" applyFill="1" applyBorder="1" applyAlignment="1">
      <x:alignment vertical="center"/>
    </x:xf>
    <x:xf numFmtId="201" fontId="9" fillId="11" borderId="14" xfId="0" applyNumberFormat="1" applyFont="1" applyFill="1" applyBorder="1" applyAlignment="1">
      <x:alignment vertical="center"/>
    </x:xf>
    <x:xf numFmtId="201" fontId="9" fillId="11" borderId="14" xfId="0" applyNumberFormat="1" applyFont="1" applyFill="1" applyBorder="1" applyAlignment="1">
      <x:alignment horizontal="right" vertical="center"/>
    </x:xf>
    <x:xf numFmtId="0" fontId="0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14" xfId="0" applyNumberFormat="1" applyFont="1" applyFill="1" applyBorder="1" applyAlignment="1">
      <x:alignment vertical="center"/>
    </x:xf>
    <x:xf numFmtId="0" fontId="6" fillId="12" borderId="14" xfId="0" applyNumberFormat="1" applyFont="1" applyFill="1" applyBorder="1" applyAlignment="1">
      <x:alignment vertical="center" wrapText="1"/>
    </x:xf>
    <x:xf numFmtId="0" fontId="6" fillId="12" borderId="1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/>
    </x:xf>
    <x:xf numFmtId="0" fontId="10" fillId="0" borderId="17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200" fontId="10" fillId="0" borderId="16" xfId="0" applyNumberFormat="1" applyFont="1" applyFill="1" applyBorder="1" applyAlignment="1">
      <x:alignment vertical="center"/>
    </x:xf>
    <x:xf numFmtId="200" fontId="10" fillId="0" borderId="17" xfId="0" applyNumberFormat="1" applyFont="1" applyFill="1" applyBorder="1" applyAlignment="1">
      <x:alignment vertical="center"/>
    </x:xf>
    <x:xf numFmtId="200" fontId="10" fillId="0" borderId="18" xfId="0" applyNumberFormat="1" applyFont="1" applyFill="1" applyBorder="1" applyAlignment="1">
      <x:alignment vertical="center"/>
    </x:xf>
    <x:xf numFmtId="201" fontId="10" fillId="0" borderId="16" xfId="0" applyNumberFormat="1" applyFont="1" applyFill="1" applyBorder="1" applyAlignment="1">
      <x:alignment vertical="center"/>
    </x:xf>
    <x:xf numFmtId="201" fontId="10" fillId="0" borderId="17" xfId="0" applyNumberFormat="1" applyFont="1" applyFill="1" applyBorder="1" applyAlignment="1">
      <x:alignment vertical="center"/>
    </x:xf>
    <x:xf numFmtId="201" fontId="10" fillId="0" borderId="18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10" borderId="16" xfId="0" applyNumberFormat="1" applyFont="1" applyFill="1" applyBorder="1" applyAlignment="1">
      <x:alignment vertical="center"/>
    </x:xf>
    <x:xf numFmtId="0" fontId="10" fillId="13" borderId="17" xfId="0" applyNumberFormat="1" applyFont="1" applyFill="1" applyBorder="1" applyAlignment="1">
      <x:alignment vertical="center"/>
    </x:xf>
    <x:xf numFmtId="0" fontId="10" fillId="10" borderId="17" xfId="0" applyNumberFormat="1" applyFont="1" applyFill="1" applyBorder="1" applyAlignment="1">
      <x:alignment vertical="center"/>
    </x:xf>
    <x:xf numFmtId="0" fontId="10" fillId="14" borderId="17" xfId="0" applyNumberFormat="1" applyFont="1" applyFill="1" applyBorder="1" applyAlignment="1">
      <x:alignment vertical="center"/>
    </x:xf>
    <x:xf numFmtId="0" fontId="10" fillId="15" borderId="17" xfId="0" applyNumberFormat="1" applyFont="1" applyFill="1" applyBorder="1" applyAlignment="1">
      <x:alignment vertical="center"/>
    </x:xf>
    <x:xf numFmtId="0" fontId="10" fillId="13" borderId="1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0" fillId="10" borderId="19" xfId="0" applyNumberFormat="1" applyFont="1" applyFill="1" applyBorder="1" applyAlignment="1">
      <x:alignment vertical="center"/>
    </x:xf>
    <x:xf numFmtId="200" fontId="0" fillId="16" borderId="19" xfId="0" applyNumberFormat="1" applyFont="1" applyFill="1" applyBorder="1" applyAlignment="1">
      <x:alignment vertical="center"/>
    </x:xf>
    <x:xf numFmtId="0" fontId="0" fillId="13" borderId="20" xfId="0" applyNumberFormat="1" applyFont="1" applyFill="1" applyBorder="1" applyAlignment="1">
      <x:alignment vertical="center"/>
    </x:xf>
    <x:xf numFmtId="200" fontId="0" fillId="16" borderId="20" xfId="0" applyNumberFormat="1" applyFont="1" applyFill="1" applyBorder="1" applyAlignment="1">
      <x:alignment vertical="center"/>
    </x:xf>
    <x:xf numFmtId="200" fontId="0" fillId="15" borderId="20" xfId="0" applyNumberFormat="1" applyFont="1" applyFill="1" applyBorder="1" applyAlignment="1">
      <x:alignment vertical="center"/>
    </x:xf>
    <x:xf numFmtId="0" fontId="0" fillId="10" borderId="20" xfId="0" applyNumberFormat="1" applyFont="1" applyFill="1" applyBorder="1" applyAlignment="1">
      <x:alignment vertical="center"/>
    </x:xf>
    <x:xf numFmtId="0" fontId="0" fillId="14" borderId="20" xfId="0" applyNumberFormat="1" applyFont="1" applyFill="1" applyBorder="1" applyAlignment="1">
      <x:alignment vertical="center"/>
    </x:xf>
    <x:xf numFmtId="0" fontId="0" fillId="15" borderId="20" xfId="0" applyNumberFormat="1" applyFont="1" applyFill="1" applyBorder="1" applyAlignment="1">
      <x:alignment vertical="center"/>
    </x:xf>
    <x:xf numFmtId="0" fontId="0" fillId="13" borderId="21" xfId="0" applyNumberFormat="1" applyFont="1" applyFill="1" applyBorder="1" applyAlignment="1">
      <x:alignment vertical="center"/>
    </x:xf>
    <x:xf numFmtId="200" fontId="0" fillId="15" borderId="21" xfId="0" applyNumberFormat="1" applyFont="1" applyFill="1" applyBorder="1" applyAlignment="1">
      <x:alignment vertical="center"/>
    </x:xf>
    <x:xf numFmtId="200" fontId="0" fillId="16" borderId="21" xfId="0" applyNumberFormat="1" applyFont="1" applyFill="1" applyBorder="1" applyAlignment="1">
      <x:alignment vertical="center"/>
    </x:xf>
    <x:xf numFmtId="200" fontId="0" fillId="14" borderId="20" xfId="0" applyNumberFormat="1" applyFont="1" applyFill="1" applyBorder="1" applyAlignment="1">
      <x:alignment vertical="center"/>
    </x:xf>
    <x:xf numFmtId="200" fontId="0" fillId="10" borderId="20" xfId="0" applyNumberFormat="1" applyFont="1" applyFill="1" applyBorder="1" applyAlignment="1">
      <x:alignment vertical="center"/>
    </x:xf>
    <x:xf numFmtId="200" fontId="0" fillId="14" borderId="21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14" xfId="0" applyNumberFormat="1" applyFont="1" applyFill="1" applyBorder="1" applyAlignment="1">
      <x:alignment vertical="center"/>
    </x:xf>
    <x:xf numFmtId="0" fontId="12" fillId="10" borderId="14" xfId="0" applyNumberFormat="1" applyFont="1" applyFill="1" applyBorder="1" applyAlignment="1">
      <x:alignment vertical="center" wrapText="1"/>
    </x:xf>
    <x:xf numFmtId="0" fontId="12" fillId="10" borderId="14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vertical="center"/>
    </x:xf>
    <x:xf numFmtId="0" fontId="12" fillId="17" borderId="14" xfId="0" applyNumberFormat="1" applyFont="1" applyFill="1" applyBorder="1" applyAlignment="1">
      <x:alignment vertical="center"/>
    </x:xf>
    <x:xf numFmtId="0" fontId="12" fillId="17" borderId="14" xfId="0" applyNumberFormat="1" applyFont="1" applyFill="1" applyBorder="1" applyAlignment="1">
      <x:alignment vertical="center" wrapText="1"/>
    </x:xf>
    <x:xf numFmtId="0" fontId="12" fillId="17" borderId="14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14" xfId="0" applyNumberFormat="1" applyFont="1" applyFill="1" applyBorder="1" applyAlignment="1">
      <x:alignment vertical="center"/>
    </x:xf>
    <x:xf numFmtId="0" fontId="12" fillId="18" borderId="14" xfId="0" applyNumberFormat="1" applyFont="1" applyFill="1" applyBorder="1" applyAlignment="1">
      <x:alignment vertical="center" wrapText="1"/>
    </x:xf>
    <x:xf numFmtId="0" fontId="12" fillId="18" borderId="14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12" fillId="13" borderId="0" xfId="0" applyNumberFormat="1" applyFont="1" applyFill="1" applyBorder="1" applyAlignment="1">
      <x:alignment vertical="center"/>
    </x:xf>
    <x:xf numFmtId="0" fontId="12" fillId="13" borderId="14" xfId="0" applyNumberFormat="1" applyFont="1" applyFill="1" applyBorder="1" applyAlignment="1">
      <x:alignment vertical="center"/>
    </x:xf>
    <x:xf numFmtId="0" fontId="12" fillId="13" borderId="14" xfId="0" applyNumberFormat="1" applyFont="1" applyFill="1" applyBorder="1" applyAlignment="1">
      <x:alignment vertical="center" wrapText="1"/>
    </x:xf>
    <x:xf numFmtId="0" fontId="12" fillId="13" borderId="14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12" fillId="19" borderId="0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 wrapText="1"/>
    </x:xf>
    <x:xf numFmtId="0" fontId="12" fillId="19" borderId="14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center"/>
    </x:xf>
    <x:xf numFmtId="0" fontId="12" fillId="20" borderId="0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vertical="center" wrapText="1"/>
    </x:xf>
    <x:xf numFmtId="0" fontId="12" fillId="20" borderId="14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 applyAlignment="1">
      <x:alignment vertical="center"/>
    </x:xf>
    <x:xf numFmtId="0" fontId="12" fillId="16" borderId="14" xfId="0" applyNumberFormat="1" applyFont="1" applyFill="1" applyBorder="1" applyAlignment="1">
      <x:alignment vertical="center"/>
    </x:xf>
    <x:xf numFmtId="0" fontId="12" fillId="16" borderId="14" xfId="0" applyNumberFormat="1" applyFont="1" applyFill="1" applyBorder="1" applyAlignment="1">
      <x:alignment vertical="center" wrapText="1"/>
    </x:xf>
    <x:xf numFmtId="0" fontId="12" fillId="16" borderId="14" xfId="0" applyNumberFormat="1" applyFont="1" applyFill="1" applyBorder="1" applyAlignment="1">
      <x:alignment horizontal="center" vertical="center" wrapText="1"/>
    </x:xf>
    <x:xf numFmtId="200" fontId="13" fillId="15" borderId="20" xfId="0" applyNumberFormat="1" applyFont="1" applyFill="1" applyBorder="1" applyAlignment="1">
      <x:alignment vertical="center"/>
    </x:xf>
    <x:xf numFmtId="200" fontId="13" fillId="15" borderId="21" xfId="0" applyNumberFormat="1" applyFont="1" applyFill="1" applyBorder="1" applyAlignment="1">
      <x:alignment vertical="center"/>
    </x:xf>
    <x:xf numFmtId="200" fontId="0" fillId="10" borderId="19" xfId="0" applyNumberFormat="1" applyFont="1" applyFill="1" applyBorder="1" applyAlignment="1">
      <x:alignment vertical="center"/>
    </x:xf>
    <x:xf numFmtId="200" fontId="14" fillId="10" borderId="19" xfId="0" applyNumberFormat="1" applyFont="1" applyFill="1" applyBorder="1" applyAlignment="1">
      <x:alignment vertical="center"/>
    </x:xf>
    <x:xf numFmtId="200" fontId="14" fillId="10" borderId="2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 applyAlignment="1">
      <x:alignment vertical="center"/>
    </x:xf>
    <x:xf numFmtId="0" fontId="15" fillId="21" borderId="0" xfId="0" applyNumberFormat="1" applyFont="1" applyFill="1" applyBorder="1" applyAlignment="1">
      <x:alignment vertical="center"/>
    </x:xf>
    <x:xf numFmtId="0" fontId="15" fillId="21" borderId="14" xfId="0" applyNumberFormat="1" applyFont="1" applyFill="1" applyBorder="1" applyAlignment="1">
      <x:alignment vertical="center"/>
    </x:xf>
    <x:xf numFmtId="0" fontId="15" fillId="21" borderId="1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center"/>
    </x:xf>
    <x:xf numFmtId="0" fontId="15" fillId="22" borderId="0" xfId="0" applyNumberFormat="1" applyFont="1" applyFill="1" applyBorder="1" applyAlignment="1">
      <x:alignment vertical="center"/>
    </x:xf>
    <x:xf numFmtId="0" fontId="15" fillId="22" borderId="14" xfId="0" applyNumberFormat="1" applyFont="1" applyFill="1" applyBorder="1" applyAlignment="1">
      <x:alignment vertical="center"/>
    </x:xf>
    <x:xf numFmtId="0" fontId="15" fillId="22" borderId="14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 applyAlignment="1">
      <x:alignment vertical="center"/>
    </x:xf>
    <x:xf numFmtId="0" fontId="15" fillId="23" borderId="0" xfId="0" applyNumberFormat="1" applyFont="1" applyFill="1" applyBorder="1" applyAlignment="1">
      <x:alignment vertical="center"/>
    </x:xf>
    <x:xf numFmtId="0" fontId="15" fillId="23" borderId="14" xfId="0" applyNumberFormat="1" applyFont="1" applyFill="1" applyBorder="1" applyAlignment="1">
      <x:alignment vertical="center"/>
    </x:xf>
    <x:xf numFmtId="0" fontId="15" fillId="23" borderId="1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 applyAlignment="1">
      <x:alignment vertical="center"/>
    </x:xf>
    <x:xf numFmtId="0" fontId="15" fillId="24" borderId="0" xfId="0" applyNumberFormat="1" applyFont="1" applyFill="1" applyBorder="1" applyAlignment="1">
      <x:alignment vertical="center"/>
    </x:xf>
    <x:xf numFmtId="0" fontId="15" fillId="24" borderId="14" xfId="0" applyNumberFormat="1" applyFont="1" applyFill="1" applyBorder="1" applyAlignment="1">
      <x:alignment vertical="center"/>
    </x:xf>
    <x:xf numFmtId="0" fontId="15" fillId="24" borderId="14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 applyAlignment="1">
      <x:alignment vertical="center"/>
    </x:xf>
    <x:xf numFmtId="0" fontId="15" fillId="25" borderId="0" xfId="0" applyNumberFormat="1" applyFont="1" applyFill="1" applyBorder="1" applyAlignment="1">
      <x:alignment vertical="center"/>
    </x:xf>
    <x:xf numFmtId="0" fontId="15" fillId="25" borderId="14" xfId="0" applyNumberFormat="1" applyFont="1" applyFill="1" applyBorder="1" applyAlignment="1">
      <x:alignment vertical="center"/>
    </x:xf>
    <x:xf numFmtId="0" fontId="15" fillId="25" borderId="14" xfId="0" applyNumberFormat="1" applyFont="1" applyFill="1" applyBorder="1" applyAlignment="1">
      <x:alignment horizontal="center" vertical="center"/>
    </x:xf>
    <x:xf numFmtId="0" fontId="16" fillId="16" borderId="0" xfId="0" applyNumberFormat="1" applyFont="1" applyFill="1" applyBorder="1" applyAlignment="1">
      <x:alignment vertical="center"/>
    </x:xf>
    <x:xf numFmtId="0" fontId="16" fillId="16" borderId="14" xfId="0" applyNumberFormat="1" applyFont="1" applyFill="1" applyBorder="1" applyAlignment="1">
      <x:alignment vertical="center"/>
    </x:xf>
    <x:xf numFmtId="0" fontId="16" fillId="16" borderId="14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0" borderId="14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/>
    </x:xf>
    <x:xf numFmtId="0" fontId="17" fillId="0" borderId="14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18" fillId="0" borderId="14" xfId="0" applyNumberFormat="1" applyFont="1" applyFill="1" applyBorder="1" applyAlignment="1">
      <x:alignment vertical="center"/>
    </x:xf>
    <x:xf numFmtId="0" fontId="19" fillId="16" borderId="0" xfId="0" applyNumberFormat="1" applyFont="1" applyFill="1" applyBorder="1" applyAlignment="1">
      <x:alignment vertical="center"/>
    </x:xf>
    <x:xf numFmtId="0" fontId="19" fillId="16" borderId="22" xfId="0" applyNumberFormat="1" applyFont="1" applyFill="1" applyBorder="1" applyAlignment="1">
      <x:alignment vertical="center"/>
    </x:xf>
    <x:xf numFmtId="200" fontId="19" fillId="16" borderId="22" xfId="0" applyNumberFormat="1" applyFont="1" applyFill="1" applyBorder="1" applyAlignment="1">
      <x:alignment vertical="center"/>
    </x:xf>
    <x:xf numFmtId="200" fontId="19" fillId="16" borderId="22" xfId="0" applyNumberFormat="1" applyFont="1" applyFill="1" applyBorder="1" applyAlignment="1">
      <x:alignment vertical="center" wrapText="1"/>
    </x:xf>
    <x:xf numFmtId="200" fontId="19" fillId="16" borderId="22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0" fillId="0" borderId="19" xfId="0" applyNumberFormat="1" applyFont="1" applyFill="1" applyBorder="1" applyAlignment="1">
      <x:alignment vertical="center"/>
    </x:xf>
    <x:xf numFmtId="0" fontId="20" fillId="0" borderId="20" xfId="0" applyNumberFormat="1" applyFont="1" applyFill="1" applyBorder="1" applyAlignment="1">
      <x:alignment vertical="center"/>
    </x:xf>
    <x:xf numFmtId="0" fontId="20" fillId="0" borderId="21" xfId="0" applyNumberFormat="1" applyFont="1" applyFill="1" applyBorder="1" applyAlignment="1">
      <x:alignment vertical="center"/>
    </x:xf>
    <x:xf numFmtId="0" fontId="20" fillId="0" borderId="19" xfId="0" applyNumberFormat="1" applyFont="1" applyFill="1" applyBorder="1" applyAlignment="1">
      <x:alignment vertical="center" wrapText="1"/>
    </x:xf>
    <x:xf numFmtId="0" fontId="20" fillId="0" borderId="20" xfId="0" applyNumberFormat="1" applyFont="1" applyFill="1" applyBorder="1" applyAlignment="1">
      <x:alignment vertical="center" wrapText="1"/>
    </x:xf>
    <x:xf numFmtId="0" fontId="20" fillId="0" borderId="21" xfId="0" applyNumberFormat="1" applyFont="1" applyFill="1" applyBorder="1" applyAlignment="1">
      <x:alignment vertical="center" wrapText="1"/>
    </x:xf>
    <x:xf numFmtId="0" fontId="20" fillId="10" borderId="19" xfId="0" applyNumberFormat="1" applyFont="1" applyFill="1" applyBorder="1" applyAlignment="1">
      <x:alignment vertical="center" wrapText="1"/>
    </x:xf>
    <x:xf numFmtId="0" fontId="21" fillId="0" borderId="19" xfId="0" applyNumberFormat="1" applyFont="1" applyFill="1" applyBorder="1" applyAlignment="1">
      <x:alignment vertical="center" wrapText="1"/>
    </x:xf>
    <x:xf numFmtId="0" fontId="21" fillId="10" borderId="19" xfId="0" applyNumberFormat="1" applyFont="1" applyFill="1" applyBorder="1" applyAlignment="1">
      <x:alignment vertical="center" wrapText="1"/>
    </x:xf>
    <x:xf numFmtId="0" fontId="20" fillId="0" borderId="23" xfId="0" applyNumberFormat="1" applyFont="1" applyFill="1" applyBorder="1" applyAlignment="1">
      <x:alignment vertical="center" wrapText="1"/>
    </x:xf>
    <x:xf numFmtId="200" fontId="19" fillId="16" borderId="24" xfId="0" applyNumberFormat="1" applyFont="1" applyFill="1" applyBorder="1" applyAlignment="1">
      <x:alignment horizontal="center" vertical="center" wrapText="1"/>
    </x:xf>
    <x:xf numFmtId="0" fontId="20" fillId="13" borderId="20" xfId="0" applyNumberFormat="1" applyFont="1" applyFill="1" applyBorder="1" applyAlignment="1">
      <x:alignment vertical="center" wrapText="1"/>
    </x:xf>
    <x:xf numFmtId="0" fontId="21" fillId="0" borderId="20" xfId="0" applyNumberFormat="1" applyFont="1" applyFill="1" applyBorder="1" applyAlignment="1">
      <x:alignment vertical="center" wrapText="1"/>
    </x:xf>
    <x:xf numFmtId="0" fontId="21" fillId="13" borderId="20" xfId="0" applyNumberFormat="1" applyFont="1" applyFill="1" applyBorder="1" applyAlignment="1">
      <x:alignment vertical="center" wrapText="1"/>
    </x:xf>
    <x:xf numFmtId="200" fontId="19" fillId="21" borderId="22" xfId="0" applyNumberFormat="1" applyFont="1" applyFill="1" applyBorder="1" applyAlignment="1">
      <x:alignment horizontal="center" vertical="center" wrapText="1"/>
    </x:xf>
    <x:xf numFmtId="200" fontId="19" fillId="21" borderId="24" xfId="0" applyNumberFormat="1" applyFont="1" applyFill="1" applyBorder="1" applyAlignment="1">
      <x:alignment horizontal="center" vertical="center" wrapText="1"/>
    </x:xf>
    <x:xf numFmtId="200" fontId="22" fillId="21" borderId="22" xfId="0" applyNumberFormat="1" applyFont="1" applyFill="1" applyBorder="1" applyAlignment="1">
      <x:alignment horizontal="center" vertical="center" wrapText="1"/>
    </x:xf>
    <x:xf numFmtId="200" fontId="22" fillId="21" borderId="24" xfId="0" applyNumberFormat="1" applyFont="1" applyFill="1" applyBorder="1" applyAlignment="1">
      <x:alignment horizontal="center" vertical="center" wrapText="1"/>
    </x:xf>
    <x:xf numFmtId="200" fontId="19" fillId="22" borderId="22" xfId="0" applyNumberFormat="1" applyFont="1" applyFill="1" applyBorder="1" applyAlignment="1">
      <x:alignment horizontal="center" vertical="center" wrapText="1"/>
    </x:xf>
    <x:xf numFmtId="200" fontId="19" fillId="22" borderId="24" xfId="0" applyNumberFormat="1" applyFont="1" applyFill="1" applyBorder="1" applyAlignment="1">
      <x:alignment horizontal="center" vertical="center" wrapText="1"/>
    </x:xf>
    <x:xf numFmtId="200" fontId="22" fillId="22" borderId="22" xfId="0" applyNumberFormat="1" applyFont="1" applyFill="1" applyBorder="1" applyAlignment="1">
      <x:alignment horizontal="center" vertical="center" wrapText="1"/>
    </x:xf>
    <x:xf numFmtId="200" fontId="22" fillId="22" borderId="24" xfId="0" applyNumberFormat="1" applyFont="1" applyFill="1" applyBorder="1" applyAlignment="1">
      <x:alignment horizontal="center" vertical="center" wrapText="1"/>
    </x:xf>
    <x:xf numFmtId="200" fontId="23" fillId="22" borderId="22" xfId="0" applyNumberFormat="1" applyFont="1" applyFill="1" applyBorder="1" applyAlignment="1">
      <x:alignment horizontal="center" vertical="center" wrapText="1"/>
    </x:xf>
    <x:xf numFmtId="200" fontId="23" fillId="22" borderId="24" xfId="0" applyNumberFormat="1" applyFont="1" applyFill="1" applyBorder="1" applyAlignment="1">
      <x:alignment horizontal="center" vertical="center" wrapText="1"/>
    </x:xf>
    <x:xf numFmtId="200" fontId="19" fillId="18" borderId="22" xfId="0" applyNumberFormat="1" applyFont="1" applyFill="1" applyBorder="1" applyAlignment="1">
      <x:alignment horizontal="center" vertical="center" wrapText="1"/>
    </x:xf>
    <x:xf numFmtId="200" fontId="19" fillId="18" borderId="24" xfId="0" applyNumberFormat="1" applyFont="1" applyFill="1" applyBorder="1" applyAlignment="1">
      <x:alignment horizontal="center" vertical="center" wrapText="1"/>
    </x:xf>
    <x:xf numFmtId="200" fontId="22" fillId="18" borderId="22" xfId="0" applyNumberFormat="1" applyFont="1" applyFill="1" applyBorder="1" applyAlignment="1">
      <x:alignment horizontal="center" vertical="center" wrapText="1"/>
    </x:xf>
    <x:xf numFmtId="200" fontId="22" fillId="18" borderId="24" xfId="0" applyNumberFormat="1" applyFont="1" applyFill="1" applyBorder="1" applyAlignment="1">
      <x:alignment horizontal="center" vertical="center" wrapText="1"/>
    </x:xf>
    <x:xf numFmtId="200" fontId="24" fillId="16" borderId="22" xfId="0" applyNumberFormat="1" applyFont="1" applyFill="1" applyBorder="1" applyAlignment="1">
      <x:alignment horizontal="center" vertical="center" wrapText="1"/>
    </x:xf>
    <x:xf numFmtId="200" fontId="19" fillId="13" borderId="22" xfId="0" applyNumberFormat="1" applyFont="1" applyFill="1" applyBorder="1" applyAlignment="1">
      <x:alignment horizontal="center" vertical="center" wrapText="1"/>
    </x:xf>
    <x:xf numFmtId="200" fontId="19" fillId="13" borderId="24" xfId="0" applyNumberFormat="1" applyFont="1" applyFill="1" applyBorder="1" applyAlignment="1">
      <x:alignment horizontal="center" vertical="center" wrapText="1"/>
    </x:xf>
    <x:xf numFmtId="200" fontId="22" fillId="13" borderId="22" xfId="0" applyNumberFormat="1" applyFont="1" applyFill="1" applyBorder="1" applyAlignment="1">
      <x:alignment horizontal="center" vertical="center" wrapText="1"/>
    </x:xf>
    <x:xf numFmtId="200" fontId="22" fillId="13" borderId="24" xfId="0" applyNumberFormat="1" applyFont="1" applyFill="1" applyBorder="1" applyAlignment="1">
      <x:alignment horizontal="center" vertical="center" wrapText="1"/>
    </x:xf>
    <x:xf numFmtId="200" fontId="25" fillId="13" borderId="22" xfId="0" applyNumberFormat="1" applyFont="1" applyFill="1" applyBorder="1" applyAlignment="1">
      <x:alignment horizontal="center" vertical="center" wrapText="1"/>
    </x:xf>
    <x:xf numFmtId="200" fontId="25" fillId="13" borderId="24" xfId="0" applyNumberFormat="1" applyFont="1" applyFill="1" applyBorder="1" applyAlignment="1">
      <x:alignment horizontal="center" vertical="center" wrapText="1"/>
    </x:xf>
    <x:xf numFmtId="200" fontId="19" fillId="24" borderId="22" xfId="0" applyNumberFormat="1" applyFont="1" applyFill="1" applyBorder="1" applyAlignment="1">
      <x:alignment horizontal="center" vertical="center" wrapText="1"/>
    </x:xf>
    <x:xf numFmtId="200" fontId="19" fillId="24" borderId="24" xfId="0" applyNumberFormat="1" applyFont="1" applyFill="1" applyBorder="1" applyAlignment="1">
      <x:alignment horizontal="center" vertical="center" wrapText="1"/>
    </x:xf>
    <x:xf numFmtId="200" fontId="22" fillId="24" borderId="22" xfId="0" applyNumberFormat="1" applyFont="1" applyFill="1" applyBorder="1" applyAlignment="1">
      <x:alignment horizontal="center" vertical="center" wrapText="1"/>
    </x:xf>
    <x:xf numFmtId="200" fontId="22" fillId="24" borderId="24" xfId="0" applyNumberFormat="1" applyFont="1" applyFill="1" applyBorder="1" applyAlignment="1">
      <x:alignment horizontal="center" vertical="center" wrapText="1"/>
    </x:xf>
    <x:xf numFmtId="200" fontId="19" fillId="25" borderId="22" xfId="0" applyNumberFormat="1" applyFont="1" applyFill="1" applyBorder="1" applyAlignment="1">
      <x:alignment horizontal="center" vertical="center" wrapText="1"/>
    </x:xf>
    <x:xf numFmtId="200" fontId="19" fillId="25" borderId="24" xfId="0" applyNumberFormat="1" applyFont="1" applyFill="1" applyBorder="1" applyAlignment="1">
      <x:alignment horizontal="center" vertical="center" wrapText="1"/>
    </x:xf>
    <x:xf numFmtId="200" fontId="22" fillId="25" borderId="22" xfId="0" applyNumberFormat="1" applyFont="1" applyFill="1" applyBorder="1" applyAlignment="1">
      <x:alignment horizontal="center" vertical="center" wrapText="1"/>
    </x:xf>
    <x:xf numFmtId="200" fontId="22" fillId="25" borderId="24" xfId="0" applyNumberFormat="1" applyFont="1" applyFill="1" applyBorder="1" applyAlignment="1">
      <x:alignment horizontal="center" vertical="center" wrapText="1"/>
    </x:xf>
    <x:xf numFmtId="200" fontId="19" fillId="23" borderId="22" xfId="0" applyNumberFormat="1" applyFont="1" applyFill="1" applyBorder="1" applyAlignment="1">
      <x:alignment horizontal="center" vertical="center" wrapText="1"/>
    </x:xf>
    <x:xf numFmtId="200" fontId="19" fillId="23" borderId="24" xfId="0" applyNumberFormat="1" applyFont="1" applyFill="1" applyBorder="1" applyAlignment="1">
      <x:alignment horizontal="center" vertical="center" wrapText="1"/>
    </x:xf>
    <x:xf numFmtId="200" fontId="23" fillId="23" borderId="22" xfId="0" applyNumberFormat="1" applyFont="1" applyFill="1" applyBorder="1" applyAlignment="1">
      <x:alignment horizontal="center" vertical="center" wrapText="1"/>
    </x:xf>
    <x:xf numFmtId="200" fontId="23" fillId="23" borderId="24" xfId="0" applyNumberFormat="1" applyFont="1" applyFill="1" applyBorder="1" applyAlignment="1">
      <x:alignment horizontal="center" vertical="center" wrapText="1"/>
    </x:xf>
    <x:xf numFmtId="200" fontId="22" fillId="23" borderId="22" xfId="0" applyNumberFormat="1" applyFont="1" applyFill="1" applyBorder="1" applyAlignment="1">
      <x:alignment horizontal="center" vertical="center" wrapText="1"/>
    </x:xf>
    <x:xf numFmtId="200" fontId="22" fillId="23" borderId="24" xfId="0" applyNumberFormat="1" applyFont="1" applyFill="1" applyBorder="1" applyAlignment="1">
      <x:alignment horizontal="center" vertical="center" wrapText="1"/>
    </x:xf>
    <x:xf numFmtId="200" fontId="25" fillId="21" borderId="22" xfId="0" applyNumberFormat="1" applyFont="1" applyFill="1" applyBorder="1" applyAlignment="1">
      <x:alignment horizontal="center" vertical="center" wrapText="1"/>
    </x:xf>
    <x:xf numFmtId="200" fontId="25" fillId="21" borderId="24" xfId="0" applyNumberFormat="1" applyFont="1" applyFill="1" applyBorder="1" applyAlignment="1">
      <x:alignment horizontal="center" vertical="center" wrapText="1"/>
    </x:xf>
    <x:xf numFmtId="200" fontId="23" fillId="24" borderId="22" xfId="0" applyNumberFormat="1" applyFont="1" applyFill="1" applyBorder="1" applyAlignment="1">
      <x:alignment horizontal="center" vertical="center" wrapText="1"/>
    </x:xf>
    <x:xf numFmtId="200" fontId="23" fillId="24" borderId="24" xfId="0" applyNumberFormat="1" applyFont="1" applyFill="1" applyBorder="1" applyAlignment="1">
      <x:alignment horizontal="center" vertical="center" wrapText="1"/>
    </x:xf>
    <x:xf numFmtId="200" fontId="23" fillId="25" borderId="22" xfId="0" applyNumberFormat="1" applyFont="1" applyFill="1" applyBorder="1" applyAlignment="1">
      <x:alignment horizontal="center" vertical="center" wrapText="1"/>
    </x:xf>
    <x:xf numFmtId="200" fontId="23" fillId="25" borderId="24" xfId="0" applyNumberFormat="1" applyFont="1" applyFill="1" applyBorder="1" applyAlignment="1">
      <x:alignment horizontal="center" vertical="center" wrapText="1"/>
    </x:xf>
    <x:xf numFmtId="200" fontId="25" fillId="23" borderId="22" xfId="0" applyNumberFormat="1" applyFont="1" applyFill="1" applyBorder="1" applyAlignment="1">
      <x:alignment horizontal="center" vertical="center" wrapText="1"/>
    </x:xf>
    <x:xf numFmtId="0" fontId="20" fillId="10" borderId="20" xfId="0" applyNumberFormat="1" applyFont="1" applyFill="1" applyBorder="1" applyAlignment="1">
      <x:alignment vertical="center" wrapText="1"/>
    </x:xf>
    <x:xf numFmtId="0" fontId="21" fillId="10" borderId="20" xfId="0" applyNumberFormat="1" applyFont="1" applyFill="1" applyBorder="1" applyAlignment="1">
      <x:alignment vertical="center" wrapText="1"/>
    </x:xf>
    <x:xf numFmtId="200" fontId="26" fillId="21" borderId="22" xfId="0" applyNumberFormat="1" applyFont="1" applyFill="1" applyBorder="1" applyAlignment="1">
      <x:alignment horizontal="center" vertical="center" wrapText="1"/>
    </x:xf>
    <x:xf numFmtId="200" fontId="26" fillId="21" borderId="24" xfId="0" applyNumberFormat="1" applyFont="1" applyFill="1" applyBorder="1" applyAlignment="1">
      <x:alignment horizontal="center" vertical="center" wrapText="1"/>
    </x:xf>
    <x:xf numFmtId="200" fontId="26" fillId="22" borderId="22" xfId="0" applyNumberFormat="1" applyFont="1" applyFill="1" applyBorder="1" applyAlignment="1">
      <x:alignment horizontal="center" vertical="center" wrapText="1"/>
    </x:xf>
    <x:xf numFmtId="200" fontId="26" fillId="22" borderId="24" xfId="0" applyNumberFormat="1" applyFont="1" applyFill="1" applyBorder="1" applyAlignment="1">
      <x:alignment horizontal="center" vertical="center" wrapText="1"/>
    </x:xf>
    <x:xf numFmtId="200" fontId="26" fillId="18" borderId="22" xfId="0" applyNumberFormat="1" applyFont="1" applyFill="1" applyBorder="1" applyAlignment="1">
      <x:alignment horizontal="center" vertical="center" wrapText="1"/>
    </x:xf>
    <x:xf numFmtId="200" fontId="26" fillId="18" borderId="24" xfId="0" applyNumberFormat="1" applyFont="1" applyFill="1" applyBorder="1" applyAlignment="1">
      <x:alignment horizontal="center" vertical="center" wrapText="1"/>
    </x:xf>
    <x:xf numFmtId="200" fontId="27" fillId="18" borderId="22" xfId="0" applyNumberFormat="1" applyFont="1" applyFill="1" applyBorder="1" applyAlignment="1">
      <x:alignment horizontal="center" vertical="center" wrapText="1"/>
    </x:xf>
    <x:xf numFmtId="200" fontId="26" fillId="13" borderId="22" xfId="0" applyNumberFormat="1" applyFont="1" applyFill="1" applyBorder="1" applyAlignment="1">
      <x:alignment horizontal="center" vertical="center" wrapText="1"/>
    </x:xf>
    <x:xf numFmtId="200" fontId="26" fillId="13" borderId="24" xfId="0" applyNumberFormat="1" applyFont="1" applyFill="1" applyBorder="1" applyAlignment="1">
      <x:alignment horizontal="center" vertical="center" wrapText="1"/>
    </x:xf>
    <x:xf numFmtId="200" fontId="27" fillId="13" borderId="22" xfId="0" applyNumberFormat="1" applyFont="1" applyFill="1" applyBorder="1" applyAlignment="1">
      <x:alignment horizontal="center" vertical="center" wrapText="1"/>
    </x:xf>
    <x:xf numFmtId="200" fontId="26" fillId="24" borderId="22" xfId="0" applyNumberFormat="1" applyFont="1" applyFill="1" applyBorder="1" applyAlignment="1">
      <x:alignment horizontal="center" vertical="center" wrapText="1"/>
    </x:xf>
    <x:xf numFmtId="200" fontId="26" fillId="24" borderId="24" xfId="0" applyNumberFormat="1" applyFont="1" applyFill="1" applyBorder="1" applyAlignment="1">
      <x:alignment horizontal="center" vertical="center" wrapText="1"/>
    </x:xf>
    <x:xf numFmtId="200" fontId="27" fillId="24" borderId="22" xfId="0" applyNumberFormat="1" applyFont="1" applyFill="1" applyBorder="1" applyAlignment="1">
      <x:alignment horizontal="center" vertical="center" wrapText="1"/>
    </x:xf>
    <x:xf numFmtId="200" fontId="26" fillId="25" borderId="22" xfId="0" applyNumberFormat="1" applyFont="1" applyFill="1" applyBorder="1" applyAlignment="1">
      <x:alignment horizontal="center" vertical="center" wrapText="1"/>
    </x:xf>
    <x:xf numFmtId="200" fontId="26" fillId="25" borderId="24" xfId="0" applyNumberFormat="1" applyFont="1" applyFill="1" applyBorder="1" applyAlignment="1">
      <x:alignment horizontal="center" vertical="center" wrapText="1"/>
    </x:xf>
    <x:xf numFmtId="200" fontId="26" fillId="23" borderId="22" xfId="0" applyNumberFormat="1" applyFont="1" applyFill="1" applyBorder="1" applyAlignment="1">
      <x:alignment horizontal="center" vertical="center" wrapText="1"/>
    </x:xf>
    <x:xf numFmtId="200" fontId="26" fillId="23" borderId="24" xfId="0" applyNumberFormat="1" applyFont="1" applyFill="1" applyBorder="1" applyAlignment="1">
      <x:alignment horizontal="center" vertical="center" wrapText="1"/>
    </x:xf>
    <x:xf numFmtId="0" fontId="20" fillId="14" borderId="20" xfId="0" applyNumberFormat="1" applyFont="1" applyFill="1" applyBorder="1" applyAlignment="1">
      <x:alignment vertical="center" wrapText="1"/>
    </x:xf>
    <x:xf numFmtId="0" fontId="21" fillId="14" borderId="20" xfId="0" applyNumberFormat="1" applyFont="1" applyFill="1" applyBorder="1" applyAlignment="1">
      <x:alignment vertical="center" wrapText="1"/>
    </x:xf>
    <x:xf numFmtId="200" fontId="23" fillId="21" borderId="22" xfId="0" applyNumberFormat="1" applyFont="1" applyFill="1" applyBorder="1" applyAlignment="1">
      <x:alignment horizontal="center" vertical="center" wrapText="1"/>
    </x:xf>
    <x:xf numFmtId="200" fontId="23" fillId="21" borderId="24" xfId="0" applyNumberFormat="1" applyFont="1" applyFill="1" applyBorder="1" applyAlignment="1">
      <x:alignment horizontal="center" vertical="center" wrapText="1"/>
    </x:xf>
    <x:xf numFmtId="200" fontId="25" fillId="22" borderId="22" xfId="0" applyNumberFormat="1" applyFont="1" applyFill="1" applyBorder="1" applyAlignment="1">
      <x:alignment horizontal="center" vertical="center" wrapText="1"/>
    </x:xf>
    <x:xf numFmtId="200" fontId="25" fillId="18" borderId="22" xfId="0" applyNumberFormat="1" applyFont="1" applyFill="1" applyBorder="1" applyAlignment="1">
      <x:alignment horizontal="center" vertical="center" wrapText="1"/>
    </x:xf>
    <x:xf numFmtId="200" fontId="25" fillId="18" borderId="24" xfId="0" applyNumberFormat="1" applyFont="1" applyFill="1" applyBorder="1" applyAlignment="1">
      <x:alignment horizontal="center" vertical="center" wrapText="1"/>
    </x:xf>
    <x:xf numFmtId="200" fontId="23" fillId="18" borderId="22" xfId="0" applyNumberFormat="1" applyFont="1" applyFill="1" applyBorder="1" applyAlignment="1">
      <x:alignment horizontal="center" vertical="center" wrapText="1"/>
    </x:xf>
    <x:xf numFmtId="200" fontId="23" fillId="18" borderId="24" xfId="0" applyNumberFormat="1" applyFont="1" applyFill="1" applyBorder="1" applyAlignment="1">
      <x:alignment horizontal="center" vertical="center" wrapText="1"/>
    </x:xf>
    <x:xf numFmtId="200" fontId="23" fillId="13" borderId="22" xfId="0" applyNumberFormat="1" applyFont="1" applyFill="1" applyBorder="1" applyAlignment="1">
      <x:alignment horizontal="center" vertical="center" wrapText="1"/>
    </x:xf>
    <x:xf numFmtId="200" fontId="23" fillId="13" borderId="24" xfId="0" applyNumberFormat="1" applyFont="1" applyFill="1" applyBorder="1" applyAlignment="1">
      <x:alignment horizontal="center" vertical="center" wrapText="1"/>
    </x:xf>
    <x:xf numFmtId="200" fontId="25" fillId="24" borderId="22" xfId="0" applyNumberFormat="1" applyFont="1" applyFill="1" applyBorder="1" applyAlignment="1">
      <x:alignment horizontal="center" vertical="center" wrapText="1"/>
    </x:xf>
    <x:xf numFmtId="200" fontId="25" fillId="24" borderId="24" xfId="0" applyNumberFormat="1" applyFont="1" applyFill="1" applyBorder="1" applyAlignment="1">
      <x:alignment horizontal="center" vertical="center" wrapText="1"/>
    </x:xf>
    <x:xf numFmtId="200" fontId="25" fillId="25" borderId="22" xfId="0" applyNumberFormat="1" applyFont="1" applyFill="1" applyBorder="1" applyAlignment="1">
      <x:alignment horizontal="center" vertical="center" wrapText="1"/>
    </x:xf>
    <x:xf numFmtId="200" fontId="25" fillId="25" borderId="24" xfId="0" applyNumberFormat="1" applyFont="1" applyFill="1" applyBorder="1" applyAlignment="1">
      <x:alignment horizontal="center" vertical="center" wrapText="1"/>
    </x:xf>
    <x:xf numFmtId="0" fontId="20" fillId="15" borderId="20" xfId="0" applyNumberFormat="1" applyFont="1" applyFill="1" applyBorder="1" applyAlignment="1">
      <x:alignment vertical="center" wrapText="1"/>
    </x:xf>
    <x:xf numFmtId="0" fontId="21" fillId="15" borderId="20" xfId="0" applyNumberFormat="1" applyFont="1" applyFill="1" applyBorder="1" applyAlignment="1">
      <x:alignment vertical="center" wrapText="1"/>
    </x:xf>
    <x:xf numFmtId="200" fontId="25" fillId="22" borderId="24" xfId="0" applyNumberFormat="1" applyFont="1" applyFill="1" applyBorder="1" applyAlignment="1">
      <x:alignment horizontal="center" vertical="center" wrapText="1"/>
    </x:xf>
    <x:xf numFmtId="200" fontId="25" fillId="23" borderId="24" xfId="0" applyNumberFormat="1" applyFont="1" applyFill="1" applyBorder="1" applyAlignment="1">
      <x:alignment horizontal="center" vertical="center" wrapText="1"/>
    </x:xf>
    <x:xf numFmtId="200" fontId="27" fillId="25" borderId="22" xfId="0" applyNumberFormat="1" applyFont="1" applyFill="1" applyBorder="1" applyAlignment="1">
      <x:alignment horizontal="center" vertical="center" wrapText="1"/>
    </x:xf>
    <x:xf numFmtId="200" fontId="27" fillId="23" borderId="22" xfId="0" applyNumberFormat="1" applyFont="1" applyFill="1" applyBorder="1" applyAlignment="1">
      <x:alignment horizontal="center" vertical="center" wrapText="1"/>
    </x:xf>
    <x:xf numFmtId="200" fontId="27" fillId="21" borderId="22" xfId="0" applyNumberFormat="1" applyFont="1" applyFill="1" applyBorder="1" applyAlignment="1">
      <x:alignment horizontal="center" vertical="center" wrapText="1"/>
    </x:xf>
    <x:xf numFmtId="200" fontId="27" fillId="22" borderId="22" xfId="0" applyNumberFormat="1" applyFont="1" applyFill="1" applyBorder="1" applyAlignment="1">
      <x:alignment horizontal="center" vertical="center" wrapText="1"/>
    </x:xf>
    <x:xf numFmtId="200" fontId="0" fillId="15" borderId="19" xfId="0" applyNumberFormat="1" applyFont="1" applyFill="1" applyBorder="1" applyAlignment="1">
      <x:alignment vertical="center"/>
    </x:xf>
    <x:xf numFmtId="0" fontId="0" fillId="15" borderId="19" xfId="0" applyNumberFormat="1" applyFont="1" applyFill="1" applyBorder="1" applyAlignment="1">
      <x:alignment vertical="center"/>
    </x:xf>
    <x:xf numFmtId="0" fontId="0" fillId="15" borderId="21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15" borderId="17" xfId="0" applyNumberFormat="1" applyFont="1" applyFill="1" applyBorder="1" applyAlignment="1">
      <x:alignment vertical="top" wrapText="1"/>
    </x:xf>
    <x:xf numFmtId="0" fontId="0" fillId="14" borderId="17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0" fontId="0" fillId="16" borderId="17" xfId="0" applyNumberFormat="1" applyFont="1" applyFill="1" applyBorder="1" applyAlignment="1">
      <x:alignment vertical="top" wrapText="1"/>
    </x:xf>
  </x:cellXfs>
  <x:cellStyles count="1">
    <x:cellStyle name="표준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3496645d48e44d8a" /><Relationship Type="http://schemas.openxmlformats.org/officeDocument/2006/relationships/theme" Target="/xl/theme/theme1.xml" Id="R81353465ef604b32" /><Relationship Type="http://schemas.openxmlformats.org/officeDocument/2006/relationships/sharedStrings" Target="/xl/sharedStrings.xml" Id="R774afe3b479c470b" /><Relationship Type="http://schemas.openxmlformats.org/officeDocument/2006/relationships/worksheet" Target="/xl/worksheets/sheet1.xml" Id="Rd63b436c3ee04e69" /><Relationship Type="http://schemas.openxmlformats.org/officeDocument/2006/relationships/worksheet" Target="/xl/worksheets/sheet2.xml" Id="R1211700549e64947" /><Relationship Type="http://schemas.openxmlformats.org/officeDocument/2006/relationships/worksheet" Target="/xl/worksheets/sheet3.xml" Id="Rbc881461dced42ca" /><Relationship Type="http://schemas.openxmlformats.org/officeDocument/2006/relationships/worksheet" Target="/xl/worksheets/sheet4.xml" Id="Rf60ae369d95f4104" /><Relationship Type="http://schemas.openxmlformats.org/officeDocument/2006/relationships/worksheet" Target="/xl/worksheets/sheet5.xml" Id="R4f83f69387144a10" /><Relationship Type="http://schemas.openxmlformats.org/officeDocument/2006/relationships/worksheet" Target="/xl/worksheets/sheet6.xml" Id="R51e670cd9f7c4d11" /><Relationship Type="http://schemas.openxmlformats.org/officeDocument/2006/relationships/worksheet" Target="/xl/worksheets/sheet7.xml" Id="R70f07e9ca16b4457" /><Relationship Type="http://schemas.openxmlformats.org/officeDocument/2006/relationships/worksheet" Target="/xl/worksheets/sheet8.xml" Id="R168279f8ca814f38" /><Relationship Type="http://schemas.openxmlformats.org/officeDocument/2006/relationships/worksheet" Target="/xl/worksheets/sheet9.xml" Id="Ra959051690b94806" /><Relationship Type="http://schemas.openxmlformats.org/officeDocument/2006/relationships/worksheet" Target="/xl/worksheets/sheet10.xml" Id="R7642475dd4744937" /><Relationship Type="http://schemas.microsoft.com/office/2017/10/relationships/person" Target="/xl/persons/person.xml" Id="Ra7646ca724994f38" /></Relationships>
</file>

<file path=xl/persons/person.xml><?xml version="1.0" encoding="utf-8"?>
<xltc:personList xmlns:xltc="http://schemas.microsoft.com/office/spreadsheetml/2018/threadedcomments">
  <xltc:person displayName="User" id="{5B662E2E-135B-4BED-903F-30CFA12D6CAD}"/>
</xltc: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14" dT="2026-08-29T20:18:32.929" personId="{5B662E2E-135B-4BED-903F-30CFA12D6CAD}" id="{2C8CB16A-DA9A-4A17-AD38-6F3948C89DE1}">
    <xltc:text>검토 구분: 선택값이 RAW 8.5V 및 전수 후보와 ±2초 이내에서 일치하지 않음
참가자: S02_RJS
값 출처: 기존 엑셀값
RAW 8.5V 일치: 없음
전수 후보 일치: 없음
M01 1 시작: 25.0 s
가까운 후보: 15.6
1번 호흡: 192.0 s / 예상 150~240 s / 시간 적합</xltc:text>
  </xltc:threadedComment>
  <xltc:threadedComment ref="K14" dT="2026-08-29T20:18:32.929" personId="{5B662E2E-135B-4BED-903F-30CFA12D6CAD}" id="{5B1AF398-40CD-42A2-91A1-475D59A17D88}">
    <xltc:text>검토 구분: 선택값이 RAW 8.5V 및 전수 후보와 ±2초 이내에서 일치하지 않음
참가자: S02_RJS
값 출처: 기존 엑셀값
RAW 8.5V 일치: 없음
전수 후보 일치: 없음
M02 1 종료: 217.0 s
가까운 후보: 213.6
1번 호흡: 192.0 s / 예상 150~240 s / 시간 적합</xltc:text>
  </xltc:threadedComment>
  <xltc:threadedComment ref="M14" dT="2026-08-29T20:18:32.929" personId="{5B662E2E-135B-4BED-903F-30CFA12D6CAD}" id="{9F075416-05DE-4E2E-B568-1664E7EB8620}">
    <xltc:text>검토 구분: 선택값이 RAW 8.5V 및 전수 후보와 ±2초 이내에서 일치하지 않음
참가자: S02_RJS
값 출처: 기존 엑셀값
RAW 8.5V 일치: 없음
전수 후보 일치: 없음
M03 2 시작: 245.0 s
가까운 후보: 239.2
2번 호흡: 366.0 s / 예상 240~450 s / 시간 적합</xltc:text>
  </xltc:threadedComment>
  <xltc:threadedComment ref="AA14" dT="2026-08-29T20:18:32.93" personId="{5B662E2E-135B-4BED-903F-30CFA12D6CAD}" id="{2C158AF7-00B5-4E6D-90CA-11816A18D1B0}">
    <xltc:text>검토 구분: 선택값이 RAW 8.5V 및 전수 후보와 ±2초 이내에서 일치하지 않음
참가자: S02_RJS
값 출처: 기존 엑셀값
RAW 8.5V 일치: 없음
전수 후보 일치: 없음
M05 3-1 시작: 708.0 s
가까운 후보: 702.3, 715.8
3번 픽업-1: 15.0 s / 예상 5~90 s / 시간 적합</xltc:text>
  </xltc:threadedComment>
  <xltc:threadedComment ref="AB13" dT="2026-08-29T20:18:32.93" personId="{5B662E2E-135B-4BED-903F-30CFA12D6CAD}" id="{467A0D2C-BE6D-4A99-A929-25539AA382DD}">
    <xltc:text>M05 3-1 시작의 대체 후보 715.8 s (현재 선택/추천 708.0 s)</xltc:text>
  </xltc:threadedComment>
  <xltc:threadedComment ref="AC14" dT="2026-08-29T20:18:32.93" personId="{5B662E2E-135B-4BED-903F-30CFA12D6CAD}" id="{DB2F3F76-584C-4F99-BAFC-79E6AC9EB649}">
    <xltc:text>검토 구분: 선택값이 RAW 8.5V 및 전수 후보와 ±2초 이내에서 일치하지 않음
참가자: S02_RJS
값 출처: 기존 엑셀값
RAW 8.5V 일치: 없음
전수 후보 일치: 없음
M06 3-1 종료: 723.0 s
가까운 후보: 715.8, 734.1
3번 픽업-1: 15.0 s / 예상 5~90 s / 시간 적합</xltc:text>
  </xltc:threadedComment>
  <xltc:threadedComment ref="AD13" dT="2026-08-29T20:18:32.93" personId="{5B662E2E-135B-4BED-903F-30CFA12D6CAD}" id="{C7C2481C-A70E-43CE-84EA-085BBB4D5B60}">
    <xltc:text>M06 3-1 종료의 대체 후보 734.1 s (현재 선택/추천 723.0 s)</xltc:text>
  </xltc:threadedComment>
  <xltc:threadedComment ref="AE14" dT="2026-08-29T20:18:32.931" personId="{5B662E2E-135B-4BED-903F-30CFA12D6CAD}" id="{000B6FA3-8179-4F70-A12E-B21BCC4C0DFD}">
    <xltc:text>검토 구분: 선택값이 RAW 8.5V 및 전수 후보와 ±2초 이내에서 일치하지 않음
참가자: S02_RJS
값 출처: 기존 엑셀값
RAW 8.5V 일치: 없음
전수 후보 일치: 없음
M07 3-2 시작: 740.0 s
가까운 후보: 734.1, 747.6
3번 픽업-2: 14.0 s / 예상 5~90 s / 시간 적합</xltc:text>
  </xltc:threadedComment>
  <xltc:threadedComment ref="AF13" dT="2026-08-29T20:18:32.931" personId="{5B662E2E-135B-4BED-903F-30CFA12D6CAD}" id="{187585D7-DFFE-4D11-8F0A-81B5115C9FDE}">
    <xltc:text>M07 3-2 시작의 대체 후보 747.6 s (현재 선택/추천 740.0 s)</xltc:text>
  </xltc:threadedComment>
  <xltc:threadedComment ref="AG14" dT="2026-08-29T20:18:32.931" personId="{5B662E2E-135B-4BED-903F-30CFA12D6CAD}" id="{C9C766D4-D21D-4351-B77A-F7479B1E96F6}">
    <xltc:text>검토 구분: 선택값이 RAW 8.5V 및 전수 후보와 ±2초 이내에서 일치하지 않음
참가자: S02_RJS
값 출처: 기존 엑셀값
RAW 8.5V 일치: 없음
전수 후보 일치: 없음
M08 3-2 종료: 754.0 s
가까운 후보: 747.6, 768.1
3번 픽업-2: 14.0 s / 예상 5~90 s / 시간 적합</xltc:text>
  </xltc:threadedComment>
  <xltc:threadedComment ref="AH13" dT="2026-08-29T20:18:32.931" personId="{5B662E2E-135B-4BED-903F-30CFA12D6CAD}" id="{865034B8-7B45-44CE-A485-09D20745DA31}">
    <xltc:text>M08 3-2 종료의 대체 후보 768.1 s (현재 선택/추천 754.0 s)</xltc:text>
  </xltc:threadedComment>
  <xltc:threadedComment ref="AI13" dT="2026-08-29T20:18:32.931" personId="{5B662E2E-135B-4BED-903F-30CFA12D6CAD}" id="{173B12B5-748D-420A-BE97-C36CF549F019}">
    <xltc:text>M09 4-1 시작의 대체 후보 836.2 s (현재 선택/추천 842.0 s)</xltc:text>
  </xltc:threadedComment>
  <xltc:threadedComment ref="AJ14" dT="2026-08-29T20:18:32.931" personId="{5B662E2E-135B-4BED-903F-30CFA12D6CAD}" id="{70710D8B-3271-4548-A425-9B18767616FB}">
    <xltc:text>검토 구분: 선택값이 RAW 8.5V 및 전수 후보와 ±2초 이내에서 일치하지 않음 / 4번 낙상-즉시 지속시간이 예상 범위를 벗어나거나 경계가 누락됨
참가자: S02_RJS
값 출처: 기존 엑셀값
RAW 8.5V 일치: 없음
전수 후보 일치: 없음
M09 4-1 시작: 842.0 s
가까운 후보: 844.9, 836.2
4번 낙상-즉시: 54.0 s / 예상 5~30 s / 시간 확인 필요</xltc:text>
  </xltc:threadedComment>
  <xltc:threadedComment ref="AL14" dT="2026-08-29T20:18:32.932" personId="{5B662E2E-135B-4BED-903F-30CFA12D6CAD}" id="{7CF1D28B-4691-46CF-A18E-AB2FBC82F1A8}">
    <xltc:text>검토 구분: 전수 후보에는 있으나 RAW 8.5V에는 일치값이 없음 / 4번 낙상-즉시 지속시간이 예상 범위를 벗어나거나 경계가 누락됨
참가자: S02_RJS
값 출처: 기존 엑셀값
RAW 8.5V 일치: 없음
전수 후보 일치: 894.6 s
M10 4-1 종료: 896.0 s
가까운 후보: 894.6, 908.8
4번 낙상-즉시: 54.0 s / 예상 5~30 s / 시간 확인 필요
M11 4-2 시작: 896.0 s
가까운 후보: 894.6, 908.8
4번 낙상-30초 유지: 48.0 s / 예상 25~75 s / 시간 적합</xltc:text>
  </xltc:threadedComment>
  <xltc:threadedComment ref="AM13" dT="2026-08-29T20:18:32.932" personId="{5B662E2E-135B-4BED-903F-30CFA12D6CAD}" id="{5F2E06D1-DF03-4F84-8198-0BC80A3045EE}">
    <xltc:text>M10 4-1 종료의 대체 후보 908.8 s (현재 선택/추천 896.0 s)
M11 4-2 시작의 대체 후보 908.8 s (현재 선택/추천 896.0 s)</xltc:text>
  </xltc:threadedComment>
  <xltc:threadedComment ref="AN14" dT="2026-08-29T20:18:32.932" personId="{5B662E2E-135B-4BED-903F-30CFA12D6CAD}" id="{9E52E1C8-DCA4-4B89-BCBD-F9E1FC20684A}">
    <xltc:text>검토 구분: 전수 후보에는 있으나 RAW 8.5V에는 일치값이 없음
참가자: S02_RJS
값 출처: 기존 엑셀값
RAW 8.5V 일치: 없음
전수 후보 일치: 942.2 s
M12 4-2 종료: 944.0 s
가까운 후보: 942.2
4번 낙상-30초 유지: 48.0 s / 예상 25~75 s / 시간 적합</xltc:text>
  </xltc:threadedComment>
  <xltc:threadedComment ref="AO14" dT="2026-08-29T20:18:32.932" personId="{5B662E2E-135B-4BED-903F-30CFA12D6CAD}" id="{DB5353CB-E638-4896-A17B-281CF4577040}">
    <xltc:text>검토 구분: 선택값이 RAW 8.5V 및 전수 후보와 ±2초 이내에서 일치하지 않음
참가자: S02_RJS
값 출처: 기존 엑셀값
RAW 8.5V 일치: 없음
전수 후보 일치: 없음
M13 4-3 시작: 946.0 s
가까운 후보: 942.2, 959.3
4번 낙상-천천히: 54.0 s / 예상 25~90 s / 시간 적합</xltc:text>
  </xltc:threadedComment>
  <xltc:threadedComment ref="AP13" dT="2026-08-29T20:18:32.932" personId="{5B662E2E-135B-4BED-903F-30CFA12D6CAD}" id="{B0685392-D1D7-41C7-ADCE-5622BFCCE7C8}">
    <xltc:text>M13 4-3 시작의 대체 후보 959.3 s (현재 선택/추천 946.0 s)</xltc:text>
  </xltc:threadedComment>
  <xltc:threadedComment ref="AQ14" dT="2026-08-29T20:18:32.932" personId="{5B662E2E-135B-4BED-903F-30CFA12D6CAD}" id="{FF2D2343-BF5F-46DF-B801-A228B8543BFB}">
    <xltc:text>검토 구분: 전수 후보에는 있으나 RAW 8.5V에는 일치값이 없음
참가자: S02_RJS
값 출처: 기존 엑셀값
RAW 8.5V 일치: 없음
전수 후보 일치: 999.8 s
M14 4-3 종료: 1000.0 s
가까운 후보: 999.8
4번 낙상-천천히: 54.0 s / 예상 25~90 s / 시간 적합</xltc:text>
  </xltc:threadedComment>
  <xltc:threadedComment ref="AR14" dT="2026-08-29T20:18:32.932" personId="{5B662E2E-135B-4BED-903F-30CFA12D6CAD}" id="{4F93B6D4-4E6B-4EA5-9184-8407AD289ADB}">
    <xltc:text>검토 구분: 선택값이 RAW 8.5V 및 전수 후보와 ±2초 이내에서 일치하지 않음
참가자: S02_RJS
값 출처: 기존 엑셀값
RAW 8.5V 일치: 없음
전수 후보 일치: 없음
M15 5 시작: 1020.0 s
가까운 후보: 없음
5번 코스: 164.0 s / 예상 130~230 s / 시간 적합</xltc:text>
  </xltc:threadedComment>
  <xltc:threadedComment ref="AS14" dT="2026-08-29T20:18:32.933" personId="{5B662E2E-135B-4BED-903F-30CFA12D6CAD}" id="{BAE84D55-1AB7-4CFD-90B0-16D669E3E4FD}">
    <xltc:text>검토 구분: 선택값이 RAW 8.5V 및 전수 후보와 ±2초 이내에서 일치하지 않음
참가자: S02_RJS
값 출처: 기존 엑셀값
RAW 8.5V 일치: 없음
전수 후보 일치: 없음
M16 5 종료: 1184.0 s
가까운 후보: 없음
5번 코스: 164.0 s / 예상 130~230 s / 시간 적합</xltc:text>
  </xltc:threadedComment>
  <xltc:threadedComment ref="AU14" dT="2026-08-29T20:18:32.933" personId="{5B662E2E-135B-4BED-903F-30CFA12D6CAD}" id="{84CE5FC0-42B3-4802-9C1E-FC81F1014E7F}">
    <xltc:text>검토 구분: 선택값이 RAW 8.5V 및 전수 후보와 ±2초 이내에서 일치하지 않음
참가자: S02_RJS
값 출처: 기존 엑셀값
RAW 8.5V 일치: 없음
전수 후보 일치: 없음
M17 6 시작: 1232.0 s
가까운 후보: 1226.0
6번 왕복: 27.0 s / 예상 5~70 s / 시간 적합</xltc:text>
  </xltc:threadedComment>
  <xltc:threadedComment ref="AW14" dT="2026-08-29T20:18:32.934" personId="{5B662E2E-135B-4BED-903F-30CFA12D6CAD}" id="{9E230B78-20FF-4768-8CA1-047F534D7037}">
    <xltc:text>검토 구분: 선택값이 RAW 8.5V 및 전수 후보와 ±2초 이내에서 일치하지 않음
참가자: S02_RJS
값 출처: 기존 엑셀값
RAW 8.5V 일치: 없음
전수 후보 일치: 없음
M18 6 종료: 1259.0 s
가까운 후보: 1256.7
6번 왕복: 27.0 s / 예상 5~70 s / 시간 적합</xltc:text>
  </xltc:threadedComment>
  <xltc:threadedComment ref="AX13" dT="2026-08-29T20:18:32.934" personId="{5B662E2E-135B-4BED-903F-30CFA12D6CAD}" id="{FA32AC98-3CD8-406B-85C4-0A3A03D37213}">
    <xltc:text>M19 7 시작의 대체 후보 1279.1 s (현재 선택/추천 1286.0 s)</xltc:text>
  </xltc:threadedComment>
  <xltc:threadedComment ref="AZ14" dT="2026-08-29T20:18:32.934" personId="{5B662E2E-135B-4BED-903F-30CFA12D6CAD}" id="{1D0EED76-0CAE-4CDB-B4D1-3088773A2DD8}">
    <xltc:text>검토 구분: 선택값이 RAW 8.5V 및 전수 후보와 ±2초 이내에서 일치하지 않음
참가자: S02_RJS
값 출처: 기존 엑셀값
RAW 8.5V 일치: 없음
전수 후보 일치: 없음
M20 7 종료: 1295.0 s
가까운 후보: 1286.8
7번 자유: 9.0 s / 예상 5~70 s / 시간 적합</xltc:text>
  </xltc:threadedComment>
  <xltc:threadedComment ref="H17" dT="2026-08-29T20:18:32.935" personId="{5B662E2E-135B-4BED-903F-30CFA12D6CAD}" id="{7C0BDA78-FAD9-4C0A-A581-6071AC455854}">
    <xltc:text>M01 1 시작의 대체 후보 18.7 s (현재 선택/추천 23.0 s)</xltc:text>
  </xltc:threadedComment>
  <xltc:threadedComment ref="I18" dT="2026-08-29T20:18:32.936" personId="{5B662E2E-135B-4BED-903F-30CFA12D6CAD}" id="{B30FA0B6-B420-45BA-BCFC-E65BC228C3EE}">
    <xltc:text>검토 구분: 같은 경계에 가까운 대체 후보가 둘 이상 있음
참가자: S03_PSJ
값 출처: 기존 엑셀값
RAW 8.5V 일치: 24.6 s
전수 후보 일치: 24.6 s
M01 1 시작: 23.0 s
가까운 후보: 24.6, 18.7
1번 호흡: 187.0 s / 예상 150~240 s / 시간 적합</xltc:text>
  </xltc:threadedComment>
  <xltc:threadedComment ref="J18" dT="2026-08-29T20:18:32.936" personId="{5B662E2E-135B-4BED-903F-30CFA12D6CAD}" id="{4430108E-C322-4CB6-9A05-1E481194EB5C}">
    <xltc:text>검토 구분: 선택값이 RAW 8.5V 및 전수 후보와 ±2초 이내에서 일치하지 않음
참가자: S03_PSJ
값 출처: 기존 엑셀값
RAW 8.5V 일치: 없음
전수 후보 일치: 없음
M02 1 종료: 210.0 s
가까운 후보: 218.4
1번 호흡: 187.0 s / 예상 150~240 s / 시간 적합</xltc:text>
  </xltc:threadedComment>
  <xltc:threadedComment ref="N18" dT="2026-08-29T20:18:32.936" personId="{5B662E2E-135B-4BED-903F-30CFA12D6CAD}" id="{C966C105-E810-4CBF-94F7-FA5FE259456D}">
    <xltc:text>검토 구분: 선택값이 RAW 8.5V 및 전수 후보와 ±2초 이내에서 일치하지 않음 / 3번 픽업-1 지속시간이 예상 범위를 벗어나거나 경계가 누락됨
참가자: S03_PSJ
값 출처: 기존 엑셀값
RAW 8.5V 일치: 없음
전수 후보 일치: 없음
M06 3-1 종료: 736.0 s
가까운 후보: 750.1
3번 픽업-1: 계산 불가 / 예상 5~90 s / 경계 누락</xltc:text>
  </xltc:threadedComment>
  <xltc:threadedComment ref="T17" dT="2026-08-29T20:18:32.936" personId="{5B662E2E-135B-4BED-903F-30CFA12D6CAD}" id="{60E42279-8EFB-450C-8187-96C0FA15EB3A}">
    <xltc:text>M10 4-1 종료의 대체 후보 930.6 s (현재 선택/추천 945.0 s)</xltc:text>
  </xltc:threadedComment>
  <xltc:threadedComment ref="U18" dT="2026-08-29T20:18:32.937" personId="{5B662E2E-135B-4BED-903F-30CFA12D6CAD}" id="{D0D6DC9C-1E61-4E0B-AC7E-002BF9FCB4E5}">
    <xltc:text>검토 구분: 선택값이 RAW 8.5V 및 전수 후보와 ±2초 이내에서 일치하지 않음
참가자: S03_PSJ
값 출처: 기존 엑셀값
RAW 8.5V 일치: 없음
전수 후보 일치: 없음
M09 4-1 시작: 934.0 s
가까운 후보: 930.6
4번 낙상-즉시: 11.0 s / 예상 5~30 s / 시간 적합</xltc:text>
  </xltc:threadedComment>
  <xltc:threadedComment ref="V18" dT="2026-08-29T20:18:32.937" personId="{5B662E2E-135B-4BED-903F-30CFA12D6CAD}" id="{E6879D0B-C517-4D2F-B794-19D4BA144DFB}">
    <xltc:text>검토 구분: 선택값이 RAW 8.5V 및 전수 후보와 ±2초 이내에서 일치하지 않음
참가자: S03_PSJ
값 출처: 기존 엑셀값
RAW 8.5V 일치: 없음
전수 후보 일치: 없음
M10 4-1 종료: 945.0 s
가까운 후보: 951.8, 930.6
4번 낙상-즉시: 11.0 s / 예상 5~30 s / 시간 적합</xltc:text>
  </xltc:threadedComment>
  <xltc:threadedComment ref="Y18" dT="2026-08-29T20:18:32.937" personId="{5B662E2E-135B-4BED-903F-30CFA12D6CAD}" id="{16C6E2FB-D013-4D94-ABD4-9511C81EA00C}">
    <xltc:text>검토 구분: 선택값이 RAW 8.5V 및 전수 후보와 ±2초 이내에서 일치하지 않음
참가자: S03_PSJ
값 출처: 기존 엑셀값
RAW 8.5V 일치: 없음
전수 후보 일치: 없음
M11 4-2 시작: 971.0 s
가까운 후보: 968.7
4번 낙상-30초 유지: 39.0 s / 예상 25~75 s / 시간 적합</xltc:text>
  </xltc:threadedComment>
  <xltc:threadedComment ref="Z18" dT="2026-08-29T20:18:32.937" personId="{5B662E2E-135B-4BED-903F-30CFA12D6CAD}" id="{6B53FA6F-F8BF-40E5-803B-264C1893E35F}">
    <xltc:text>검토 구분: 선택값이 RAW 8.5V 및 전수 후보와 ±2초 이내에서 일치하지 않음
참가자: S03_PSJ
값 출처: 기존 엑셀값
RAW 8.5V 일치: 없음
전수 후보 일치: 없음
M12 4-2 종료: 1010.0 s
가까운 후보: 1012.3, 1024.3
4번 낙상-30초 유지: 39.0 s / 예상 25~75 s / 시간 적합</xltc:text>
  </xltc:threadedComment>
  <xltc:threadedComment ref="AB17" dT="2026-08-29T20:18:32.937" personId="{5B662E2E-135B-4BED-903F-30CFA12D6CAD}" id="{B004F4F5-1967-4B00-9069-7B9D773001AC}">
    <xltc:text>M12 4-2 종료의 대체 후보 1024.3 s (현재 선택/추천 1010.0 s)</xltc:text>
  </xltc:threadedComment>
  <xltc:threadedComment ref="AC18" dT="2026-08-29T20:18:32.937" personId="{5B662E2E-135B-4BED-903F-30CFA12D6CAD}" id="{D40DCB43-4F9C-4B66-8CC8-1791E61502EE}">
    <xltc:text>검토 구분: 선택값이 RAW 8.5V 및 전수 후보와 ±2초 이내에서 일치하지 않음
참가자: S03_PSJ
값 출처: 기존 엑셀값
RAW 8.5V 일치: 없음
전수 후보 일치: 없음
M13 4-3 시작: 1028.0 s
가까운 후보: 1024.3
4번 낙상-천천히: 44.0 s / 예상 25~90 s / 시간 적합</xltc:text>
  </xltc:threadedComment>
  <xltc:threadedComment ref="AD18" dT="2026-08-29T20:18:32.937" personId="{5B662E2E-135B-4BED-903F-30CFA12D6CAD}" id="{29142A24-7715-4F48-A161-64C683E0BAAD}">
    <xltc:text>검토 구분: 선택값이 RAW 8.5V 및 전수 후보와 ±2초 이내에서 일치하지 않음
참가자: S03_PSJ
값 출처: 기존 엑셀값
RAW 8.5V 일치: 없음
전수 후보 일치: 없음
M14 4-3 종료: 1072.0 s
가까운 후보: 1076.8
4번 낙상-천천히: 44.0 s / 예상 25~90 s / 시간 적합</xltc:text>
  </xltc:threadedComment>
  <xltc:threadedComment ref="AH18" dT="2026-08-29T20:18:32.938" personId="{5B662E2E-135B-4BED-903F-30CFA12D6CAD}" id="{7E744A1F-EBE8-41D7-A5C3-5F667B0ADA37}">
    <xltc:text>검토 구분: 선택값이 RAW 8.5V 및 전수 후보와 ±2초 이내에서 일치하지 않음
참가자: S03_PSJ
값 출처: 기존 엑셀값
RAW 8.5V 일치: 없음
전수 후보 일치: 없음
M16 5 종료: 1358.0 s
가까운 후보: 1355.5
5번 코스: 190.0 s / 예상 130~230 s / 시간 적합</xltc:text>
  </xltc:threadedComment>
  <xltc:threadedComment ref="AJ18" dT="2026-08-29T20:18:32.938" personId="{5B662E2E-135B-4BED-903F-30CFA12D6CAD}" id="{9B03C4D1-5D28-44BD-9496-5905FAE16E8B}">
    <xltc:text>검토 구분: 선택값이 RAW 8.5V 및 전수 후보와 ±2초 이내에서 일치하지 않음
참가자: S03_PSJ
값 출처: 기존 엑셀값
RAW 8.5V 일치: 없음
전수 후보 일치: 없음
M18 6 종료: 1433.0 s
가까운 후보: 1438.9
6번 왕복: 21.0 s / 예상 5~70 s / 시간 적합</xltc:text>
  </xltc:threadedComment>
  <xltc:threadedComment ref="AL18" dT="2026-08-29T20:18:32.938" personId="{5B662E2E-135B-4BED-903F-30CFA12D6CAD}" id="{C191A7C7-5A03-4A2A-93D6-64BA663736F9}">
    <xltc:text>검토 구분: 선택값이 RAW 8.5V 및 전수 후보와 ±2초 이내에서 일치하지 않음
참가자: S03_PSJ
값 출처: 기존 엑셀값
RAW 8.5V 일치: 없음
전수 후보 일치: 없음
M19 7 시작: 1466.0 s
가까운 후보: 1468.3, 1479.7
7번 자유: 12.0 s / 예상 5~70 s / 시간 적합</xltc:text>
  </xltc:threadedComment>
  <xltc:threadedComment ref="AM17" dT="2026-08-29T20:18:32.939" personId="{5B662E2E-135B-4BED-903F-30CFA12D6CAD}" id="{982FDC1B-C010-4F65-A0E5-16C90CBECF3C}">
    <xltc:text>M20 7 종료의 대체 후보 1468.3 s (현재 선택/추천 1478.0 s)</xltc:text>
  </xltc:threadedComment>
  <xltc:threadedComment ref="AN17" dT="2026-08-29T20:18:32.939" personId="{5B662E2E-135B-4BED-903F-30CFA12D6CAD}" id="{EA4AA829-641B-4326-A514-E9FA68BDF0F7}">
    <xltc:text>M19 7 시작의 대체 후보 1479.7 s (현재 선택/추천 1466.0 s)</xltc:text>
  </xltc:threadedComment>
  <xltc:threadedComment ref="H22" dT="2026-08-29T20:18:32.94" personId="{5B662E2E-135B-4BED-903F-30CFA12D6CAD}" id="{E6284A81-D80E-4EBD-97A2-D127ADFF0EC1}">
    <xltc:text>검토 구분: 시간패턴 추천값으로 아직 확정되지 않음
참가자: S04_KTW
값 출처: 시간패턴 추천(미확정)
RAW 8.5V 일치: 25.0 s
전수 후보 일치: 22.6 s
M01 1 시작: 22.6 s
가까운 후보: 22.6, 29.4
1번 호흡: 200.8 s / 예상 150~240 s / 시간 적합
참가자 특이사항: 후반부 장시간 마커 공백(약 1,230~1,680초) — 수동 검토 필요</xltc:text>
  </xltc:threadedComment>
  <xltc:threadedComment ref="I21" dT="2026-08-29T20:18:32.94" personId="{5B662E2E-135B-4BED-903F-30CFA12D6CAD}" id="{DE19806B-7176-4A8C-93F1-A71E1D6A3C34}">
    <xltc:text>M01 1 시작의 대체 후보 29.4 s (현재 선택/추천 22.6 s)</xltc:text>
  </xltc:threadedComment>
  <xltc:threadedComment ref="K22" dT="2026-08-29T20:18:32.94" personId="{5B662E2E-135B-4BED-903F-30CFA12D6CAD}" id="{3CEA1843-5971-4539-88FD-B22768D6F4BF}">
    <xltc:text>검토 구분: 시간패턴 추천값으로 아직 확정되지 않음
참가자: S04_KTW
값 출처: 시간패턴 추천(미확정)
RAW 8.5V 일치: 219.9 s
전수 후보 일치: 223.5 s
M02 1 종료: 223.5 s
가까운 후보: 223.5
1번 호흡: 200.8 s / 예상 150~240 s / 시간 적합
참가자 특이사항: 후반부 장시간 마커 공백(약 1,230~1,680초) — 수동 검토 필요</xltc:text>
  </xltc:threadedComment>
  <xltc:threadedComment ref="M22" dT="2026-08-29T20:18:32.941" personId="{5B662E2E-135B-4BED-903F-30CFA12D6CAD}" id="{1C653E2A-2A06-4696-B859-80F73322C6EF}">
    <xltc:text>검토 구분: 시간패턴 추천값으로 아직 확정되지 않음 / 전수 후보에는 있으나 RAW 8.5V에는 일치값이 없음
참가자: S04_KTW
값 출처: 시간패턴 추천(미확정)
RAW 8.5V 일치: 없음
전수 후보 일치: 274.2 s
M03 2 시작: 274.2 s
가까운 후보: 274.2
2번 호흡: 373.0 s / 예상 240~450 s / 시간 적합
참가자 특이사항: 후반부 장시간 마커 공백(약 1,230~1,680초) — 수동 검토 필요</xltc:text>
  </xltc:threadedComment>
  <xltc:threadedComment ref="N22" dT="2026-08-29T20:18:32.941" personId="{5B662E2E-135B-4BED-903F-30CFA12D6CAD}" id="{930B8DD5-9D7D-4BB0-A62C-8A612BC7A0C4}">
    <xltc:text>검토 구분: 시간패턴 추천값으로 아직 확정되지 않음
참가자: S04_KTW
값 출처: 시간패턴 추천(미확정)
RAW 8.5V 일치: 646.3 s
전수 후보 일치: 647.2 s
M04 2 종료: 647.2 s
가까운 후보: 647.2
2번 호흡: 373.0 s / 예상 240~450 s / 시간 적합
참가자 특이사항: 후반부 장시간 마커 공백(약 1,230~1,680초) — 수동 검토 필요</xltc:text>
  </xltc:threadedComment>
  <xltc:threadedComment ref="P22" dT="2026-08-29T20:18:32.941" personId="{5B662E2E-135B-4BED-903F-30CFA12D6CAD}" id="{8AED6BF5-8A22-485F-9666-17F64572DF57}">
    <xltc:text>검토 구분: 시간패턴 추천값으로 아직 확정되지 않음 / 전수 후보에는 있으나 RAW 8.5V에는 일치값이 없음
참가자: S04_KTW
값 출처: 시간패턴 추천(미확정)
RAW 8.5V 일치: 없음
전수 후보 일치: 764.0 s
M05 3-1 시작: 764.0 s
가까운 후보: 764.0, 774.7
3번 픽업-1: 10.6 s / 예상 5~90 s / 시간 적합
참가자 특이사항: 후반부 장시간 마커 공백(약 1,230~1,680초) — 수동 검토 필요</xltc:text>
  </xltc:threadedComment>
  <xltc:threadedComment ref="P21" dT="2026-08-29T20:18:32.941" personId="{5B662E2E-135B-4BED-903F-30CFA12D6CAD}" id="{89859E45-5BC2-4E1C-B811-8E0B6F43AED5}">
    <xltc:text>M06 3-1 종료의 대체 후보 764.0 s (현재 선택/추천 774.7 s)</xltc:text>
  </xltc:threadedComment>
  <xltc:threadedComment ref="Q22" dT="2026-08-29T20:18:32.941" personId="{5B662E2E-135B-4BED-903F-30CFA12D6CAD}" id="{431D380C-3F16-405F-AA48-972936F91954}">
    <xltc:text>검토 구분: 시간패턴 추천값으로 아직 확정되지 않음 / 같은 경계에 가까운 대체 후보가 둘 이상 있음
참가자: S04_KTW
값 출처: 시간패턴 추천(미확정)
RAW 8.5V 일치: 774.7 s
전수 후보 일치: 774.7 s
M06 3-1 종료: 774.7 s
가까운 후보: 774.7, 779.1, 764.0
3번 픽업-1: 10.6 s / 예상 5~90 s / 시간 적합
참가자 특이사항: 후반부 장시간 마커 공백(약 1,230~1,680초) — 수동 검토 필요</xltc:text>
  </xltc:threadedComment>
  <xltc:threadedComment ref="Q21" dT="2026-08-29T20:18:32.941" personId="{5B662E2E-135B-4BED-903F-30CFA12D6CAD}" id="{9AD3CA7B-63FB-4318-B9AE-293E377172AA}">
    <xltc:text>M05 3-1 시작의 대체 후보 774.7 s (현재 선택/추천 764.0 s)
M07 3-2 시작의 대체 후보 774.7 s (현재 선택/추천 779.1 s)</xltc:text>
  </xltc:threadedComment>
  <xltc:threadedComment ref="R22" dT="2026-08-29T20:18:32.941" personId="{5B662E2E-135B-4BED-903F-30CFA12D6CAD}" id="{41055A77-FD80-4A03-A7B9-B32B0A10950D}">
    <xltc:text>검토 구분: 시간패턴 추천값으로 아직 확정되지 않음 / 전수 후보에는 있으나 RAW 8.5V에는 일치값이 없음 / 같은 경계에 가까운 대체 후보가 둘 이상 있음
참가자: S04_KTW
값 출처: 시간패턴 추천(미확정)
RAW 8.5V 일치: 없음
전수 후보 일치: 779.1 s
M07 3-2 시작: 779.1 s
가까운 후보: 779.1, 774.7
3번 픽업-2: 15.7 s / 예상 5~90 s / 시간 적합
참가자 특이사항: 후반부 장시간 마커 공백(약 1,230~1,680초) — 수동 검토 필요</xltc:text>
  </xltc:threadedComment>
  <xltc:threadedComment ref="R21" dT="2026-08-29T20:18:32.942" personId="{5B662E2E-135B-4BED-903F-30CFA12D6CAD}" id="{AD4690F3-86CD-4651-A164-BDCEDB2CDA0A}">
    <xltc:text>M06 3-1 종료의 대체 후보 779.1 s (현재 선택/추천 774.7 s)</xltc:text>
  </xltc:threadedComment>
  <xltc:threadedComment ref="T22" dT="2026-08-29T20:18:32.942" personId="{5B662E2E-135B-4BED-903F-30CFA12D6CAD}" id="{494AD5DB-658A-402B-8B63-C2C1EA84C61C}">
    <xltc:text>검토 구분: 시간패턴 추천값으로 아직 확정되지 않음 / 전수 후보에는 있으나 RAW 8.5V에는 일치값이 없음
참가자: S04_KTW
값 출처: 시간패턴 추천(미확정)
RAW 8.5V 일치: 없음
전수 후보 일치: 794.8 s
M08 3-2 종료: 794.8 s
가까운 후보: 794.8
3번 픽업-2: 15.7 s / 예상 5~90 s / 시간 적합
참가자 특이사항: 후반부 장시간 마커 공백(약 1,230~1,680초) — 수동 검토 필요</xltc:text>
  </xltc:threadedComment>
  <xltc:threadedComment ref="V22" dT="2026-08-29T20:18:32.942" personId="{5B662E2E-135B-4BED-903F-30CFA12D6CAD}" id="{C1C35309-E67A-4FD4-8C37-CC0861A0D12D}">
    <xltc:text>검토 구분: 시간패턴 추천값으로 아직 확정되지 않음 / 같은 경계에 가까운 대체 후보가 둘 이상 있음 / 4번 낙상-즉시 지속시간이 예상 범위를 벗어나거나 경계가 누락됨
참가자: S04_KTW
값 출처: 시간패턴 추천(미확정)
RAW 8.5V 일치: 896.2 s
전수 후보 일치: 898.2 s
M09 4-1 시작: 898.2 s
가까운 후보: 898.2, 902.8
4번 낙상-즉시: 4.6 s / 예상 5~30 s / 시간 확인 필요
참가자 특이사항: 후반부 장시간 마커 공백(약 1,230~1,680초) — 수동 검토 필요</xltc:text>
  </xltc:threadedComment>
  <xltc:threadedComment ref="V21" dT="2026-08-29T20:18:32.942" personId="{5B662E2E-135B-4BED-903F-30CFA12D6CAD}" id="{5D684719-DA74-4EAE-A7CB-FF8932264C0A}">
    <xltc:text>M10 4-1 종료의 대체 후보 898.2 s (현재 선택/추천 902.8 s)</xltc:text>
  </xltc:threadedComment>
  <xltc:threadedComment ref="W22" dT="2026-08-29T20:18:32.942" personId="{5B662E2E-135B-4BED-903F-30CFA12D6CAD}" id="{03E91397-60B8-44BB-BB12-76D0AAA73C4B}">
    <xltc:text>검토 구분: 시간패턴 추천값으로 아직 확정되지 않음 / 전수 후보에는 있으나 RAW 8.5V에는 일치값이 없음 / 같은 경계에 가까운 대체 후보가 둘 이상 있음 / 4번 낙상-즉시 지속시간이 예상 범위를 벗어나거나 경계가 누락됨
참가자: S04_KTW
값 출처: 시간패턴 추천(미확정)
RAW 8.5V 일치: 없음
전수 후보 일치: 902.8 s
M10 4-1 종료: 902.8 s
가까운 후보: 902.8, 898.2, 914.2
4번 낙상-즉시: 4.6 s / 예상 5~30 s / 시간 확인 필요
참가자 특이사항: 후반부 장시간 마커 공백(약 1,230~1,680초) — 수동 검토 필요</xltc:text>
  </xltc:threadedComment>
  <xltc:threadedComment ref="W21" dT="2026-08-29T20:18:32.942" personId="{5B662E2E-135B-4BED-903F-30CFA12D6CAD}" id="{10602883-7264-4ED5-A749-32407ED1494C}">
    <xltc:text>M09 4-1 시작의 대체 후보 902.8 s (현재 선택/추천 898.2 s)
M11 4-2 시작의 대체 후보 902.8 s (현재 선택/추천 914.2 s)</xltc:text>
  </xltc:threadedComment>
  <xltc:threadedComment ref="Y22" dT="2026-08-29T20:18:32.943" personId="{5B662E2E-135B-4BED-903F-30CFA12D6CAD}" id="{331D9E24-8777-4919-A14B-31A716DFCCB8}">
    <xltc:text>검토 구분: 시간패턴 추천값으로 아직 확정되지 않음 / 전수 후보에는 있으나 RAW 8.5V에는 일치값이 없음 / 4번 낙상-30초 유지 지속시간이 예상 범위를 벗어나거나 경계가 누락됨
참가자: S04_KTW
값 출처: 시간패턴 추천(미확정)
RAW 8.5V 일치: 없음
전수 후보 일치: 914.2 s
M11 4-2 시작: 914.2 s
가까운 후보: 914.2, 902.8
4번 낙상-30초 유지: 17.1 s / 예상 25~75 s / 시간 확인 필요
참가자 특이사항: 후반부 장시간 마커 공백(약 1,230~1,680초) — 수동 검토 필요</xltc:text>
  </xltc:threadedComment>
  <xltc:threadedComment ref="Y21" dT="2026-08-29T20:18:32.943" personId="{5B662E2E-135B-4BED-903F-30CFA12D6CAD}" id="{1B9404D9-8A1C-4724-AD40-70F97571A0E0}">
    <xltc:text>M10 4-1 종료의 대체 후보 914.2 s (현재 선택/추천 902.8 s)</xltc:text>
  </xltc:threadedComment>
  <xltc:threadedComment ref="AA22" dT="2026-08-29T20:18:32.943" personId="{5B662E2E-135B-4BED-903F-30CFA12D6CAD}" id="{CBED4030-8A61-4BBC-91DC-A018E1E8E887}">
    <xltc:text>검토 구분: 시간패턴 추천값으로 아직 확정되지 않음 / 전수 후보에는 있으나 RAW 8.5V에는 일치값이 없음 / 4번 낙상-30초 유지 지속시간이 예상 범위를 벗어나거나 경계가 누락됨
참가자: S04_KTW
값 출처: 시간패턴 추천(미확정)
RAW 8.5V 일치: 없음
전수 후보 일치: 931.3 s
M12 4-2 종료: 931.3 s
가까운 후보: 931.3
4번 낙상-30초 유지: 17.1 s / 예상 25~75 s / 시간 확인 필요
참가자 특이사항: 후반부 장시간 마커 공백(약 1,230~1,680초) — 수동 검토 필요</xltc:text>
  </xltc:threadedComment>
  <xltc:threadedComment ref="AC22" dT="2026-08-29T20:18:32.943" personId="{5B662E2E-135B-4BED-903F-30CFA12D6CAD}" id="{31E18756-BBEA-4191-BCC8-97063361CC35}">
    <xltc:text>검토 구분: 시간패턴 추천값으로 아직 확정되지 않음 / 전수 후보에는 있으나 RAW 8.5V에는 일치값이 없음 / 4번 낙상-천천히 지속시간이 예상 범위를 벗어나거나 경계가 누락됨
참가자: S04_KTW
값 출처: 시간패턴 추천(미확정)
RAW 8.5V 일치: 없음
전수 후보 일치: 977.0 s
M13 4-3 시작: 977.0 s
가까운 후보: 977.0
4번 낙상-천천히: 15.4 s / 예상 25~90 s / 시간 확인 필요
참가자 특이사항: 후반부 장시간 마커 공백(약 1,230~1,680초) — 수동 검토 필요</xltc:text>
  </xltc:threadedComment>
  <xltc:threadedComment ref="AE22" dT="2026-08-29T20:18:32.943" personId="{5B662E2E-135B-4BED-903F-30CFA12D6CAD}" id="{70E7E4A1-D602-443D-B6CD-E9AF0ED5D942}">
    <xltc:text>검토 구분: 시간패턴 추천값으로 아직 확정되지 않음 / 4번 낙상-천천히 지속시간이 예상 범위를 벗어나거나 경계가 누락됨
참가자: S04_KTW
값 출처: 시간패턴 추천(미확정)
RAW 8.5V 일치: 992.7 s
전수 후보 일치: 992.3 s
M14 4-3 종료: 992.3 s
가까운 후보: 992.3
4번 낙상-천천히: 15.4 s / 예상 25~90 s / 시간 확인 필요
참가자 특이사항: 후반부 장시간 마커 공백(약 1,230~1,680초) — 수동 검토 필요</xltc:text>
  </xltc:threadedComment>
  <xltc:threadedComment ref="AG22" dT="2026-08-29T20:18:32.943" personId="{5B662E2E-135B-4BED-903F-30CFA12D6CAD}" id="{BD66D6ED-1711-49F7-B124-B6FB9B7FC809}">
    <xltc:text>검토 구분: 시간패턴 추천값으로 아직 확정되지 않음 / 전수 후보에는 있으나 RAW 8.5V에는 일치값이 없음
참가자: S04_KTW
값 출처: 시간패턴 추천(미확정)
RAW 8.5V 일치: 없음
전수 후보 일치: 1042.7 s
M15 4-4 시작: 1042.7 s
가까운 후보: 1042.7
4번 물건 집기: 16.5 s / 예상 5~40 s / 시간 적합
참가자 특이사항: 후반부 장시간 마커 공백(약 1,230~1,680초) — 수동 검토 필요</xltc:text>
  </xltc:threadedComment>
  <xltc:threadedComment ref="AI22" dT="2026-08-29T20:18:32.943" personId="{5B662E2E-135B-4BED-903F-30CFA12D6CAD}" id="{25FA6716-9E96-4D8D-A217-0E8AFFD9FBE4}">
    <xltc:text>검토 구분: 시간패턴 추천값으로 아직 확정되지 않음 / 전수 후보에는 있으나 RAW 8.5V에는 일치값이 없음
참가자: S04_KTW
값 출처: 시간패턴 추천(미확정)
RAW 8.5V 일치: 없음
전수 후보 일치: 1059.2 s
M16 4-4 종료: 1059.2 s
가까운 후보: 1059.2, 1074.0
4번 물건 집기: 16.5 s / 예상 5~40 s / 시간 적합
참가자 특이사항: 후반부 장시간 마커 공백(약 1,230~1,680초) — 수동 검토 필요</xltc:text>
  </xltc:threadedComment>
  <xltc:threadedComment ref="AI21" dT="2026-08-29T20:18:32.944" personId="{5B662E2E-135B-4BED-903F-30CFA12D6CAD}" id="{8172D6B8-2392-4587-BEA7-EA17E3CBD574}">
    <xltc:text>M17 5 시작의 대체 후보 1059.2 s (현재 선택/추천 1074.0 s)</xltc:text>
  </xltc:threadedComment>
  <xltc:threadedComment ref="AK22" dT="2026-08-29T20:18:32.944" personId="{5B662E2E-135B-4BED-903F-30CFA12D6CAD}" id="{0C85C222-334E-4323-AB39-5716AB20F079}">
    <xltc:text>검토 구분: 시간패턴 추천값으로 아직 확정되지 않음 / 전수 후보에는 있으나 RAW 8.5V에는 일치값이 없음 / 5번 코스 지속시간이 예상 범위를 벗어나거나 경계가 누락됨
참가자: S04_KTW
값 출처: 시간패턴 추천(미확정)
RAW 8.5V 일치: 없음
전수 후보 일치: 1074.0 s
M17 5 시작: 1074.0 s
가까운 후보: 1074.0, 1059.2
5번 코스: 69.3 s / 예상 130~230 s / 시간 확인 필요
참가자 특이사항: 후반부 장시간 마커 공백(약 1,230~1,680초) — 수동 검토 필요</xltc:text>
  </xltc:threadedComment>
  <xltc:threadedComment ref="AK21" dT="2026-08-29T20:18:32.944" personId="{5B662E2E-135B-4BED-903F-30CFA12D6CAD}" id="{4656720E-2B23-46D5-B1C0-4AD2B3D49E00}">
    <xltc:text>M16 4-4 종료의 대체 후보 1074.0 s (현재 선택/추천 1059.2 s)</xltc:text>
  </xltc:threadedComment>
  <xltc:threadedComment ref="AM22" dT="2026-08-29T20:18:32.944" personId="{5B662E2E-135B-4BED-903F-30CFA12D6CAD}" id="{F1982F4C-8F51-47BF-94ED-6682C26EDFE6}">
    <xltc:text>검토 구분: 시간패턴 추천값으로 아직 확정되지 않음 / 전수 후보에는 있으나 RAW 8.5V에는 일치값이 없음 / 5번 코스 지속시간이 예상 범위를 벗어나거나 경계가 누락됨
참가자: S04_KTW
값 출처: 시간패턴 추천(미확정)
RAW 8.5V 일치: 없음
전수 후보 일치: 1143.4 s
M18 5 종료: 1143.4 s
가까운 후보: 1143.4
5번 코스: 69.3 s / 예상 130~230 s / 시간 확인 필요
참가자 특이사항: 후반부 장시간 마커 공백(약 1,230~1,680초) — 수동 검토 필요</xltc:text>
  </xltc:threadedComment>
  <xltc:threadedComment ref="AO22" dT="2026-08-29T20:18:32.944" personId="{5B662E2E-135B-4BED-903F-30CFA12D6CAD}" id="{11785A75-D40D-4544-AD16-BFA43395ED8B}">
    <xltc:text>검토 구분: 시간패턴 추천값으로 아직 확정되지 않음 / 전수 후보에는 있으나 RAW 8.5V에는 일치값이 없음
참가자: S04_KTW
값 출처: 시간패턴 추천(미확정)
RAW 8.5V 일치: 없음
전수 후보 일치: 1165.8 s
M19 6 시작: 1165.8 s
가까운 후보: 1165.8
6번 왕복: 19.7 s / 예상 5~70 s / 시간 적합
참가자 특이사항: 후반부 장시간 마커 공백(약 1,230~1,680초) — 수동 검토 필요</xltc:text>
  </xltc:threadedComment>
  <xltc:threadedComment ref="AQ22" dT="2026-08-29T20:18:32.944" personId="{5B662E2E-135B-4BED-903F-30CFA12D6CAD}" id="{30C8448D-5944-4B06-95FA-1490AE4140EB}">
    <xltc:text>검토 구분: 시간패턴 추천값으로 아직 확정되지 않음 / 전수 후보에는 있으나 RAW 8.5V에는 일치값이 없음
참가자: S04_KTW
값 출처: 시간패턴 추천(미확정)
RAW 8.5V 일치: 없음
전수 후보 일치: 1185.5 s
M20 6 종료: 1185.5 s
가까운 후보: 1185.5
6번 왕복: 19.7 s / 예상 5~70 s / 시간 적합
참가자 특이사항: 후반부 장시간 마커 공백(약 1,230~1,680초) — 수동 검토 필요</xltc:text>
  </xltc:threadedComment>
  <xltc:threadedComment ref="AR22" dT="2026-08-29T20:18:32.945" personId="{5B662E2E-135B-4BED-903F-30CFA12D6CAD}" id="{E0E2A920-D844-488E-8565-F9A2F8417138}">
    <xltc:text>검토 구분: 시간패턴 추천값으로 아직 확정되지 않음 / 7번 자유 지속시간이 예상 범위를 벗어나거나 경계가 누락됨
참가자: S04_KTW
값 출처: 시간패턴 추천(미확정)
RAW 8.5V 일치: 1225.7 s
전수 후보 일치: 1228.5 s
M21 7 시작: 1228.5 s
가까운 후보: 1228.5
7번 자유: 534.2 s / 예상 5~70 s / 시간 확인 필요
참가자 특이사항: 후반부 장시간 마커 공백(약 1,230~1,680초) — 수동 검토 필요</xltc:text>
  </xltc:threadedComment>
  <xltc:threadedComment ref="BB22" dT="2026-08-29T20:18:32.945" personId="{5B662E2E-135B-4BED-903F-30CFA12D6CAD}" id="{1F4E5F08-742C-452E-AC3C-3EA51E97B96F}">
    <xltc:text>검토 구분: 시간패턴 추천값으로 아직 확정되지 않음 / 전수 후보에는 있으나 RAW 8.5V에는 일치값이 없음 / 7번 자유 지속시간이 예상 범위를 벗어나거나 경계가 누락됨
참가자: S04_KTW
값 출처: 시간패턴 추천(미확정)
RAW 8.5V 일치: 없음
전수 후보 일치: 1762.7 s
M22 7 종료: 1762.7 s
가까운 후보: 1762.7
7번 자유: 534.2 s / 예상 5~70 s / 시간 확인 필요
참가자 특이사항: 후반부 장시간 마커 공백(약 1,230~1,680초) — 수동 검토 필요</xltc:text>
  </xltc:threadedComment>
  <xltc:threadedComment ref="K25" dT="2026-08-29T20:18:32.947" personId="{5B662E2E-135B-4BED-903F-30CFA12D6CAD}" id="{B81DF2E4-E4E6-4D5A-AE2C-DE3D1D6FF736}">
    <xltc:text>M05 3-1 시작의 대체 후보 612.3 s (현재 선택/추천 620.0 s)</xltc:text>
  </xltc:threadedComment>
  <xltc:threadedComment ref="L26" dT="2026-08-29T20:18:32.947" personId="{5B662E2E-135B-4BED-903F-30CFA12D6CAD}" id="{8817197B-E7A6-47B9-85CC-95674D7F2531}">
    <xltc:text>검토 구분: 전수 후보에는 있으나 RAW 8.5V에는 일치값이 없음
참가자: S05_LHS
값 출처: $2 최종 선택
RAW 8.5V 일치: 없음
전수 후보 일치: 619.6 s
M05 3-1 시작: 620.0 s
가까운 후보: 619.6, 612.3
3번 픽업-1: 36.0 s / 예상 5~90 s / 시간 적합
참가자 특이사항: 자동 후보를 RSP 돌출·레이더 움직임·실험 순서로 수동 보정</xltc:text>
  </xltc:threadedComment>
  <xltc:threadedComment ref="L25" dT="2026-08-29T20:18:32.947" personId="{5B662E2E-135B-4BED-903F-30CFA12D6CAD}" id="{F134A906-1F81-4FCD-87D4-EF5F6FF15520}">
    <xltc:text>M04 2 종료의 대체 후보 619.6 s (현재 선택/추천 612.0 s)</xltc:text>
  </xltc:threadedComment>
  <xltc:threadedComment ref="Q25" dT="2026-08-29T20:18:32.948" personId="{5B662E2E-135B-4BED-903F-30CFA12D6CAD}" id="{93DD96F7-A6CF-4657-A114-7A953626B303}">
    <xltc:text>M08 3-2 종료의 대체 후보 806.3 s (현재 선택/추천 820.0 s)</xltc:text>
  </xltc:threadedComment>
  <xltc:threadedComment ref="V25" dT="2026-08-29T20:18:32.949" personId="{5B662E2E-135B-4BED-903F-30CFA12D6CAD}" id="{5D2E219B-B33B-46C3-B799-EAA38E660E7D}">
    <xltc:text>M13 4-3 시작의 대체 후보 1007.7 s (현재 선택/추천 1022.0 s)</xltc:text>
  </xltc:threadedComment>
  <xltc:threadedComment ref="W25" dT="2026-08-29T20:18:32.949" personId="{5B662E2E-135B-4BED-903F-30CFA12D6CAD}" id="{87D785CC-73D8-46C0-8FDC-D6FE12FC2289}">
    <xltc:text>M12 4-2 종료의 대체 후보 1022.0 s (현재 선택/추천 1008.0 s)</xltc:text>
  </xltc:threadedComment>
  <xltc:threadedComment ref="X26" dT="2026-08-29T20:18:32.95" personId="{5B662E2E-135B-4BED-903F-30CFA12D6CAD}" id="{EF29343D-3CD1-446E-BC0C-10BFD4D64455}">
    <xltc:text>검토 구분: 같은 경계에 가까운 대체 후보가 둘 이상 있음
참가자: S05_LHS
값 출처: $2 최종 선택
RAW 8.5V 일치: 1070.0 s
전수 후보 일치: 1068.2 s
M14 4-3 종료: 1068.0 s
가까운 후보: 1068.2, 1072.4
4번 낙상-천천히: 46.0 s / 예상 25~90 s / 시간 적합
참가자 특이사항: 자동 후보를 RSP 돌출·레이더 움직임·실험 순서로 수동 보정</xltc:text>
  </xltc:threadedComment>
  <xltc:threadedComment ref="X25" dT="2026-08-29T20:18:32.95" personId="{5B662E2E-135B-4BED-903F-30CFA12D6CAD}" id="{DAE2DACB-91D3-4B9C-A30A-2F103EE78C2B}">
    <xltc:text>M15 4-4 시작의 대체 후보 1068.2 s (현재 선택/추천 1072.0 s)</xltc:text>
  </xltc:threadedComment>
  <xltc:threadedComment ref="Y26" dT="2026-08-29T20:18:32.95" personId="{5B662E2E-135B-4BED-903F-30CFA12D6CAD}" id="{1583C1F8-8CB1-48E4-80C9-D9C7DB8BD7E9}">
    <xltc:text>검토 구분: 같은 경계에 가까운 대체 후보가 둘 이상 있음
참가자: S05_LHS
값 출처: $2 최종 선택
RAW 8.5V 일치: 1074.2 s
전수 후보 일치: 1072.4 s
M15 4-4 시작: 1072.0 s
가까운 후보: 1072.4, 1068.2
4번 물건 집기: 17.0 s / 예상 5~40 s / 시간 적합
참가자 특이사항: 자동 후보를 RSP 돌출·레이더 움직임·실험 순서로 수동 보정</xltc:text>
  </xltc:threadedComment>
  <xltc:threadedComment ref="Y25" dT="2026-08-29T20:18:32.95" personId="{5B662E2E-135B-4BED-903F-30CFA12D6CAD}" id="{D8F20E45-79AE-4140-BE50-F9AD022BB776}">
    <xltc:text>M14 4-3 종료의 대체 후보 1072.4 s (현재 선택/추천 1068.0 s)</xltc:text>
  </xltc:threadedComment>
  <xltc:threadedComment ref="AA25" dT="2026-08-29T20:18:32.95" personId="{5B662E2E-135B-4BED-903F-30CFA12D6CAD}" id="{582FEDCF-1810-4521-9EDD-B5AE2980757C}">
    <xltc:text>M16 4-4 종료의 대체 후보 1101.3 s (현재 선택/추천 1089.0 s)</xltc:text>
  </xltc:threadedComment>
  <xltc:threadedComment ref="AF25" dT="2026-08-29T20:18:32.951" personId="{5B662E2E-135B-4BED-903F-30CFA12D6CAD}" id="{14E0E54A-3EC4-4256-9F40-87EBBF7F94EE}">
    <xltc:text>M22 7 종료의 대체 후보 1497.8 s (현재 선택/추천 1509.0 s)</xltc:text>
  </xltc:threadedComment>
  <xltc:threadedComment ref="AG25" dT="2026-08-29T20:18:32.951" personId="{5B662E2E-135B-4BED-903F-30CFA12D6CAD}" id="{1DD0472D-1D7D-4C49-9C39-DB66B2094055}">
    <xltc:text>M21 7 시작의 대체 후보 1509.3 s (현재 선택/추천 1498.0 s)</xltc:text>
  </xltc:threadedComment>
  <xltc:threadedComment ref="L29" dT="2026-08-29T20:18:32.953" personId="{5B662E2E-135B-4BED-903F-30CFA12D6CAD}" id="{93C6192A-E12F-44D3-BE5A-F8A8A22FD448}">
    <xltc:text>M04 2 종료의 대체 후보 644.6 s (현재 선택/추천 638.0 s)</xltc:text>
  </xltc:threadedComment>
  <xltc:threadedComment ref="M29" dT="2026-08-29T20:18:32.953" personId="{5B662E2E-135B-4BED-903F-30CFA12D6CAD}" id="{725F06AF-C532-41B5-B095-9C428521CB28}">
    <xltc:text>M06 3-1 종료의 대체 후보 748.3 s (현재 선택/추천 763.3 s)</xltc:text>
  </xltc:threadedComment>
  <xltc:threadedComment ref="N29" dT="2026-08-29T20:18:32.954" personId="{5B662E2E-135B-4BED-903F-30CFA12D6CAD}" id="{D4A4C6FD-B742-48EA-A017-F5901C5EADD8}">
    <xltc:text>M05 3-1 시작의 대체 후보 763.3 s (현재 선택/추천 748.4 s)
M07 3-2 시작의 대체 후보 763.3 s (현재 선택/추천 778.2 s)</xltc:text>
  </xltc:threadedComment>
  <xltc:threadedComment ref="O29" dT="2026-08-29T20:18:32.954" personId="{5B662E2E-135B-4BED-903F-30CFA12D6CAD}" id="{5C860685-402D-4369-A0F3-15EA536C81CC}">
    <xltc:text>M06 3-1 종료의 대체 후보 778.1 s (현재 선택/추천 763.3 s)
M08 3-2 종료의 대체 후보 778.1 s (현재 선택/추천 792.3 s)</xltc:text>
  </xltc:threadedComment>
  <xltc:threadedComment ref="P29" dT="2026-08-29T20:18:32.954" personId="{5B662E2E-135B-4BED-903F-30CFA12D6CAD}" id="{362B6CA4-6735-4975-9B77-46770B24E8C7}">
    <xltc:text>M07 3-2 시작의 대체 후보 792.3 s (현재 선택/추천 778.2 s)</xltc:text>
  </xltc:threadedComment>
  <xltc:threadedComment ref="R30" dT="2026-08-29T20:18:32.954" personId="{5B662E2E-135B-4BED-903F-30CFA12D6CAD}" id="{7EB098FC-4661-4F99-884C-1C6A13727746}">
    <xltc:text>검토 구분: 선택값이 RAW 8.5V 및 전수 후보와 ±2초 이내에서 일치하지 않음
참가자: S06_LDW
값 출처: $2 최종 선택
RAW 8.5V 일치: 없음
전수 후보 일치: 없음
M09 4-1 시작: 919.0 s
가까운 후보: 916.7, 933.9
4번 낙상-즉시: 15.5 s / 예상 5~30 s / 시간 적합
참가자 특이사항: 자동 후보를 RSP 돌출·레이더 움직임·실험 순서로 수동 보정</xltc:text>
  </xltc:threadedComment>
  <xltc:threadedComment ref="S29" dT="2026-08-29T20:18:32.954" personId="{5B662E2E-135B-4BED-903F-30CFA12D6CAD}" id="{14B3E653-1255-45B8-A74E-6212CB820E59}">
    <xltc:text>M09 4-1 시작의 대체 후보 933.9 s (현재 선택/추천 919.0 s)
M11 4-2 시작의 대체 후보 933.9 s (현재 선택/추천 947.0 s)</xltc:text>
  </xltc:threadedComment>
  <xltc:threadedComment ref="T30" dT="2026-08-29T20:18:32.955" personId="{5B662E2E-135B-4BED-903F-30CFA12D6CAD}" id="{ED79C022-D444-4B41-8F9B-2640C36B4C86}">
    <xltc:text>검토 구분: 선택값이 RAW 8.5V 및 전수 후보와 ±2초 이내에서 일치하지 않음
참가자: S06_LDW
값 출처: $2 최종 선택
RAW 8.5V 일치: 없음
전수 후보 일치: 없음
M11 4-2 시작: 947.0 s
가까운 후보: 957.0, 933.9
4번 낙상-30초 유지: 47.0 s / 예상 25~75 s / 시간 적합
참가자 특이사항: 자동 후보를 RSP 돌출·레이더 움직임·실험 순서로 수동 보정</xltc:text>
  </xltc:threadedComment>
  <xltc:threadedComment ref="W29" dT="2026-08-29T20:18:32.955" personId="{5B662E2E-135B-4BED-903F-30CFA12D6CAD}" id="{E7C7EC8B-8363-409B-9D84-5B1B029F9DED}">
    <xltc:text>M12 4-2 종료의 대체 후보 1005.4 s (현재 선택/추천 994.0 s)</xltc:text>
  </xltc:threadedComment>
  <xltc:threadedComment ref="X30" dT="2026-08-29T20:18:32.955" personId="{5B662E2E-135B-4BED-903F-30CFA12D6CAD}" id="{611129C8-A672-4984-B34C-5A7B680CA874}">
    <xltc:text>검토 구분: 선택값이 RAW 8.5V 및 전수 후보와 ±2초 이내에서 일치하지 않음
참가자: S06_LDW
값 출처: $2 최종 선택
RAW 8.5V 일치: 없음
전수 후보 일치: 없음
M13 4-3 시작: 1009.8 s
가까운 후보: 1005.4
4번 낙상-천천히: 49.4 s / 예상 25~90 s / 시간 적합
참가자 특이사항: 자동 후보를 RSP 돌출·레이더 움직임·실험 순서로 수동 보정</xltc:text>
  </xltc:threadedComment>
  <xltc:threadedComment ref="Y30" dT="2026-08-29T20:18:32.955" personId="{5B662E2E-135B-4BED-903F-30CFA12D6CAD}" id="{91785500-F5D2-4916-AB11-002E469A0406}">
    <xltc:text>검토 구분: 선택값이 RAW 8.5V 및 전수 후보와 ±2초 이내에서 일치하지 않음
참가자: S06_LDW
값 출처: $2 최종 선택
RAW 8.5V 일치: 없음
전수 후보 일치: 없음
M14 4-3 종료: 1059.2 s
가까운 후보: 1071.6
4번 낙상-천천히: 49.4 s / 예상 25~90 s / 시간 적합
참가자 특이사항: 자동 후보를 RSP 돌출·레이더 움직임·실험 순서로 수동 보정</xltc:text>
  </xltc:threadedComment>
  <xltc:threadedComment ref="Z29" dT="2026-08-29T20:18:32.955" personId="{5B662E2E-135B-4BED-903F-30CFA12D6CAD}" id="{BB6988DA-B79C-4A7E-90CD-FA93698C93AD}">
    <xltc:text>M16 4-4 종료의 대체 후보 1071.6 s (현재 선택/추천 1086.0 s)</xltc:text>
  </xltc:threadedComment>
  <xltc:threadedComment ref="AA30" dT="2026-08-29T20:18:32.955" personId="{5B662E2E-135B-4BED-903F-30CFA12D6CAD}" id="{96A15A02-515D-4662-8C21-44901B2EEF29}">
    <xltc:text>검토 구분: 선택값이 RAW 8.5V 및 전수 후보와 ±2초 이내에서 일치하지 않음
참가자: S06_LDW
값 출처: $2 최종 선택
RAW 8.5V 일치: 없음
전수 후보 일치: 없음
M15 4-4 시작: 1075.4 s
가까운 후보: 1071.6, 1087.0
4번 물건 집기: 10.6 s / 예상 5~40 s / 시간 적합
참가자 특이사항: 자동 후보를 RSP 돌출·레이더 움직임·실험 순서로 수동 보정</xltc:text>
  </xltc:threadedComment>
  <xltc:threadedComment ref="AB29" dT="2026-08-29T20:18:32.955" personId="{5B662E2E-135B-4BED-903F-30CFA12D6CAD}" id="{0B492B2D-11B5-4030-8421-B8A5B7409B1B}">
    <xltc:text>M15 4-4 시작의 대체 후보 1087.0 s (현재 선택/추천 1075.4 s)</xltc:text>
  </xltc:threadedComment>
  <xltc:threadedComment ref="AD30" dT="2026-08-29T20:18:32.956" personId="{5B662E2E-135B-4BED-903F-30CFA12D6CAD}" id="{6E70D0AE-0D6B-4FA1-9A59-A06081EAC9A8}">
    <xltc:text>검토 구분: 선택값이 RAW 8.5V 및 전수 후보와 ±2초 이내에서 일치하지 않음
참가자: S06_LDW
값 출처: $2 최종 선택
RAW 8.5V 일치: 없음
전수 후보 일치: 없음
M17 5 시작: 1160.7 s
가까운 후보: 1157.9
5번 코스: 185.8 s / 예상 130~230 s / 시간 적합
참가자 특이사항: 자동 후보를 RSP 돌출·레이더 움직임·실험 순서로 수동 보정</xltc:text>
  </xltc:threadedComment>
  <xltc:threadedComment ref="AE30" dT="2026-08-29T20:18:32.956" personId="{5B662E2E-135B-4BED-903F-30CFA12D6CAD}" id="{97B9C9D9-E5D8-4B72-8055-F0ED03FA92A2}">
    <xltc:text>검토 구분: 같은 경계에 가까운 대체 후보가 둘 이상 있음
참가자: S06_LDW
값 출처: $2 최종 선택
RAW 8.5V 일치: 1345.3 s
전수 후보 일치: 1345.3 s
M18 5 종료: 1346.5 s
가까운 후보: 1345.3, 1351.1
5번 코스: 185.8 s / 예상 130~230 s / 시간 적합
참가자 특이사항: 자동 후보를 RSP 돌출·레이더 움직임·실험 순서로 수동 보정</xltc:text>
  </xltc:threadedComment>
  <xltc:threadedComment ref="AF29" dT="2026-08-29T20:18:32.956" personId="{5B662E2E-135B-4BED-903F-30CFA12D6CAD}" id="{67F7E210-91E2-467B-ABC9-07E6F4696779}">
    <xltc:text>M18 5 종료의 대체 후보 1351.1 s (현재 선택/추천 1346.5 s)</xltc:text>
  </xltc:threadedComment>
  <xltc:threadedComment ref="AH29" dT="2026-08-29T20:18:32.956" personId="{5B662E2E-135B-4BED-903F-30CFA12D6CAD}" id="{4501ECE6-9EEF-41F3-8AAE-6FED73239361}">
    <xltc:text>M20 6 종료의 대체 후보 1421.3 s (현재 선택/추천 1424.2 s)</xltc:text>
  </xltc:threadedComment>
  <xltc:threadedComment ref="AI30" dT="2026-08-29T20:18:32.956" personId="{5B662E2E-135B-4BED-903F-30CFA12D6CAD}" id="{0373AA18-2270-4E62-B575-5A1BD89473B6}">
    <xltc:text>검토 구분: 같은 경계에 가까운 대체 후보가 둘 이상 있음
참가자: S06_LDW
값 출처: $2 최종 선택
RAW 8.5V 일치: 1425.7 s
전수 후보 일치: 1425.7 s
M20 6 종료: 1424.2 s
가까운 후보: 1425.7, 1421.3
6번 왕복: 29.6 s / 예상 5~70 s / 시간 적합
참가자 특이사항: 자동 후보를 RSP 돌출·레이더 움직임·실험 순서로 수동 보정</xltc:text>
  </xltc:threadedComment>
  <xltc:threadedComment ref="AJ29" dT="2026-08-29T20:18:32.957" personId="{5B662E2E-135B-4BED-903F-30CFA12D6CAD}" id="{916E67E3-3588-4563-9025-D058846E73BD}">
    <xltc:text>M22 7 종료의 대체 후보 1458.4 s (현재 선택/추천 1471.3 s)</xltc:text>
  </xltc:threadedComment>
  <xltc:threadedComment ref="AK29" dT="2026-08-29T20:18:32.957" personId="{5B662E2E-135B-4BED-903F-30CFA12D6CAD}" id="{4F5729FA-A749-45B7-ABD6-DF86D558D996}">
    <xltc:text>M21 7 시작의 대체 후보 1471.2 s (현재 선택/추천 1458.5 s)</xltc:text>
  </xltc:threadedComment>
  <xltc:threadedComment ref="H34" dT="2026-08-29T20:18:32.958" personId="{5B662E2E-135B-4BED-903F-30CFA12D6CAD}" id="{3B1E3E44-F113-4559-B6A4-06B91738A607}">
    <xltc:text>검토 구분: 전수 후보에는 있으나 RAW 8.5V에는 일치값이 없음
참가자: S07_KDM
값 출처: $2 최종 선택
RAW 8.5V 일치: 없음
전수 후보 일치: 16.6 s
M01 1 시작: 16.6 s
가까운 후보: 16.6, 22.6
1번 호흡: 197.8 s / 예상 150~240 s / 시간 적합
참가자 특이사항: 참가자별 임계값 7.5, 후보 24개 중 22개 검증</xltc:text>
  </xltc:threadedComment>
  <xltc:threadedComment ref="I33" dT="2026-08-29T20:18:32.958" personId="{5B662E2E-135B-4BED-903F-30CFA12D6CAD}" id="{0C2556F8-B5B3-4B2B-82B5-1D5B8318A538}">
    <xltc:text>M01 1 시작의 대체 후보 22.6 s (현재 선택/추천 16.6 s)</xltc:text>
  </xltc:threadedComment>
  <xltc:threadedComment ref="J34" dT="2026-08-29T20:18:32.959" personId="{5B662E2E-135B-4BED-903F-30CFA12D6CAD}" id="{CE3A5122-F2A6-4A76-A522-8616715D81E5}">
    <xltc:text>검토 구분: 전수 후보에는 있으나 RAW 8.5V에는 일치값이 없음
참가자: S07_KDM
값 출처: $2 최종 선택
RAW 8.5V 일치: 없음
전수 후보 일치: 214.3 s
M02 1 종료: 214.3 s
가까운 후보: 214.3
1번 호흡: 197.8 s / 예상 150~240 s / 시간 적합
참가자 특이사항: 참가자별 임계값 7.5, 후보 24개 중 22개 검증</xltc:text>
  </xltc:threadedComment>
  <xltc:threadedComment ref="K34" dT="2026-08-29T20:18:32.959" personId="{5B662E2E-135B-4BED-903F-30CFA12D6CAD}" id="{93F8F8EF-9685-4A8B-AD03-0DFA9A8E916C}">
    <xltc:text>검토 구분: 전수 후보에는 있으나 RAW 8.5V에는 일치값이 없음
참가자: S07_KDM
값 출처: $2 최종 선택
RAW 8.5V 일치: 없음
전수 후보 일치: 275.6 s
M03 2 시작: 275.6 s
가까운 후보: 275.6
2번 호흡: 371.2 s / 예상 240~450 s / 시간 적합
참가자 특이사항: 참가자별 임계값 7.5, 후보 24개 중 22개 검증</xltc:text>
  </xltc:threadedComment>
  <xltc:threadedComment ref="L34" dT="2026-08-29T20:18:32.96" personId="{5B662E2E-135B-4BED-903F-30CFA12D6CAD}" id="{7746711C-9567-4D64-87B1-DEF3F8AD9667}">
    <xltc:text>검토 구분: 전수 후보에는 있으나 RAW 8.5V에는 일치값이 없음
참가자: S07_KDM
값 출처: $2 최종 선택
RAW 8.5V 일치: 없음
전수 후보 일치: 646.8 s
M04 2 종료: 646.8 s
가까운 후보: 646.8
2번 호흡: 371.2 s / 예상 240~450 s / 시간 적합
참가자 특이사항: 참가자별 임계값 7.5, 후보 24개 중 22개 검증</xltc:text>
  </xltc:threadedComment>
  <xltc:threadedComment ref="O34" dT="2026-08-29T20:18:32.961" personId="{5B662E2E-135B-4BED-903F-30CFA12D6CAD}" id="{FDB82B4D-C389-422B-8CF0-9354F0043F8F}">
    <xltc:text>검토 구분: 전수 후보에는 있으나 RAW 8.5V에는 일치값이 없음
참가자: S07_KDM
값 출처: $2 최종 선택
RAW 8.5V 일치: 없음
전수 후보 일치: 784.7 s
M06 3-1 종료: 784.7 s
가까운 후보: 784.7, 799.3
3번 픽업-1: 18.6 s / 예상 5~90 s / 시간 적합
참가자 특이사항: 참가자별 임계값 7.5, 후보 24개 중 22개 검증</xltc:text>
  </xltc:threadedComment>
  <xltc:threadedComment ref="O33" dT="2026-08-29T20:18:32.961" personId="{5B662E2E-135B-4BED-903F-30CFA12D6CAD}" id="{6843F119-7F65-4ABF-9A0D-F4C1CC5D6EFC}">
    <xltc:text>M07 3-2 시작의 대체 후보 784.7 s (현재 선택/추천 799.3 s)</xltc:text>
  </xltc:threadedComment>
  <xltc:threadedComment ref="Q34" dT="2026-08-29T20:18:32.961" personId="{5B662E2E-135B-4BED-903F-30CFA12D6CAD}" id="{24EC96C4-CFDC-4866-B036-94561AB4C334}">
    <xltc:text>검토 구분: 전수 후보에는 있으나 RAW 8.5V에는 일치값이 없음
참가자: S07_KDM
값 출처: $2 최종 선택
RAW 8.5V 일치: 없음
전수 후보 일치: 799.3 s
M07 3-2 시작: 799.3 s
가까운 후보: 799.3, 784.7
3번 픽업-2: 16.3 s / 예상 5~90 s / 시간 적합
참가자 특이사항: 참가자별 임계값 7.5, 후보 24개 중 22개 검증</xltc:text>
  </xltc:threadedComment>
  <xltc:threadedComment ref="Q33" dT="2026-08-29T20:18:32.961" personId="{5B662E2E-135B-4BED-903F-30CFA12D6CAD}" id="{A829E5E2-63B2-422C-B892-4CB912FD4FBF}">
    <xltc:text>M06 3-1 종료의 대체 후보 799.3 s (현재 선택/추천 784.7 s)</xltc:text>
  </xltc:threadedComment>
  <xltc:threadedComment ref="R34" dT="2026-08-29T20:18:32.962" personId="{5B662E2E-135B-4BED-903F-30CFA12D6CAD}" id="{51147145-DC93-45AC-B334-ADA9722F345C}">
    <xltc:text>검토 구분: 전수 후보에는 있으나 RAW 8.5V에는 일치값이 없음
참가자: S07_KDM
값 출처: $2 최종 선택
RAW 8.5V 일치: 없음
전수 후보 일치: 815.6 s
M08 3-2 종료: 815.6 s
가까운 후보: 815.6
3번 픽업-2: 16.3 s / 예상 5~90 s / 시간 적합
참가자 특이사항: 참가자별 임계값 7.5, 후보 24개 중 22개 검증</xltc:text>
  </xltc:threadedComment>
  <xltc:threadedComment ref="T34" dT="2026-08-29T20:18:32.962" personId="{5B662E2E-135B-4BED-903F-30CFA12D6CAD}" id="{BE40B45D-0250-41E4-9C1D-C7A9FA5B847E}">
    <xltc:text>검토 구분: 전수 후보에는 있으나 RAW 8.5V에는 일치값이 없음
참가자: S07_KDM
값 출처: $2 최종 선택
RAW 8.5V 일치: 없음
전수 후보 일치: 906.0 s
M09 4-1 시작: 906.0 s
가까운 후보: 906.0
4번 낙상-즉시: 16.1 s / 예상 5~30 s / 시간 적합
참가자 특이사항: 참가자별 임계값 7.5, 후보 24개 중 22개 검증</xltc:text>
  </xltc:threadedComment>
  <xltc:threadedComment ref="V34" dT="2026-08-29T20:18:32.962" personId="{5B662E2E-135B-4BED-903F-30CFA12D6CAD}" id="{DF524A52-E616-424E-A101-0B4349C75082}">
    <xltc:text>검토 구분: 전수 후보에는 있으나 RAW 8.5V에는 일치값이 없음
참가자: S07_KDM
값 출처: $2 최종 선택
RAW 8.5V 일치: 없음
전수 후보 일치: 922.1 s
M10 4-1 종료: 922.1 s
가까운 후보: 922.1, 933.8
4번 낙상-즉시: 16.1 s / 예상 5~30 s / 시간 적합
참가자 특이사항: 참가자별 임계값 7.5, 후보 24개 중 22개 검증</xltc:text>
  </xltc:threadedComment>
  <xltc:threadedComment ref="V33" dT="2026-08-29T20:18:32.962" personId="{5B662E2E-135B-4BED-903F-30CFA12D6CAD}" id="{79FD7273-13F5-444B-BF24-91C1A82F981D}">
    <xltc:text>M11 4-2 시작의 대체 후보 922.1 s (현재 선택/추천 933.8 s)</xltc:text>
  </xltc:threadedComment>
  <xltc:threadedComment ref="X34" dT="2026-08-29T20:18:32.962" personId="{5B662E2E-135B-4BED-903F-30CFA12D6CAD}" id="{77233BD1-5C6B-4368-AAD9-9D6E8D349B44}">
    <xltc:text>검토 구분: 전수 후보에는 있으나 RAW 8.5V에는 일치값이 없음
참가자: S07_KDM
값 출처: $2 최종 선택
RAW 8.5V 일치: 없음
전수 후보 일치: 933.8 s
M11 4-2 시작: 933.8 s
가까운 후보: 933.8, 922.1
4번 낙상-30초 유지: 45.6 s / 예상 25~75 s / 시간 적합
참가자 특이사항: 참가자별 임계값 7.5, 후보 24개 중 22개 검증</xltc:text>
  </xltc:threadedComment>
  <xltc:threadedComment ref="X33" dT="2026-08-29T20:18:32.962" personId="{5B662E2E-135B-4BED-903F-30CFA12D6CAD}" id="{1BDC4006-F276-4DB4-80C8-C5AA326FE2D2}">
    <xltc:text>M10 4-1 종료의 대체 후보 933.8 s (현재 선택/추천 922.1 s)</xltc:text>
  </xltc:threadedComment>
  <xltc:threadedComment ref="Z33" dT="2026-08-29T20:18:32.963" personId="{5B662E2E-135B-4BED-903F-30CFA12D6CAD}" id="{66F935E4-C9B7-435B-B239-63AA46A05F10}">
    <xltc:text>M12 4-2 종료의 대체 후보 973.3 s (현재 선택/추천 979.5 s)
M13 4-3 시작의 대체 후보 973.3 s (현재 선택/추천 988.3 s)</xltc:text>
  </xltc:threadedComment>
  <xltc:threadedComment ref="AA34" dT="2026-08-29T20:18:32.963" personId="{5B662E2E-135B-4BED-903F-30CFA12D6CAD}" id="{4BDDC601-DB4D-4CC4-909F-13D75E429DD9}">
    <xltc:text>검토 구분: 전수 후보에는 있으나 RAW 8.5V에는 일치값이 없음
참가자: S07_KDM
값 출처: $2 최종 선택
RAW 8.5V 일치: 없음
전수 후보 일치: 979.5 s
M12 4-2 종료: 979.5 s
가까운 후보: 979.5, 973.3, 988.3
4번 낙상-30초 유지: 45.6 s / 예상 25~75 s / 시간 적합
참가자 특이사항: 참가자별 임계값 7.5, 후보 24개 중 22개 검증</xltc:text>
  </xltc:threadedComment>
  <xltc:threadedComment ref="AA33" dT="2026-08-29T20:18:32.963" personId="{5B662E2E-135B-4BED-903F-30CFA12D6CAD}" id="{77F9A31C-DC58-4BB5-9677-1B4276D36A60}">
    <xltc:text>M13 4-3 시작의 대체 후보 979.5 s (현재 선택/추천 988.3 s)</xltc:text>
  </xltc:threadedComment>
  <xltc:threadedComment ref="AB33" dT="2026-08-29T20:18:32.963" personId="{5B662E2E-135B-4BED-903F-30CFA12D6CAD}" id="{2BFB05DE-33EF-4D1F-9C8B-121DD41DCCCA}">
    <xltc:text>M12 4-2 종료의 대체 후보 988.3 s (현재 선택/추천 979.5 s)</xltc:text>
  </xltc:threadedComment>
  <xltc:threadedComment ref="AD34" dT="2026-08-29T20:18:32.963" personId="{5B662E2E-135B-4BED-903F-30CFA12D6CAD}" id="{DA72A30D-3CE1-445D-A4C5-F1D75D932F3E}">
    <xltc:text>검토 구분: 전수 후보에는 있으나 RAW 8.5V에는 일치값이 없음
참가자: S07_KDM
값 출처: $2 최종 선택
RAW 8.5V 일치: 없음
전수 후보 일치: 1035.1 s
M14 4-3 종료: 1035.1 s
가까운 후보: 1035.1, 1046.7
4번 낙상-천천히: 46.8 s / 예상 25~90 s / 시간 적합
참가자 특이사항: 참가자별 임계값 7.5, 후보 24개 중 22개 검증</xltc:text>
  </xltc:threadedComment>
  <xltc:threadedComment ref="AD33" dT="2026-08-29T20:18:32.963" personId="{5B662E2E-135B-4BED-903F-30CFA12D6CAD}" id="{A4322603-EE72-44FE-9709-D892160F96E3}">
    <xltc:text>M15 4-4 시작의 대체 후보 1035.1 s (현재 선택/추천 1046.7 s)</xltc:text>
  </xltc:threadedComment>
  <xltc:threadedComment ref="AE33" dT="2026-08-29T20:18:32.963" personId="{5B662E2E-135B-4BED-903F-30CFA12D6CAD}" id="{A8BF3B51-6AE8-4F47-891B-163291FF247D}">
    <xltc:text>M14 4-3 종료의 대체 후보 1046.7 s (현재 선택/추천 1035.1 s)
M16 4-4 종료의 대체 후보 1046.7 s (현재 선택/추천 1057.0 s)</xltc:text>
  </xltc:threadedComment>
  <xltc:threadedComment ref="AG34" dT="2026-08-29T20:18:32.964" personId="{5B662E2E-135B-4BED-903F-30CFA12D6CAD}" id="{D91CC8FF-9A0E-4272-93D3-6BD8CE2CE663}">
    <xltc:text>검토 구분: 전수 후보에는 있으나 RAW 8.5V에는 일치값이 없음
참가자: S07_KDM
값 출처: $2 최종 선택
RAW 8.5V 일치: 없음
전수 후보 일치: 1057.0 s
M16 4-4 종료: 1057.0 s
가까운 후보: 1057.0, 1046.7
4번 물건 집기: 10.3 s / 예상 5~40 s / 시간 적합
참가자 특이사항: 참가자별 임계값 7.5, 후보 24개 중 22개 검증</xltc:text>
  </xltc:threadedComment>
  <xltc:threadedComment ref="AG33" dT="2026-08-29T20:18:32.964" personId="{5B662E2E-135B-4BED-903F-30CFA12D6CAD}" id="{2E7757B3-2880-4DCD-92E8-7EC0FD7A6028}">
    <xltc:text>M15 4-4 시작의 대체 후보 1057.0 s (현재 선택/추천 1046.7 s)</xltc:text>
  </xltc:threadedComment>
  <xltc:threadedComment ref="AI34" dT="2026-08-29T20:18:32.964" personId="{5B662E2E-135B-4BED-903F-30CFA12D6CAD}" id="{1F184D7A-B7A9-4691-8985-B8450FA02A18}">
    <xltc:text>검토 구분: 전수 후보에는 있으나 RAW 8.5V에는 일치값이 없음
참가자: S07_KDM
값 출처: $2 최종 선택
RAW 8.5V 일치: 없음
전수 후보 일치: 1133.8 s
M17 5 시작: 1133.8 s
가까운 후보: 1133.8
5번 코스: 186.5 s / 예상 130~230 s / 시간 적합
참가자 특이사항: 참가자별 임계값 7.5, 후보 24개 중 22개 검증</xltc:text>
  </xltc:threadedComment>
  <xltc:threadedComment ref="AK34" dT="2026-08-29T20:18:32.964" personId="{5B662E2E-135B-4BED-903F-30CFA12D6CAD}" id="{ED72EF43-FD0A-4468-90E2-5FE0F11A2268}">
    <xltc:text>검토 구분: 전수 후보에는 있으나 RAW 8.5V에는 일치값이 없음
참가자: S07_KDM
값 출처: $2 최종 선택
RAW 8.5V 일치: 없음
전수 후보 일치: 1320.3 s
M18 5 종료: 1320.3 s
가까운 후보: 1320.3
5번 코스: 186.5 s / 예상 130~230 s / 시간 적합
참가자 특이사항: 참가자별 임계값 7.5, 후보 24개 중 22개 검증</xltc:text>
  </xltc:threadedComment>
  <xltc:threadedComment ref="AM34" dT="2026-08-29T20:18:32.964" personId="{5B662E2E-135B-4BED-903F-30CFA12D6CAD}" id="{11C2F8D4-CADB-42D5-8FF0-0BF4059B70B2}">
    <xltc:text>검토 구분: 전수 후보에는 있으나 RAW 8.5V에는 일치값이 없음
참가자: S07_KDM
값 출처: $2 최종 선택
RAW 8.5V 일치: 없음
전수 후보 일치: 1377.1 s
M19 6 시작: 1377.1 s
가까운 후보: 1377.1
6번 왕복: 23.6 s / 예상 5~70 s / 시간 적합
참가자 특이사항: 참가자별 임계값 7.5, 후보 24개 중 22개 검증</xltc:text>
  </xltc:threadedComment>
  <xltc:threadedComment ref="AO34" dT="2026-08-29T20:18:32.964" personId="{5B662E2E-135B-4BED-903F-30CFA12D6CAD}" id="{8156B178-02D3-476F-90C0-92C88A01418A}">
    <xltc:text>검토 구분: 전수 후보에는 있으나 RAW 8.5V에는 일치값이 없음
참가자: S07_KDM
값 출처: $2 최종 선택
RAW 8.5V 일치: 없음
전수 후보 일치: 1400.7 s
M20 6 종료: 1400.7 s
가까운 후보: 1400.7
6번 왕복: 23.6 s / 예상 5~70 s / 시간 적합
참가자 특이사항: 참가자별 임계값 7.5, 후보 24개 중 22개 검증</xltc:text>
  </xltc:threadedComment>
  <xltc:threadedComment ref="AQ34" dT="2026-08-29T20:18:32.965" personId="{5B662E2E-135B-4BED-903F-30CFA12D6CAD}" id="{B4A7B206-0C0D-4020-80CC-D71407FFC809}">
    <xltc:text>검토 구분: 전수 후보에는 있으나 RAW 8.5V에는 일치값이 없음
참가자: S07_KDM
값 출처: $2 최종 선택
RAW 8.5V 일치: 없음
전수 후보 일치: 1426.9 s
M21 7 시작: 1426.9 s
가까운 후보: 1426.9, 1439.6
7번 자유: 12.7 s / 예상 5~70 s / 시간 적합
참가자 특이사항: 참가자별 임계값 7.5, 후보 24개 중 22개 검증</xltc:text>
  </xltc:threadedComment>
  <xltc:threadedComment ref="AQ33" dT="2026-08-29T20:18:32.965" personId="{5B662E2E-135B-4BED-903F-30CFA12D6CAD}" id="{0CC6B322-3F06-492A-AA93-5FD4CE43DA9F}">
    <xltc:text>M22 7 종료의 대체 후보 1426.9 s (현재 선택/추천 1439.6 s)</xltc:text>
  </xltc:threadedComment>
  <xltc:threadedComment ref="AS34" dT="2026-08-29T20:18:32.965" personId="{5B662E2E-135B-4BED-903F-30CFA12D6CAD}" id="{E69CE133-0605-4535-A94B-A2EE07CBD892}">
    <xltc:text>검토 구분: 전수 후보에는 있으나 RAW 8.5V에는 일치값이 없음
참가자: S07_KDM
값 출처: $2 최종 선택
RAW 8.5V 일치: 없음
전수 후보 일치: 1439.6 s
M22 7 종료: 1439.6 s
가까운 후보: 1439.6, 1426.9
7번 자유: 12.7 s / 예상 5~70 s / 시간 적합
참가자 특이사항: 참가자별 임계값 7.5, 후보 24개 중 22개 검증</xltc:text>
  </xltc:threadedComment>
  <xltc:threadedComment ref="AS33" dT="2026-08-29T20:18:32.965" personId="{5B662E2E-135B-4BED-903F-30CFA12D6CAD}" id="{9DE366AA-F083-4566-ABF0-588102E03915}">
    <xltc:text>M21 7 시작의 대체 후보 1439.6 s (현재 선택/추천 1426.9 s)</xltc:text>
  </xltc:threadedComment>
  <xltc:threadedComment ref="J38" dT="2026-08-29T20:18:32.967" personId="{5B662E2E-135B-4BED-903F-30CFA12D6CAD}" id="{F409EA54-A8DC-4A4B-A955-E9AB272B3B2F}">
    <xltc:text>검토 구분: 전수 후보에는 있으나 RAW 8.5V에는 일치값이 없음
참가자: S08_MDO
값 출처: $2 최종 선택
RAW 8.5V 일치: 없음
전수 후보 일치: 260.4 s
M03 2 시작: 260.4 s
가까운 후보: 260.4
2번 호흡: 385.5 s / 예상 240~450 s / 시간 적합
참가자 특이사항: 참가자별 임계값 7.0, 후보 24개 중 22개 검증</xltc:text>
  </xltc:threadedComment>
  <xltc:threadedComment ref="K37" dT="2026-08-29T20:18:32.967" personId="{5B662E2E-135B-4BED-903F-30CFA12D6CAD}" id="{2C5B1FCB-A71F-42A7-958B-F985AB6E0A8C}">
    <xltc:text>M04 2 종료의 대체 후보 636.3 s (현재 선택/추천 645.9 s)</xltc:text>
  </xltc:threadedComment>
  <xltc:threadedComment ref="L38" dT="2026-08-29T20:18:32.967" personId="{5B662E2E-135B-4BED-903F-30CFA12D6CAD}" id="{D3DE11B6-5EB5-4A8D-AC1D-1ED2F65C6D1F}">
    <xltc:text>검토 구분: 전수 후보에는 있으나 RAW 8.5V에는 일치값이 없음
참가자: S08_MDO
값 출처: $2 최종 선택
RAW 8.5V 일치: 없음
전수 후보 일치: 645.9 s
M04 2 종료: 645.9 s
가까운 후보: 645.9, 636.3
2번 호흡: 385.5 s / 예상 240~450 s / 시간 적합
참가자 특이사항: 참가자별 임계값 7.0, 후보 24개 중 22개 검증</xltc:text>
  </xltc:threadedComment>
  <xltc:threadedComment ref="M37" dT="2026-08-29T20:18:32.967" personId="{5B662E2E-135B-4BED-903F-30CFA12D6CAD}" id="{DC2D8885-705B-4646-BAE6-2BB3BD794446}">
    <xltc:text>M06 3-1 종료의 대체 후보 698.5 s (현재 선택/추천 707.7 s)</xltc:text>
  </xltc:threadedComment>
  <xltc:threadedComment ref="N37" dT="2026-08-29T20:18:32.968" personId="{5B662E2E-135B-4BED-903F-30CFA12D6CAD}" id="{9DE19962-D255-4C15-9301-B33E83AAF455}">
    <xltc:text>M05 3-1 시작의 대체 후보 707.7 s (현재 선택/추천 698.5 s)
M07 3-2 시작의 대체 후보 707.7 s (현재 선택/추천 721.9 s)</xltc:text>
  </xltc:threadedComment>
  <xltc:threadedComment ref="O38" dT="2026-08-29T20:18:32.969" personId="{5B662E2E-135B-4BED-903F-30CFA12D6CAD}" id="{77AC19F4-CB11-4081-9FF8-BE360D092EB8}">
    <xltc:text>검토 구분: 전수 후보에는 있으나 RAW 8.5V에는 일치값이 없음
참가자: S08_MDO
값 출처: $2 최종 선택
RAW 8.5V 일치: 없음
전수 후보 일치: 721.9 s
M07 3-2 시작: 721.9 s
가까운 후보: 721.9, 732.5, 707.7
3번 픽업-2: 10.6 s / 예상 5~90 s / 시간 적합
참가자 특이사항: 참가자별 임계값 7.0, 후보 24개 중 22개 검증</xltc:text>
  </xltc:threadedComment>
  <xltc:threadedComment ref="O37" dT="2026-08-29T20:18:32.969" personId="{5B662E2E-135B-4BED-903F-30CFA12D6CAD}" id="{1699253A-5CA3-4AF4-BE75-C639D080C2CB}">
    <xltc:text>M06 3-1 종료의 대체 후보 721.9 s (현재 선택/추천 707.7 s)
M08 3-2 종료의 대체 후보 721.9 s (현재 선택/추천 732.5 s)</xltc:text>
  </xltc:threadedComment>
  <xltc:threadedComment ref="P37" dT="2026-08-29T20:18:32.969" personId="{5B662E2E-135B-4BED-903F-30CFA12D6CAD}" id="{9E234BAC-52DF-40B5-8495-D0A7C009AE95}">
    <xltc:text>M07 3-2 시작의 대체 후보 732.5 s (현재 선택/추천 721.9 s)</xltc:text>
  </xltc:threadedComment>
  <xltc:threadedComment ref="Q37" dT="2026-08-29T20:18:32.969" personId="{5B662E2E-135B-4BED-903F-30CFA12D6CAD}" id="{E5F436F9-47F9-43D7-A7D6-6D8080D0E006}">
    <xltc:text>M10 4-1 종료의 대체 후보 808.6 s (현재 선택/추천 822.0 s)</xltc:text>
  </xltc:threadedComment>
  <xltc:threadedComment ref="R37" dT="2026-08-29T20:18:32.969" personId="{5B662E2E-135B-4BED-903F-30CFA12D6CAD}" id="{AF7F7FB7-0EC9-4740-A505-A9ADFA8E583C}">
    <xltc:text>M09 4-1 시작의 대체 후보 822.0 s (현재 선택/추천 808.6 s)
M11 4-2 시작의 대체 후보 822.0 s (현재 선택/추천 831.7 s)</xltc:text>
  </xltc:threadedComment>
  <xltc:threadedComment ref="S37" dT="2026-08-29T20:18:32.969" personId="{5B662E2E-135B-4BED-903F-30CFA12D6CAD}" id="{F1F1FCB8-A701-4A84-84DC-2ABC4C71FFE0}">
    <xltc:text>M10 4-1 종료의 대체 후보 831.7 s (현재 선택/추천 822.0 s)</xltc:text>
  </xltc:threadedComment>
  <xltc:threadedComment ref="T37" dT="2026-08-29T20:18:32.97" personId="{5B662E2E-135B-4BED-903F-30CFA12D6CAD}" id="{9C704EF7-C3D5-4ECB-B4A4-BD4187454E86}">
    <xltc:text>M13 4-3 시작의 대체 후보 876.2 s (현재 선택/추천 885.8 s)</xltc:text>
  </xltc:threadedComment>
  <xltc:threadedComment ref="U38" dT="2026-08-29T20:18:32.97" personId="{5B662E2E-135B-4BED-903F-30CFA12D6CAD}" id="{10B14BED-FE6E-4253-BCB3-5BF8D6B0D77E}">
    <xltc:text>검토 구분: 전수 후보에는 있으나 RAW 8.5V에는 일치값이 없음
참가자: S08_MDO
값 출처: $2 최종 선택
RAW 8.5V 일치: 없음
전수 후보 일치: 885.8 s
M13 4-3 시작: 885.8 s
가까운 후보: 885.8, 876.2
4번 낙상-천천히: 47.7 s / 예상 25~90 s / 시간 적합
참가자 특이사항: 참가자별 임계값 7.0, 후보 24개 중 22개 검증</xltc:text>
  </xltc:threadedComment>
  <xltc:threadedComment ref="U37" dT="2026-08-29T20:18:32.97" personId="{5B662E2E-135B-4BED-903F-30CFA12D6CAD}" id="{F9AB989B-65AF-4337-B967-B8922C53B49D}">
    <xltc:text>M12 4-2 종료의 대체 후보 885.8 s (현재 선택/추천 876.2 s)</xltc:text>
  </xltc:threadedComment>
  <xltc:threadedComment ref="V37" dT="2026-08-29T20:18:32.97" personId="{5B662E2E-135B-4BED-903F-30CFA12D6CAD}" id="{431A3147-454A-4363-960B-F154D20A8FA0}">
    <xltc:text>M15 4-4 시작의 대체 후보 933.4 s (현재 선택/추천 948.3 s)</xltc:text>
  </xltc:threadedComment>
  <xltc:threadedComment ref="W37" dT="2026-08-29T20:18:32.97" personId="{5B662E2E-135B-4BED-903F-30CFA12D6CAD}" id="{A15FCCAA-8124-441B-BE2E-E1D02AA92A0C}">
    <xltc:text>M14 4-3 종료의 대체 후보 948.3 s (현재 선택/추천 933.4 s)</xltc:text>
  </xltc:threadedComment>
  <xltc:threadedComment ref="X37" dT="2026-08-29T20:18:32.97" personId="{5B662E2E-135B-4BED-903F-30CFA12D6CAD}" id="{3B45A390-0BAD-45F5-AA7F-23743147624E}">
    <xltc:text>M15 4-4 시작의 대체 후보 959.2 s (현재 선택/추천 948.3 s)
M16 4-4 종료의 대체 후보 959.2 s (현재 선택/추천 968.7 s)</xltc:text>
  </xltc:threadedComment>
  <xltc:threadedComment ref="Y38" dT="2026-08-29T20:18:32.97" personId="{5B662E2E-135B-4BED-903F-30CFA12D6CAD}" id="{1BA80C52-6B7C-4AE0-9AA4-2440B3E163FD}">
    <xltc:text>검토 구분: 전수 후보에는 있으나 RAW 8.5V에는 일치값이 없음
참가자: S08_MDO
값 출처: $2 최종 선택
RAW 8.5V 일치: 없음
전수 후보 일치: 968.7 s
M16 4-4 종료: 968.7 s
가까운 후보: 968.7, 959.2
4번 물건 집기: 20.3 s / 예상 5~40 s / 시간 적합
참가자 특이사항: 참가자별 임계값 7.0, 후보 24개 중 22개 검증</xltc:text>
  </xltc:threadedComment>
  <xltc:threadedComment ref="Z38" dT="2026-08-29T20:18:32.971" personId="{5B662E2E-135B-4BED-903F-30CFA12D6CAD}" id="{0F05F62F-FEFF-47F2-A150-0EB1DD3DAFC7}">
    <xltc:text>검토 구분: 전수 후보에는 있으나 RAW 8.5V에는 일치값이 없음
참가자: S08_MDO
값 출처: $2 최종 선택
RAW 8.5V 일치: 없음
전수 후보 일치: 1021.3 s
M17 5 시작: 1021.3 s
가까운 후보: 1021.3
5번 코스: 185.4 s / 예상 130~230 s / 시간 적합
참가자 특이사항: 참가자별 임계값 7.0, 후보 24개 중 22개 검증</xltc:text>
  </xltc:threadedComment>
  <xltc:threadedComment ref="AD37" dT="2026-08-29T20:18:32.971" personId="{5B662E2E-135B-4BED-903F-30CFA12D6CAD}" id="{F3378D41-DCF9-4DDA-94B3-D3ED4DCD3FD4}">
    <xltc:text>M22 7 종료의 대체 후보 1274.4 s (현재 선택/추천 1286.2 s)</xltc:text>
  </xltc:threadedComment>
  <xltc:threadedComment ref="AE37" dT="2026-08-29T20:18:32.972" personId="{5B662E2E-135B-4BED-903F-30CFA12D6CAD}" id="{7A73B60F-4D22-432D-8D6C-254D4DFC71F5}">
    <xltc:text>M21 7 시작의 대체 후보 1286.2 s (현재 선택/추천 1274.4 s)</xltc:text>
  </xltc:threadedComment>
  <xltc:threadedComment ref="H42" dT="2026-08-29T20:18:32.973" personId="{5B662E2E-135B-4BED-903F-30CFA12D6CAD}" id="{F34C51F7-5C63-4380-9F41-7A01B0104A53}">
    <xltc:text>검토 구분: 전수 후보에는 있으나 RAW 8.5V에는 일치값이 없음
참가자: S09_HDH
값 출처: $2 최종 선택
RAW 8.5V 일치: 없음
전수 후보 일치: 16.9 s
M01 1 시작: 16.9 s
가까운 후보: 16.9
1번 호흡: 192.9 s / 예상 150~240 s / 시간 적합
참가자 특이사항: 참가자별 임계값 7.5, 후보 31개 중 22개 검증</xltc:text>
  </xltc:threadedComment>
  <xltc:threadedComment ref="K42" dT="2026-08-29T20:18:32.973" personId="{5B662E2E-135B-4BED-903F-30CFA12D6CAD}" id="{99EBF28A-10D6-4EE5-9468-5E245323BDFB}">
    <xltc:text>검토 구분: 전수 후보에는 있으나 RAW 8.5V에는 일치값이 없음
참가자: S09_HDH
값 출처: $2 최종 선택
RAW 8.5V 일치: 없음
전수 후보 일치: 209.8 s
M02 1 종료: 209.8 s
가까운 후보: 209.8
1번 호흡: 192.9 s / 예상 150~240 s / 시간 적합
참가자 특이사항: 참가자별 임계값 7.5, 후보 31개 중 22개 검증</xltc:text>
  </xltc:threadedComment>
  <xltc:threadedComment ref="M42" dT="2026-08-29T20:18:32.973" personId="{5B662E2E-135B-4BED-903F-30CFA12D6CAD}" id="{E6FB64F1-4C0F-41BE-9FA4-387A02017B82}">
    <xltc:text>검토 구분: 전수 후보에는 있으나 RAW 8.5V에는 일치값이 없음
참가자: S09_HDH
값 출처: $2 최종 선택
RAW 8.5V 일치: 없음
전수 후보 일치: 272.4 s
M03 2 시작: 272.4 s
가까운 후보: 272.4
2번 호흡: 374.9 s / 예상 240~450 s / 시간 적합
참가자 특이사항: 참가자별 임계값 7.5, 후보 31개 중 22개 검증</xltc:text>
  </xltc:threadedComment>
  <xltc:threadedComment ref="U42" dT="2026-08-29T20:18:32.974" personId="{5B662E2E-135B-4BED-903F-30CFA12D6CAD}" id="{FC2BE0D1-A4F5-4CB2-8484-A1EE7C01B054}">
    <xltc:text>검토 구분: 전수 후보에는 있으나 RAW 8.5V에는 일치값이 없음
참가자: S09_HDH
값 출처: $2 최종 선택
RAW 8.5V 일치: 없음
전수 후보 일치: 647.3 s
M04 2 종료: 647.3 s
가까운 후보: 647.3
2번 호흡: 374.9 s / 예상 240~450 s / 시간 적합
참가자 특이사항: 참가자별 임계값 7.5, 후보 31개 중 22개 검증</xltc:text>
  </xltc:threadedComment>
  <xltc:threadedComment ref="W42" dT="2026-08-29T20:18:32.974" personId="{5B662E2E-135B-4BED-903F-30CFA12D6CAD}" id="{D75C0646-61BC-4F58-8F77-39592D72F5BD}">
    <xltc:text>검토 구분: 전수 후보에는 있으나 RAW 8.5V에는 일치값이 없음
참가자: S09_HDH
값 출처: $2 최종 선택
RAW 8.5V 일치: 없음
전수 후보 일치: 781.9 s
M05 3-1 시작: 781.9 s
가까운 후보: 781.9
3번 픽업-1: 21.4 s / 예상 5~90 s / 시간 적합
참가자 특이사항: 참가자별 임계값 7.5, 후보 31개 중 22개 검증</xltc:text>
  </xltc:threadedComment>
  <xltc:threadedComment ref="Y42" dT="2026-08-29T20:18:32.974" personId="{5B662E2E-135B-4BED-903F-30CFA12D6CAD}" id="{DCEBE56A-49F1-47D4-B7E8-B8E960ED5287}">
    <xltc:text>검토 구분: 전수 후보에는 있으나 RAW 8.5V에는 일치값이 없음
참가자: S09_HDH
값 출처: $2 최종 선택
RAW 8.5V 일치: 없음
전수 후보 일치: 803.3 s
M06 3-1 종료: 803.3 s
가까운 후보: 803.3
3번 픽업-1: 21.4 s / 예상 5~90 s / 시간 적합
참가자 특이사항: 참가자별 임계값 7.5, 후보 31개 중 22개 검증</xltc:text>
  </xltc:threadedComment>
  <xltc:threadedComment ref="AA42" dT="2026-08-29T20:18:32.974" personId="{5B662E2E-135B-4BED-903F-30CFA12D6CAD}" id="{1D6EF99A-16D1-4D95-98B8-8A3620C06E0B}">
    <xltc:text>검토 구분: 전수 후보에는 있으나 RAW 8.5V에는 일치값이 없음
참가자: S09_HDH
값 출처: $2 최종 선택
RAW 8.5V 일치: 없음
전수 후보 일치: 825.6 s
M07 3-2 시작: 825.6 s
가까운 후보: 825.6
3번 픽업-2: 15.9 s / 예상 5~90 s / 시간 적합
참가자 특이사항: 참가자별 임계값 7.5, 후보 31개 중 22개 검증</xltc:text>
  </xltc:threadedComment>
  <xltc:threadedComment ref="AD42" dT="2026-08-29T20:18:32.974" personId="{5B662E2E-135B-4BED-903F-30CFA12D6CAD}" id="{1B1898C5-CC70-4EAB-9D6B-6D8175491891}">
    <xltc:text>검토 구분: 전수 후보에는 있으나 RAW 8.5V에는 일치값이 없음
참가자: S09_HDH
값 출처: $2 최종 선택
RAW 8.5V 일치: 없음
전수 후보 일치: 951.8 s
M09 4-1 시작: 951.8 s
가까운 후보: 951.8, 960.7
4번 낙상-즉시: 18.0 s / 예상 5~30 s / 시간 적합
참가자 특이사항: 참가자별 임계값 7.5, 후보 31개 중 22개 검증</xltc:text>
  </xltc:threadedComment>
  <xltc:threadedComment ref="AE41" dT="2026-08-29T20:18:32.974" personId="{5B662E2E-135B-4BED-903F-30CFA12D6CAD}" id="{040AED36-EBCC-40C7-B16B-25AF2AD3F8F0}">
    <xltc:text>M09 4-1 시작의 대체 후보 960.7 s (현재 선택/추천 951.8 s)
M10 4-1 종료의 대체 후보 960.7 s (현재 선택/추천 969.8 s)</xltc:text>
  </xltc:threadedComment>
  <xltc:threadedComment ref="AI41" dT="2026-08-29T20:18:32.975" personId="{5B662E2E-135B-4BED-903F-30CFA12D6CAD}" id="{BAA517BF-98A1-4084-89CF-5D68AA7FD171}">
    <xltc:text>M12 4-2 종료의 대체 후보 1030.2 s (현재 선택/추천 1036.1 s)</xltc:text>
  </xltc:threadedComment>
  <xltc:threadedComment ref="AJ42" dT="2026-08-29T20:18:32.975" personId="{5B662E2E-135B-4BED-903F-30CFA12D6CAD}" id="{45EFF2DF-7BBB-496B-9A55-42BA54526F59}">
    <xltc:text>검토 구분: 전수 후보에는 있으나 RAW 8.5V에는 일치값이 없음
참가자: S09_HDH
값 출처: $2 최종 선택
RAW 8.5V 일치: 없음
전수 후보 일치: 1036.1 s
M12 4-2 종료: 1036.1 s
가까운 후보: 1036.1, 1030.2, 1049.5
4번 낙상-30초 유지: 48.2 s / 예상 25~75 s / 시간 적합
참가자 특이사항: 참가자별 임계값 7.5, 후보 31개 중 22개 검증</xltc:text>
  </xltc:threadedComment>
  <xltc:threadedComment ref="AJ41" dT="2026-08-29T20:18:32.975" personId="{5B662E2E-135B-4BED-903F-30CFA12D6CAD}" id="{6D35B0C8-005D-4CB2-9712-F799B41558E9}">
    <xltc:text>M13 4-3 시작의 대체 후보 1036.1 s (현재 선택/추천 1049.5 s)</xltc:text>
  </xltc:threadedComment>
  <xltc:threadedComment ref="AK41" dT="2026-08-29T20:18:32.975" personId="{5B662E2E-135B-4BED-903F-30CFA12D6CAD}" id="{88F4D600-15C9-4ADB-A071-DCF4DF0B5E96}">
    <xltc:text>M12 4-2 종료의 대체 후보 1049.5 s (현재 선택/추천 1036.1 s)</xltc:text>
  </xltc:threadedComment>
  <xltc:threadedComment ref="AM42" dT="2026-08-29T20:18:32.976" personId="{5B662E2E-135B-4BED-903F-30CFA12D6CAD}" id="{2DA440C0-D278-4B09-B9AC-3C95347F5A72}">
    <xltc:text>검토 구분: 전수 후보에는 있으나 RAW 8.5V에는 일치값이 없음
참가자: S09_HDH
값 출처: $2 최종 선택
RAW 8.5V 일치: 없음
전수 후보 일치: 1099.1 s
M14 4-3 종료: 1099.1 s
가까운 후보: 1099.1
4번 낙상-천천히: 49.6 s / 예상 25~90 s / 시간 적합
참가자 특이사항: 참가자별 임계값 7.5, 후보 31개 중 22개 검증</xltc:text>
  </xltc:threadedComment>
  <xltc:threadedComment ref="AO42" dT="2026-08-29T20:18:32.976" personId="{5B662E2E-135B-4BED-903F-30CFA12D6CAD}" id="{18F0C232-9CC0-4922-9069-C0CD649518B7}">
    <xltc:text>검토 구분: 전수 후보에는 있으나 RAW 8.5V에는 일치값이 없음
참가자: S09_HDH
값 출처: $2 최종 선택
RAW 8.5V 일치: 없음
전수 후보 일치: 1121.8 s
M15 4-4 시작: 1121.8 s
가까운 후보: 1121.8, 1134.6
4번 물건 집기: 12.8 s / 예상 5~40 s / 시간 적합
참가자 특이사항: 참가자별 임계값 7.5, 후보 31개 중 22개 검증</xltc:text>
  </xltc:threadedComment>
  <xltc:threadedComment ref="AO41" dT="2026-08-29T20:18:32.976" personId="{5B662E2E-135B-4BED-903F-30CFA12D6CAD}" id="{D0A60413-F2F6-409E-BF09-953960930621}">
    <xltc:text>M16 4-4 종료의 대체 후보 1121.8 s (현재 선택/추천 1134.6 s)</xltc:text>
  </xltc:threadedComment>
  <xltc:threadedComment ref="AP41" dT="2026-08-29T20:18:32.976" personId="{5B662E2E-135B-4BED-903F-30CFA12D6CAD}" id="{E3F9718D-F6BC-4C8E-B213-BF0AFC2E4BE5}">
    <xltc:text>M15 4-4 시작의 대체 후보 1134.6 s (현재 선택/추천 1121.8 s)</xltc:text>
  </xltc:threadedComment>
  <xltc:threadedComment ref="AR42" dT="2026-08-29T20:18:32.976" personId="{5B662E2E-135B-4BED-903F-30CFA12D6CAD}" id="{0AA5FB0B-41BF-4ECB-A68A-3BF175DF413C}">
    <xltc:text>검토 구분: 전수 후보에는 있으나 RAW 8.5V에는 일치값이 없음
참가자: S09_HDH
값 출처: $2 최종 선택
RAW 8.5V 일치: 없음
전수 후보 일치: 1206.6 s
M17 5 시작: 1206.6 s
가까운 후보: 1206.6
5번 코스: 188.2 s / 예상 130~230 s / 시간 적합
참가자 특이사항: 참가자별 임계값 7.5, 후보 31개 중 22개 검증</xltc:text>
  </xltc:threadedComment>
  <xltc:threadedComment ref="AT42" dT="2026-08-29T20:18:32.976" personId="{5B662E2E-135B-4BED-903F-30CFA12D6CAD}" id="{B052A4FD-C6E7-4338-AD4B-B7A44287E6DF}">
    <xltc:text>검토 구분: 전수 후보에는 있으나 RAW 8.5V에는 일치값이 없음
참가자: S09_HDH
값 출처: $2 최종 선택
RAW 8.5V 일치: 없음
전수 후보 일치: 1394.8 s
M18 5 종료: 1394.8 s
가까운 후보: 1394.8
5번 코스: 188.2 s / 예상 130~230 s / 시간 적합
참가자 특이사항: 참가자별 임계값 7.5, 후보 31개 중 22개 검증</xltc:text>
  </xltc:threadedComment>
  <xltc:threadedComment ref="AV42" dT="2026-08-29T20:18:32.977" personId="{5B662E2E-135B-4BED-903F-30CFA12D6CAD}" id="{10A2DCBF-0F2D-4447-8C0F-FA468F446CD9}">
    <xltc:text>검토 구분: 전수 후보에는 있으나 RAW 8.5V에는 일치값이 없음
참가자: S09_HDH
값 출처: $2 최종 선택
RAW 8.5V 일치: 없음
전수 후보 일치: 1445.0 s
M19 6 시작: 1445.0 s
가까운 후보: 1445.0
6번 왕복: 28.0 s / 예상 5~70 s / 시간 적합
참가자 특이사항: 참가자별 임계값 7.5, 후보 31개 중 22개 검증</xltc:text>
  </xltc:threadedComment>
  <xltc:threadedComment ref="AX42" dT="2026-08-29T20:18:32.977" personId="{5B662E2E-135B-4BED-903F-30CFA12D6CAD}" id="{3287AB9C-34BA-4EDA-AC59-64BCBAE3B548}">
    <xltc:text>검토 구분: 전수 후보에는 있으나 RAW 8.5V에는 일치값이 없음
참가자: S09_HDH
값 출처: $2 최종 선택
RAW 8.5V 일치: 없음
전수 후보 일치: 1473.0 s
M20 6 종료: 1473.0 s
가까운 후보: 1473.0
6번 왕복: 28.0 s / 예상 5~70 s / 시간 적합
참가자 특이사항: 참가자별 임계값 7.5, 후보 31개 중 22개 검증</xltc:text>
  </xltc:threadedComment>
  <xltc:threadedComment ref="AZ42" dT="2026-08-29T20:18:32.977" personId="{5B662E2E-135B-4BED-903F-30CFA12D6CAD}" id="{38932122-65FE-486E-8B86-6AAA3189923B}">
    <xltc:text>검토 구분: 전수 후보에는 있으나 RAW 8.5V에는 일치값이 없음
참가자: S09_HDH
값 출처: $2 최종 선택
RAW 8.5V 일치: 없음
전수 후보 일치: 1499.3 s
M21 7 시작: 1499.3 s
가까운 후보: 1499.3, 1510.9
7번 자유: 11.6 s / 예상 5~70 s / 시간 적합
참가자 특이사항: 참가자별 임계값 7.5, 후보 31개 중 22개 검증</xltc:text>
  </xltc:threadedComment>
  <xltc:threadedComment ref="AZ41" dT="2026-08-29T20:18:32.977" personId="{5B662E2E-135B-4BED-903F-30CFA12D6CAD}" id="{C0CE0C19-50F8-4323-A68D-3EA64A3CE4E6}">
    <xltc:text>M22 7 종료의 대체 후보 1499.3 s (현재 선택/추천 1510.9 s)</xltc:text>
  </xltc:threadedComment>
  <xltc:threadedComment ref="BA41" dT="2026-08-29T20:18:32.977" personId="{5B662E2E-135B-4BED-903F-30CFA12D6CAD}" id="{A23C26A2-BAAA-4A59-9353-AA1D08674D7F}">
    <xltc:text>M21 7 시작의 대체 후보 1510.9 s (현재 선택/추천 1499.3 s)</xltc:text>
  </xltc:threadedComment>
  <xltc:threadedComment ref="I46" dT="2026-08-29T20:18:32.979" personId="{5B662E2E-135B-4BED-903F-30CFA12D6CAD}" id="{8455F5B0-1464-4E4D-A631-4D3F8EA6D406}">
    <xltc:text>검토 구분: 전수 후보에는 있으나 RAW 8.5V에는 일치값이 없음
참가자: S10_JKH
값 출처: $2 최종 선택
RAW 8.5V 일치: 없음
전수 후보 일치: 26.1 s
M01 1 시작: 26.1 s
가까운 후보: 26.1
1번 호흡: 186.3 s / 예상 150~240 s / 시간 적합
참가자 특이사항: 참가자별 임계값 8.0, 후보 26개 중 22개 검증</xltc:text>
  </xltc:threadedComment>
  <xltc:threadedComment ref="M45" dT="2026-08-29T20:18:32.979" personId="{5B662E2E-135B-4BED-903F-30CFA12D6CAD}" id="{6FD292EE-1376-46C3-B37B-78E19908C351}">
    <xltc:text>M03 2 시작의 대체 후보 250.6 s (현재 선택/추천 244.7 s)</xltc:text>
  </xltc:threadedComment>
  <xltc:threadedComment ref="P46" dT="2026-08-29T20:18:32.979" personId="{5B662E2E-135B-4BED-903F-30CFA12D6CAD}" id="{45E6AD50-FC23-4A28-A6F4-FAD50FCA0D16}">
    <xltc:text>검토 구분: 전수 후보에는 있으나 RAW 8.5V에는 일치값이 없음
참가자: S10_JKH
값 출처: $2 최종 선택
RAW 8.5V 일치: 없음
전수 후보 일치: 625.8 s
M04 2 종료: 625.8 s
가까운 후보: 625.8
2번 호흡: 381.1 s / 예상 240~450 s / 시간 적합
참가자 특이사항: 참가자별 임계값 8.0, 후보 26개 중 22개 검증</xltc:text>
  </xltc:threadedComment>
  <xltc:threadedComment ref="R46" dT="2026-08-29T20:18:32.98" personId="{5B662E2E-135B-4BED-903F-30CFA12D6CAD}" id="{F97EC642-6ECC-4ACA-870D-84272FC8A2F0}">
    <xltc:text>검토 구분: 전수 후보에는 있으나 RAW 8.5V에는 일치값이 없음
참가자: S10_JKH
값 출처: $2 최종 선택
RAW 8.5V 일치: 없음
전수 후보 일치: 652.7 s
M05 3-1 시작: 652.7 s
가까운 후보: 652.7, 666.2
3번 픽업-1: 13.5 s / 예상 5~90 s / 시간 적합
참가자 특이사항: 참가자별 임계값 8.0, 후보 26개 중 22개 검증</xltc:text>
  </xltc:threadedComment>
  <xltc:threadedComment ref="R45" dT="2026-08-29T20:18:32.98" personId="{5B662E2E-135B-4BED-903F-30CFA12D6CAD}" id="{E4CA1D0B-117C-4600-B4D0-715CD3B0ACC2}">
    <xltc:text>M06 3-1 종료의 대체 후보 652.7 s (현재 선택/추천 666.2 s)</xltc:text>
  </xltc:threadedComment>
  <xltc:threadedComment ref="T46" dT="2026-08-29T20:18:32.98" personId="{5B662E2E-135B-4BED-903F-30CFA12D6CAD}" id="{942E0598-1307-4803-8375-C398C2413B2B}">
    <xltc:text>검토 구분: 전수 후보에는 있으나 RAW 8.5V에는 일치값이 없음
참가자: S10_JKH
값 출처: $2 최종 선택
RAW 8.5V 일치: 없음
전수 후보 일치: 666.2 s
M06 3-1 종료: 666.2 s
가까운 후보: 666.2, 652.7
3번 픽업-1: 13.5 s / 예상 5~90 s / 시간 적합
참가자 특이사항: 참가자별 임계값 8.0, 후보 26개 중 22개 검증</xltc:text>
  </xltc:threadedComment>
  <xltc:threadedComment ref="T45" dT="2026-08-29T20:18:32.98" personId="{5B662E2E-135B-4BED-903F-30CFA12D6CAD}" id="{C40DEC83-55D2-40F5-99AA-30950D8EA787}">
    <xltc:text>M05 3-1 시작의 대체 후보 666.2 s (현재 선택/추천 652.7 s)</xltc:text>
  </xltc:threadedComment>
  <xltc:threadedComment ref="V46" dT="2026-08-29T20:18:32.98" personId="{5B662E2E-135B-4BED-903F-30CFA12D6CAD}" id="{91B045A5-B0D3-4FC6-A4E1-73EBC62F56FB}">
    <xltc:text>검토 구분: 전수 후보에는 있으나 RAW 8.5V에는 일치값이 없음
참가자: S10_JKH
값 출처: $2 최종 선택
RAW 8.5V 일치: 없음
전수 후보 일치: 684.6 s
M07 3-2 시작: 684.6 s
가까운 후보: 684.6
3번 픽업-2: 16.8 s / 예상 5~90 s / 시간 적합
참가자 특이사항: 참가자별 임계값 8.0, 후보 26개 중 22개 검증</xltc:text>
  </xltc:threadedComment>
  <xltc:threadedComment ref="X46" dT="2026-08-29T20:18:32.98" personId="{5B662E2E-135B-4BED-903F-30CFA12D6CAD}" id="{15CC3DAF-8E2F-45FF-8539-5783053DB552}">
    <xltc:text>검토 구분: 전수 후보에는 있으나 RAW 8.5V에는 일치값이 없음
참가자: S10_JKH
값 출처: $2 최종 선택
RAW 8.5V 일치: 없음
전수 후보 일치: 701.4 s
M08 3-2 종료: 701.4 s
가까운 후보: 701.4
3번 픽업-2: 16.8 s / 예상 5~90 s / 시간 적합
참가자 특이사항: 참가자별 임계값 8.0, 후보 26개 중 22개 검증</xltc:text>
  </xltc:threadedComment>
  <xltc:threadedComment ref="Z46" dT="2026-08-29T20:18:32.98" personId="{5B662E2E-135B-4BED-903F-30CFA12D6CAD}" id="{B463B598-E1B5-4A01-B6F4-4ADFFED0DB8E}">
    <xltc:text>검토 구분: 전수 후보에는 있으나 RAW 8.5V에는 일치값이 없음
참가자: S10_JKH
값 출처: $2 최종 선택
RAW 8.5V 일치: 없음
전수 후보 일치: 751.7 s
M09 4-1 시작: 751.7 s
가까운 후보: 751.7, 765.2
4번 낙상-즉시: 13.4 s / 예상 5~30 s / 시간 적합
참가자 특이사항: 참가자별 임계값 8.0, 후보 26개 중 22개 검증</xltc:text>
  </xltc:threadedComment>
  <xltc:threadedComment ref="Z45" dT="2026-08-29T20:18:32.98" personId="{5B662E2E-135B-4BED-903F-30CFA12D6CAD}" id="{94861B56-5709-435D-A37C-B1EA6FC0FD28}">
    <xltc:text>M10 4-1 종료의 대체 후보 751.7 s (현재 선택/추천 765.2 s)</xltc:text>
  </xltc:threadedComment>
  <xltc:threadedComment ref="AB46" dT="2026-08-29T20:18:32.981" personId="{5B662E2E-135B-4BED-903F-30CFA12D6CAD}" id="{14271362-0DB1-4AB8-90A3-56C59AE5625F}">
    <xltc:text>검토 구분: 전수 후보에는 있으나 RAW 8.5V에는 일치값이 없음
참가자: S10_JKH
값 출처: $2 최종 선택
RAW 8.5V 일치: 없음
전수 후보 일치: 765.2 s
M10 4-1 종료: 765.2 s
가까운 후보: 765.2, 777.5, 751.7
4번 낙상-즉시: 13.4 s / 예상 5~30 s / 시간 적합
참가자 특이사항: 참가자별 임계값 8.0, 후보 26개 중 22개 검증</xltc:text>
  </xltc:threadedComment>
  <xltc:threadedComment ref="AB45" dT="2026-08-29T20:18:32.981" personId="{5B662E2E-135B-4BED-903F-30CFA12D6CAD}" id="{99EE8E38-0750-4D15-8D2A-1D9739B04B90}">
    <xltc:text>M09 4-1 시작의 대체 후보 765.2 s (현재 선택/추천 751.7 s)
M11 4-2 시작의 대체 후보 765.2 s (현재 선택/추천 777.5 s)</xltc:text>
  </xltc:threadedComment>
  <xltc:threadedComment ref="AD46" dT="2026-08-29T20:18:32.981" personId="{5B662E2E-135B-4BED-903F-30CFA12D6CAD}" id="{08EE5655-E717-4580-96F1-5FBC7DF788DD}">
    <xltc:text>검토 구분: 전수 후보에는 있으나 RAW 8.5V에는 일치값이 없음
참가자: S10_JKH
값 출처: $2 최종 선택
RAW 8.5V 일치: 없음
전수 후보 일치: 777.5 s
M11 4-2 시작: 777.5 s
가까운 후보: 777.5, 765.2
4번 낙상-30초 유지: 46.2 s / 예상 25~75 s / 시간 적합
참가자 특이사항: 참가자별 임계값 8.0, 후보 26개 중 22개 검증</xltc:text>
  </xltc:threadedComment>
  <xltc:threadedComment ref="AD45" dT="2026-08-29T20:18:32.981" personId="{5B662E2E-135B-4BED-903F-30CFA12D6CAD}" id="{040C3E30-9CB1-4141-A93F-1D4DC2EC0041}">
    <xltc:text>M10 4-1 종료의 대체 후보 777.5 s (현재 선택/추천 765.2 s)</xltc:text>
  </xltc:threadedComment>
  <xltc:threadedComment ref="AF45" dT="2026-08-29T20:18:32.981" personId="{5B662E2E-135B-4BED-903F-30CFA12D6CAD}" id="{A7AA1E64-CD56-4DEE-91DD-EE61007F8D69}">
    <xltc:text>M12 4-2 종료의 대체 후보 819.1 s (현재 선택/추천 823.7 s)</xltc:text>
  </xltc:threadedComment>
  <xltc:threadedComment ref="AG46" dT="2026-08-29T20:18:32.981" personId="{5B662E2E-135B-4BED-903F-30CFA12D6CAD}" id="{67CD4E19-2A0E-4F20-9063-E5C710625430}">
    <xltc:text>검토 구분: 전수 후보에는 있으나 RAW 8.5V에는 일치값이 없음 / 같은 경계에 가까운 대체 후보가 둘 이상 있음
참가자: S10_JKH
값 출처: $2 최종 선택
RAW 8.5V 일치: 없음
전수 후보 일치: 823.7 s
M12 4-2 종료: 823.7 s
가까운 후보: 823.7, 819.1, 835.3
4번 낙상-30초 유지: 46.2 s / 예상 25~75 s / 시간 적합
참가자 특이사항: 참가자별 임계값 8.0, 후보 26개 중 22개 검증</xltc:text>
  </xltc:threadedComment>
  <xltc:threadedComment ref="AG45" dT="2026-08-29T20:18:32.981" personId="{5B662E2E-135B-4BED-903F-30CFA12D6CAD}" id="{A148CF7C-FE72-4383-8190-238E666B8261}">
    <xltc:text>M13 4-3 시작의 대체 후보 823.7 s (현재 선택/추천 835.3 s)</xltc:text>
  </xltc:threadedComment>
  <xltc:threadedComment ref="AI46" dT="2026-08-29T20:18:32.982" personId="{5B662E2E-135B-4BED-903F-30CFA12D6CAD}" id="{40ED569A-DCEF-4210-9557-8F757274697F}">
    <xltc:text>검토 구분: 전수 후보에는 있으나 RAW 8.5V에는 일치값이 없음
참가자: S10_JKH
값 출처: $2 최종 선택
RAW 8.5V 일치: 없음
전수 후보 일치: 835.3 s
M13 4-3 시작: 835.3 s
가까운 후보: 835.3, 823.7
4번 낙상-천천히: 42.3 s / 예상 25~90 s / 시간 적합
참가자 특이사항: 참가자별 임계값 8.0, 후보 26개 중 22개 검증</xltc:text>
  </xltc:threadedComment>
  <xltc:threadedComment ref="AI45" dT="2026-08-29T20:18:32.982" personId="{5B662E2E-135B-4BED-903F-30CFA12D6CAD}" id="{E437682B-36B3-4F42-8FBC-0F671C52F1D7}">
    <xltc:text>M12 4-2 종료의 대체 후보 835.3 s (현재 선택/추천 823.7 s)</xltc:text>
  </xltc:threadedComment>
  <xltc:threadedComment ref="AJ46" dT="2026-08-29T20:18:32.982" personId="{5B662E2E-135B-4BED-903F-30CFA12D6CAD}" id="{1DF438FD-AE96-435F-89D9-FF5F2072CE42}">
    <xltc:text>검토 구분: 같은 경계에 가까운 대체 후보가 둘 이상 있음
참가자: S10_JKH
값 출처: $2 최종 선택
RAW 8.5V 일치: 876.5 s
전수 후보 일치: 877.6 s
M14 4-3 종료: 877.6 s
가까운 후보: 877.6, 881.9
4번 낙상-천천히: 42.3 s / 예상 25~90 s / 시간 적합
참가자 특이사항: 참가자별 임계값 8.0, 후보 26개 중 22개 검증</xltc:text>
  </xltc:threadedComment>
  <xltc:threadedComment ref="AJ45" dT="2026-08-29T20:18:32.982" personId="{5B662E2E-135B-4BED-903F-30CFA12D6CAD}" id="{FF412567-3365-4041-942B-7B3349344EA2}">
    <xltc:text>M15 4-4 시작의 대체 후보 877.6 s (현재 선택/추천 881.9 s)</xltc:text>
  </xltc:threadedComment>
  <xltc:threadedComment ref="AK46" dT="2026-08-29T20:18:32.982" personId="{5B662E2E-135B-4BED-903F-30CFA12D6CAD}" id="{55BF8E2E-9C82-4153-AFEB-E5B06E7726F4}">
    <xltc:text>검토 구분: 전수 후보에는 있으나 RAW 8.5V에는 일치값이 없음 / 같은 경계에 가까운 대체 후보가 둘 이상 있음
참가자: S10_JKH
값 출처: $2 최종 선택
RAW 8.5V 일치: 없음
전수 후보 일치: 881.9 s
M15 4-4 시작: 881.9 s
가까운 후보: 881.9, 877.6, 896.5
4번 물건 집기: 28.7 s / 예상 5~40 s / 시간 적합
참가자 특이사항: 참가자별 임계값 8.0, 후보 26개 중 22개 검증</xltc:text>
  </xltc:threadedComment>
  <xltc:threadedComment ref="AK45" dT="2026-08-29T20:18:32.982" personId="{5B662E2E-135B-4BED-903F-30CFA12D6CAD}" id="{DEFBD0E3-6189-476B-8F85-925ED5589109}">
    <xltc:text>M14 4-3 종료의 대체 후보 881.9 s (현재 선택/추천 877.6 s)</xltc:text>
  </xltc:threadedComment>
  <xltc:threadedComment ref="AM45" dT="2026-08-29T20:18:32.982" personId="{5B662E2E-135B-4BED-903F-30CFA12D6CAD}" id="{E21F81F1-93E6-4734-BD78-28489AA69C9E}">
    <xltc:text>M15 4-4 시작의 대체 후보 896.5 s (현재 선택/추천 881.9 s)
M16 4-4 종료의 대체 후보 896.5 s (현재 선택/추천 910.5 s)</xltc:text>
  </xltc:threadedComment>
  <xltc:threadedComment ref="AO46" dT="2026-08-29T20:18:32.982" personId="{5B662E2E-135B-4BED-903F-30CFA12D6CAD}" id="{3DAF39E9-014E-4B44-ABDA-FA3E3A6E760C}">
    <xltc:text>검토 구분: 전수 후보에는 있으나 RAW 8.5V에는 일치값이 없음
참가자: S10_JKH
값 출처: $2 최종 선택
RAW 8.5V 일치: 없음
전수 후보 일치: 910.5 s
M16 4-4 종료: 910.5 s
가까운 후보: 910.5, 896.5
4번 물건 집기: 28.7 s / 예상 5~40 s / 시간 적합
참가자 특이사항: 참가자별 임계값 8.0, 후보 26개 중 22개 검증</xltc:text>
  </xltc:threadedComment>
  <xltc:threadedComment ref="AQ46" dT="2026-08-29T20:18:32.982" personId="{5B662E2E-135B-4BED-903F-30CFA12D6CAD}" id="{222D9767-363A-4643-B1F7-A16CAA58DBC5}">
    <xltc:text>검토 구분: 전수 후보에는 있으나 RAW 8.5V에는 일치값이 없음
참가자: S10_JKH
값 출처: $2 최종 선택
RAW 8.5V 일치: 없음
전수 후보 일치: 934.8 s
M17 5 시작: 934.8 s
가까운 후보: 934.8
5번 코스: 183.2 s / 예상 130~230 s / 시간 적합
참가자 특이사항: 참가자별 임계값 8.0, 후보 26개 중 22개 검증</xltc:text>
  </xltc:threadedComment>
  <xltc:threadedComment ref="AS46" dT="2026-08-29T20:18:32.983" personId="{5B662E2E-135B-4BED-903F-30CFA12D6CAD}" id="{DA3D9E75-D343-431F-A6F6-A01E7EC9447D}">
    <xltc:text>검토 구분: 전수 후보에는 있으나 RAW 8.5V에는 일치값이 없음
참가자: S10_JKH
값 출처: $2 최종 선택
RAW 8.5V 일치: 없음
전수 후보 일치: 1118.0 s
M18 5 종료: 1118.0 s
가까운 후보: 1118.0
5번 코스: 183.2 s / 예상 130~230 s / 시간 적합
참가자 특이사항: 참가자별 임계값 8.0, 후보 26개 중 22개 검증</xltc:text>
  </xltc:threadedComment>
  <xltc:threadedComment ref="AU46" dT="2026-08-29T20:18:32.983" personId="{5B662E2E-135B-4BED-903F-30CFA12D6CAD}" id="{E9960C32-2B16-4631-8FF3-D2C75FBF0923}">
    <xltc:text>검토 구분: 전수 후보에는 있으나 RAW 8.5V에는 일치값이 없음
참가자: S10_JKH
값 출처: $2 최종 선택
RAW 8.5V 일치: 없음
전수 후보 일치: 1134.6 s
M19 6 시작: 1134.6 s
가까운 후보: 1134.6
6번 왕복: 23.6 s / 예상 5~70 s / 시간 적합
참가자 특이사항: 참가자별 임계값 8.0, 후보 26개 중 22개 검증</xltc:text>
  </xltc:threadedComment>
  <xltc:threadedComment ref="AW46" dT="2026-08-29T20:18:32.983" personId="{5B662E2E-135B-4BED-903F-30CFA12D6CAD}" id="{F8A521E5-EBAF-4914-A331-69F604357A9F}">
    <xltc:text>검토 구분: 전수 후보에는 있으나 RAW 8.5V에는 일치값이 없음
참가자: S10_JKH
값 출처: $2 최종 선택
RAW 8.5V 일치: 없음
전수 후보 일치: 1158.2 s
M20 6 종료: 1158.2 s
가까운 후보: 1158.2
6번 왕복: 23.6 s / 예상 5~70 s / 시간 적합
참가자 특이사항: 참가자별 임계값 8.0, 후보 26개 중 22개 검증</xltc:text>
  </xltc:threadedComment>
  <xltc:threadedComment ref="AY46" dT="2026-08-29T20:18:32.983" personId="{5B662E2E-135B-4BED-903F-30CFA12D6CAD}" id="{5D424017-ABE1-4850-8D16-F68B4AB85F05}">
    <xltc:text>검토 구분: 전수 후보에는 있으나 RAW 8.5V에는 일치값이 없음
참가자: S10_JKH
값 출처: $2 최종 선택
RAW 8.5V 일치: 없음
전수 후보 일치: 1173.7 s
M21 7 시작: 1173.7 s
가까운 후보: 1173.7, 1187.1
7번 자유: 13.4 s / 예상 5~70 s / 시간 적합
참가자 특이사항: 참가자별 임계값 8.0, 후보 26개 중 22개 검증</xltc:text>
  </xltc:threadedComment>
  <xltc:threadedComment ref="AY45" dT="2026-08-29T20:18:32.983" personId="{5B662E2E-135B-4BED-903F-30CFA12D6CAD}" id="{C4E0F7D2-F5B5-4FB1-BCFC-E6CF6812F6D7}">
    <xltc:text>M22 7 종료의 대체 후보 1173.7 s (현재 선택/추천 1187.1 s)</xltc:text>
  </xltc:threadedComment>
  <xltc:threadedComment ref="BA46" dT="2026-08-29T20:18:32.983" personId="{5B662E2E-135B-4BED-903F-30CFA12D6CAD}" id="{D7F165DB-DC6B-4DCB-96F4-49AC12246DAD}">
    <xltc:text>검토 구분: 전수 후보에는 있으나 RAW 8.5V에는 일치값이 없음
참가자: S10_JKH
값 출처: $2 최종 선택
RAW 8.5V 일치: 없음
전수 후보 일치: 1187.1 s
M22 7 종료: 1187.1 s
가까운 후보: 1187.1, 1173.7
7번 자유: 13.4 s / 예상 5~70 s / 시간 적합
참가자 특이사항: 참가자별 임계값 8.0, 후보 26개 중 22개 검증</xltc:text>
  </xltc:threadedComment>
  <xltc:threadedComment ref="BA45" dT="2026-08-29T20:18:32.983" personId="{5B662E2E-135B-4BED-903F-30CFA12D6CAD}" id="{6B1BEE2F-5FCD-4732-AAC7-7DE723BF4BEB}">
    <xltc:text>M21 7 시작의 대체 후보 1187.1 s (현재 선택/추천 1173.7 s)</xltc:text>
  </xltc:threadedComment>
  <xltc:threadedComment ref="H50" dT="2026-08-29T20:18:32.985" personId="{5B662E2E-135B-4BED-903F-30CFA12D6CAD}" id="{DEC77534-8ED0-48C9-B641-8343A3E31825}">
    <xltc:text>검토 구분: 시간패턴 추천값으로 아직 확정되지 않음
참가자: S11_SJE
값 출처: 시간패턴 추천(미확정)
RAW 8.5V 일치: 17.9 s
전수 후보 일치: 15.3 s
M01 1 시작: 15.3 s
가까운 후보: 15.3
1번 호흡: 192.2 s / 예상 150~240 s / 시간 적합
참가자 특이사항: 후반 마커 다수 누락/과검출 — 수동 검토 필요</xltc:text>
  </xltc:threadedComment>
  <xltc:threadedComment ref="I50" dT="2026-08-29T20:18:32.985" personId="{5B662E2E-135B-4BED-903F-30CFA12D6CAD}" id="{F92E7CE8-88B3-48D5-8270-6FF073636E99}">
    <xltc:text>검토 구분: 시간패턴 추천값으로 아직 확정되지 않음 / 전수 후보에는 있으나 RAW 8.5V에는 일치값이 없음
참가자: S11_SJE
값 출처: 시간패턴 추천(미확정)
RAW 8.5V 일치: 없음
전수 후보 일치: 207.5 s
M02 1 종료: 207.5 s
가까운 후보: 207.5
1번 호흡: 192.2 s / 예상 150~240 s / 시간 적합
참가자 특이사항: 후반 마커 다수 누락/과검출 — 수동 검토 필요</xltc:text>
  </xltc:threadedComment>
  <xltc:threadedComment ref="K50" dT="2026-08-29T20:18:32.985" personId="{5B662E2E-135B-4BED-903F-30CFA12D6CAD}" id="{A75F5098-36AA-48B6-BDC5-D126D6A05E8D}">
    <xltc:text>검토 구분: 시간패턴 추천값으로 아직 확정되지 않음 / 전수 후보에는 있으나 RAW 8.5V에는 일치값이 없음
참가자: S11_SJE
값 출처: 시간패턴 추천(미확정)
RAW 8.5V 일치: 없음
전수 후보 일치: 260.6 s
M03 2 시작: 260.6 s
가까운 후보: 260.6, 266.1
2번 호흡: 375.0 s / 예상 240~450 s / 시간 적합
참가자 특이사항: 후반 마커 다수 누락/과검출 — 수동 검토 필요</xltc:text>
  </xltc:threadedComment>
  <xltc:threadedComment ref="L49" dT="2026-08-29T20:18:32.985" personId="{5B662E2E-135B-4BED-903F-30CFA12D6CAD}" id="{4490DF1C-27B0-4560-AC62-A8A26F3516D8}">
    <xltc:text>M03 2 시작의 대체 후보 266.1 s (현재 선택/추천 260.6 s)</xltc:text>
  </xltc:threadedComment>
  <xltc:threadedComment ref="N50" dT="2026-08-29T20:18:32.985" personId="{5B662E2E-135B-4BED-903F-30CFA12D6CAD}" id="{9504AAFF-1472-48E2-B2C7-F5520E3F36AE}">
    <xltc:text>검토 구분: 시간패턴 추천값으로 아직 확정되지 않음
참가자: S11_SJE
값 출처: 시간패턴 추천(미확정)
RAW 8.5V 일치: 638.9 s
전수 후보 일치: 635.6 s
M04 2 종료: 635.6 s
가까운 후보: 635.6
2번 호흡: 375.0 s / 예상 240~450 s / 시간 적합
참가자 특이사항: 후반 마커 다수 누락/과검출 — 수동 검토 필요</xltc:text>
  </xltc:threadedComment>
  <xltc:threadedComment ref="O50" dT="2026-08-29T20:18:32.986" personId="{5B662E2E-135B-4BED-903F-30CFA12D6CAD}" id="{A5920525-4972-41DA-A0BA-1B0601525C60}">
    <xltc:text>검토 구분: 시간패턴 추천값으로 아직 확정되지 않음 / 전수 후보에는 있으나 RAW 8.5V에는 일치값이 없음
참가자: S11_SJE
값 출처: 시간패턴 추천(미확정)
RAW 8.5V 일치: 없음
전수 후보 일치: 759.2 s
M05 3-1 시작: 759.2 s
가까운 후보: 759.2, 771.9
3번 픽업-1: 12.7 s / 예상 5~90 s / 시간 적합
참가자 특이사항: 후반 마커 다수 누락/과검출 — 수동 검토 필요</xltc:text>
  </xltc:threadedComment>
  <xltc:threadedComment ref="O49" dT="2026-08-29T20:18:32.986" personId="{5B662E2E-135B-4BED-903F-30CFA12D6CAD}" id="{95279D05-EFE7-43F3-B198-868416815801}">
    <xltc:text>M06 3-1 종료의 대체 후보 759.2 s (현재 선택/추천 771.9 s)</xltc:text>
  </xltc:threadedComment>
  <xltc:threadedComment ref="P50" dT="2026-08-29T20:18:32.986" personId="{5B662E2E-135B-4BED-903F-30CFA12D6CAD}" id="{7D290A16-9BE8-492B-B215-47F6E82E4DD3}">
    <xltc:text>검토 구분: 시간패턴 추천값으로 아직 확정되지 않음 / 전수 후보에는 있으나 RAW 8.5V에는 일치값이 없음
참가자: S11_SJE
값 출처: 시간패턴 추천(미확정)
RAW 8.5V 일치: 없음
전수 후보 일치: 771.9 s
M06 3-1 종료: 771.9 s
가까운 후보: 771.9, 759.2
3번 픽업-1: 12.7 s / 예상 5~90 s / 시간 적합
참가자 특이사항: 후반 마커 다수 누락/과검출 — 수동 검토 필요</xltc:text>
  </xltc:threadedComment>
  <xltc:threadedComment ref="P49" dT="2026-08-29T20:18:32.986" personId="{5B662E2E-135B-4BED-903F-30CFA12D6CAD}" id="{38ACFEC3-2192-4AE1-88CC-D303496D85E0}">
    <xltc:text>M05 3-1 시작의 대체 후보 771.9 s (현재 선택/추천 759.2 s)</xltc:text>
  </xltc:threadedComment>
  <xltc:threadedComment ref="Q50" dT="2026-08-29T20:18:32.986" personId="{5B662E2E-135B-4BED-903F-30CFA12D6CAD}" id="{754D78AE-B806-4D4B-BAFB-2762FDC8AA99}">
    <xltc:text>검토 구분: 시간패턴 추천값으로 아직 확정되지 않음
참가자: S11_SJE
값 출처: 시간패턴 추천(미확정)
RAW 8.5V 일치: 793.3 s
전수 후보 일치: 791.7 s
M07 3-2 시작: 791.7 s
가까운 후보: 791.7, 802.1
3번 픽업-2: 10.4 s / 예상 5~90 s / 시간 적합
참가자 특이사항: 후반 마커 다수 누락/과검출 — 수동 검토 필요</xltc:text>
  </xltc:threadedComment>
  <xltc:threadedComment ref="Q49" dT="2026-08-29T20:18:32.986" personId="{5B662E2E-135B-4BED-903F-30CFA12D6CAD}" id="{806F8E92-16F2-4BB1-8496-2C5C87B43D4F}">
    <xltc:text>M08 3-2 종료의 대체 후보 791.7 s (현재 선택/추천 802.1 s)</xltc:text>
  </xltc:threadedComment>
  <xltc:threadedComment ref="R50" dT="2026-08-29T20:18:32.986" personId="{5B662E2E-135B-4BED-903F-30CFA12D6CAD}" id="{71524C18-5A89-4A33-8CB5-5AF10DA43FFB}">
    <xltc:text>검토 구분: 시간패턴 추천값으로 아직 확정되지 않음
참가자: S11_SJE
값 출처: 시간패턴 추천(미확정)
RAW 8.5V 일치: 805.4 s
전수 후보 일치: 802.1 s
M08 3-2 종료: 802.1 s
가까운 후보: 802.1, 791.7
3번 픽업-2: 10.4 s / 예상 5~90 s / 시간 적합
참가자 특이사항: 후반 마커 다수 누락/과검출 — 수동 검토 필요</xltc:text>
  </xltc:threadedComment>
  <xltc:threadedComment ref="R49" dT="2026-08-29T20:18:32.986" personId="{5B662E2E-135B-4BED-903F-30CFA12D6CAD}" id="{06D8BDD1-62BE-4C8C-A427-2BD63599CF68}">
    <xltc:text>M07 3-2 시작의 대체 후보 802.1 s (현재 선택/추천 791.7 s)</xltc:text>
  </xltc:threadedComment>
  <xltc:threadedComment ref="S50" dT="2026-08-29T20:18:32.986" personId="{5B662E2E-135B-4BED-903F-30CFA12D6CAD}" id="{BB32E4AA-42ED-4F1E-82EA-C3A35F025C07}">
    <xltc:text>검토 구분: 시간패턴 추천값으로 아직 확정되지 않음 / 전수 후보에는 있으나 RAW 8.5V에는 일치값이 없음
참가자: S11_SJE
값 출처: 시간패턴 추천(미확정)
RAW 8.5V 일치: 없음
전수 후보 일치: 894.9 s
M09 4-1 시작: 894.9 s
가까운 후보: 894.9, 904.0, 909.4
4번 낙상-즉시: 9.1 s / 예상 5~30 s / 시간 적합
참가자 특이사항: 후반 마커 다수 누락/과검출 — 수동 검토 필요</xltc:text>
  </xltc:threadedComment>
  <xltc:threadedComment ref="S49" dT="2026-08-29T20:18:32.986" personId="{5B662E2E-135B-4BED-903F-30CFA12D6CAD}" id="{0666FC5F-4019-41B0-83C8-6648C58CAA30}">
    <xltc:text>M10 4-1 종료의 대체 후보 894.9 s (현재 선택/추천 904.0 s)</xltc:text>
  </xltc:threadedComment>
  <xltc:threadedComment ref="U50" dT="2026-08-29T20:18:32.987" personId="{5B662E2E-135B-4BED-903F-30CFA12D6CAD}" id="{D21810DD-3AE3-4A69-8D3D-6D514A4BE4C8}">
    <xltc:text>검토 구분: 시간패턴 추천값으로 아직 확정되지 않음 / 전수 후보에는 있으나 RAW 8.5V에는 일치값이 없음
참가자: S11_SJE
값 출처: 시간패턴 추천(미확정)
RAW 8.5V 일치: 없음
전수 후보 일치: 904.0 s
M10 4-1 종료: 904.0 s
가까운 후보: 904.0, 909.4, 894.9
4번 낙상-즉시: 9.1 s / 예상 5~30 s / 시간 적합
참가자 특이사항: 후반 마커 다수 누락/과검출 — 수동 검토 필요</xltc:text>
  </xltc:threadedComment>
  <xltc:threadedComment ref="U49" dT="2026-08-29T20:18:32.987" personId="{5B662E2E-135B-4BED-903F-30CFA12D6CAD}" id="{62F5BEE8-0806-47DD-8F2B-A44306F64340}">
    <xltc:text>M09 4-1 시작의 대체 후보 904.0 s (현재 선택/추천 894.9 s)
M11 4-2 시작의 대체 후보 904.0 s (현재 선택/추천 909.4 s)
M12 4-2 종료의 대체 후보 904.0 s (현재 선택/추천 914.1 s)</xltc:text>
  </xltc:threadedComment>
  <xltc:threadedComment ref="V50" dT="2026-08-29T20:18:32.987" personId="{5B662E2E-135B-4BED-903F-30CFA12D6CAD}" id="{CEBE5F67-C4B5-4444-B77D-A94DBBD37D12}">
    <xltc:text>검토 구분: 시간패턴 추천값으로 아직 확정되지 않음 / 전수 후보에는 있으나 RAW 8.5V에는 일치값이 없음 / 같은 경계에 가까운 대체 후보가 둘 이상 있음 / 4번 낙상-30초 유지 지속시간이 예상 범위를 벗어나거나 경계가 누락됨
참가자: S11_SJE
값 출처: 시간패턴 추천(미확정)
RAW 8.5V 일치: 없음
전수 후보 일치: 909.4 s
M11 4-2 시작: 909.4 s
가까운 후보: 909.4, 914.1, 904.0
4번 낙상-30초 유지: 4.7 s / 예상 25~75 s / 시간 확인 필요
참가자 특이사항: 후반 마커 다수 누락/과검출 — 수동 검토 필요</xltc:text>
  </xltc:threadedComment>
  <xltc:threadedComment ref="V49" dT="2026-08-29T20:18:32.987" personId="{5B662E2E-135B-4BED-903F-30CFA12D6CAD}" id="{53816454-BC3E-416D-96F8-B13AC6D6A333}">
    <xltc:text>M09 4-1 시작의 대체 후보 909.4 s (현재 선택/추천 894.9 s)
M10 4-1 종료의 대체 후보 909.4 s (현재 선택/추천 904.0 s)
M12 4-2 종료의 대체 후보 909.4 s (현재 선택/추천 914.1 s)</xltc:text>
  </xltc:threadedComment>
  <xltc:threadedComment ref="W50" dT="2026-08-29T20:18:32.987" personId="{5B662E2E-135B-4BED-903F-30CFA12D6CAD}" id="{9C47AD08-9F35-4A65-8903-4BA57DB87B95}">
    <xltc:text>검토 구분: 시간패턴 추천값으로 아직 확정되지 않음 / 같은 경계에 가까운 대체 후보가 둘 이상 있음 / 4번 낙상-30초 유지 지속시간이 예상 범위를 벗어나거나 경계가 누락됨
참가자: S11_SJE
값 출처: 시간패턴 추천(미확정)
RAW 8.5V 일치: 912.7 s
전수 후보 일치: 914.1 s
M12 4-2 종료: 914.1 s
가까운 후보: 914.1, 909.4, 904.0
4번 낙상-30초 유지: 4.7 s / 예상 25~75 s / 시간 확인 필요
참가자 특이사항: 후반 마커 다수 누락/과검출 — 수동 검토 필요</xltc:text>
  </xltc:threadedComment>
  <xltc:threadedComment ref="W49" dT="2026-08-29T20:18:32.987" personId="{5B662E2E-135B-4BED-903F-30CFA12D6CAD}" id="{408E8A3D-52B8-461E-A321-2CA3F1984DFC}">
    <xltc:text>M11 4-2 시작의 대체 후보 914.1 s (현재 선택/추천 909.4 s)</xltc:text>
  </xltc:threadedComment>
  <xltc:threadedComment ref="X50" dT="2026-08-29T20:18:32.987" personId="{5B662E2E-135B-4BED-903F-30CFA12D6CAD}" id="{7291EF89-57D6-4203-BA34-DD0D49DD0652}">
    <xltc:text>검토 구분: 시간패턴 추천값으로 아직 확정되지 않음 / 전수 후보에는 있으나 RAW 8.5V에는 일치값이 없음 / 4번 낙상-천천히 지속시간이 예상 범위를 벗어나거나 경계가 누락됨
참가자: S11_SJE
값 출처: 시간패턴 추천(미확정)
RAW 8.5V 일치: 없음
전수 후보 일치: 938.6 s
M13 4-3 시작: 938.6 s
가까운 후보: 938.6, 950.3
4번 낙상-천천히: 11.7 s / 예상 25~90 s / 시간 확인 필요
참가자 특이사항: 후반 마커 다수 누락/과검출 — 수동 검토 필요</xltc:text>
  </xltc:threadedComment>
  <xltc:threadedComment ref="X49" dT="2026-08-29T20:18:32.987" personId="{5B662E2E-135B-4BED-903F-30CFA12D6CAD}" id="{A8971FE6-E479-4047-B48A-C9EE58E3CA63}">
    <xltc:text>M14 4-3 종료의 대체 후보 938.6 s (현재 선택/추천 950.3 s)</xltc:text>
  </xltc:threadedComment>
  <xltc:threadedComment ref="Y50" dT="2026-08-29T20:18:32.987" personId="{5B662E2E-135B-4BED-903F-30CFA12D6CAD}" id="{ECD59A54-22FF-4CE2-83D7-ACB7309C6208}">
    <xltc:text>검토 구분: 시간패턴 추천값으로 아직 확정되지 않음 / 전수 후보에는 있으나 RAW 8.5V에는 일치값이 없음 / 4번 낙상-천천히 지속시간이 예상 범위를 벗어나거나 경계가 누락됨
참가자: S11_SJE
값 출처: 시간패턴 추천(미확정)
RAW 8.5V 일치: 없음
전수 후보 일치: 950.3 s
M14 4-3 종료: 950.3 s
가까운 후보: 950.3, 957.4, 938.6
4번 낙상-천천히: 11.7 s / 예상 25~90 s / 시간 확인 필요
참가자 특이사항: 후반 마커 다수 누락/과검출 — 수동 검토 필요</xltc:text>
  </xltc:threadedComment>
  <xltc:threadedComment ref="Y49" dT="2026-08-29T20:18:32.987" personId="{5B662E2E-135B-4BED-903F-30CFA12D6CAD}" id="{9D23674C-ADCE-401D-9D89-76C94D004D87}">
    <xltc:text>M13 4-3 시작의 대체 후보 950.3 s (현재 선택/추천 938.6 s)
M15 4-4 시작의 대체 후보 950.3 s (현재 선택/추천 957.4 s)</xltc:text>
  </xltc:threadedComment>
  <xltc:threadedComment ref="Z50" dT="2026-08-29T20:18:32.988" personId="{5B662E2E-135B-4BED-903F-30CFA12D6CAD}" id="{2AC0C5CF-294C-49A0-979C-27F16DF3EBB2}">
    <xltc:text>검토 구분: 시간패턴 추천값으로 아직 확정되지 않음 / 전수 후보에는 있으나 RAW 8.5V에는 일치값이 없음 / 4번 물건 집기 지속시간이 예상 범위를 벗어나거나 경계가 누락됨
참가자: S11_SJE
값 출처: 시간패턴 추천(미확정)
RAW 8.5V 일치: 없음
전수 후보 일치: 957.4 s
M15 4-4 시작: 957.4 s
가까운 후보: 957.4, 950.3
4번 물건 집기: 53.8 s / 예상 5~40 s / 시간 확인 필요
참가자 특이사항: 후반 마커 다수 누락/과검출 — 수동 검토 필요</xltc:text>
  </xltc:threadedComment>
  <xltc:threadedComment ref="Z49" dT="2026-08-29T20:18:32.988" personId="{5B662E2E-135B-4BED-903F-30CFA12D6CAD}" id="{4D19C5D7-F189-4884-ACEF-9E4485ADF119}">
    <xltc:text>M14 4-3 종료의 대체 후보 957.4 s (현재 선택/추천 950.3 s)</xltc:text>
  </xltc:threadedComment>
  <xltc:threadedComment ref="AA50" dT="2026-08-29T20:18:32.988" personId="{5B662E2E-135B-4BED-903F-30CFA12D6CAD}" id="{8683290E-0DAA-4A94-AE44-7227F978DB54}">
    <xltc:text>검토 구분: 시간패턴 추천값으로 아직 확정되지 않음 / 전수 후보에는 있으나 RAW 8.5V에는 일치값이 없음 / 4번 물건 집기 지속시간이 예상 범위를 벗어나거나 경계가 누락됨
참가자: S11_SJE
값 출처: 시간패턴 추천(미확정)
RAW 8.5V 일치: 없음
전수 후보 일치: 1011.2 s
M16 4-4 종료: 1011.2 s
가까운 후보: 1011.2
4번 물건 집기: 53.8 s / 예상 5~40 s / 시간 확인 필요
참가자 특이사항: 후반 마커 다수 누락/과검출 — 수동 검토 필요</xltc:text>
  </xltc:threadedComment>
  <xltc:threadedComment ref="AB50" dT="2026-08-29T20:18:32.988" personId="{5B662E2E-135B-4BED-903F-30CFA12D6CAD}" id="{660BAC66-12CE-4FE7-AFB0-FDCFD683F72A}">
    <xltc:text>검토 구분: 시간패턴 추천값으로 아직 확정되지 않음 / 전수 후보에는 있으나 RAW 8.5V에는 일치값이 없음 / 같은 경계에 가까운 대체 후보가 둘 이상 있음 / 5번 코스 지속시간이 예상 범위를 벗어나거나 경계가 누락됨
참가자: S11_SJE
값 출처: 시간패턴 추천(미확정)
RAW 8.5V 일치: 없음
전수 후보 일치: 1044.1 s
M17 5 시작: 1044.1 s
가까운 후보: 1044.1, 1049.1
5번 코스: 5.0 s / 예상 130~230 s / 시간 확인 필요
참가자 특이사항: 후반 마커 다수 누락/과검출 — 수동 검토 필요</xltc:text>
  </xltc:threadedComment>
  <xltc:threadedComment ref="AB49" dT="2026-08-29T20:18:32.988" personId="{5B662E2E-135B-4BED-903F-30CFA12D6CAD}" id="{17B467AF-1AC7-40D4-87A8-13F481AB6B0D}">
    <xltc:text>M18 5 종료의 대체 후보 1044.1 s (현재 선택/추천 1049.1 s)</xltc:text>
  </xltc:threadedComment>
  <xltc:threadedComment ref="AC50" dT="2026-08-29T20:18:32.988" personId="{5B662E2E-135B-4BED-903F-30CFA12D6CAD}" id="{3F32350B-E0B9-4CFC-B7A9-F0773C0060E0}">
    <xltc:text>검토 구분: 시간패턴 추천값으로 아직 확정되지 않음 / 전수 후보에는 있으나 RAW 8.5V에는 일치값이 없음 / 같은 경계에 가까운 대체 후보가 둘 이상 있음 / 5번 코스 지속시간이 예상 범위를 벗어나거나 경계가 누락됨
참가자: S11_SJE
값 출처: 시간패턴 추천(미확정)
RAW 8.5V 일치: 없음
전수 후보 일치: 1049.1 s
M18 5 종료: 1049.1 s
가까운 후보: 1049.1, 1044.1, 1062.8
5번 코스: 5.0 s / 예상 130~230 s / 시간 확인 필요
참가자 특이사항: 후반 마커 다수 누락/과검출 — 수동 검토 필요</xltc:text>
  </xltc:threadedComment>
  <xltc:threadedComment ref="AC49" dT="2026-08-29T20:18:32.988" personId="{5B662E2E-135B-4BED-903F-30CFA12D6CAD}" id="{B48CD87C-74AD-43DB-965E-8C590D74819C}">
    <xltc:text>M17 5 시작의 대체 후보 1049.1 s (현재 선택/추천 1044.1 s)
M19 6 시작의 대체 후보 1049.1 s (현재 선택/추천 1062.8 s)</xltc:text>
  </xltc:threadedComment>
  <xltc:threadedComment ref="AD50" dT="2026-08-29T20:18:32.988" personId="{5B662E2E-135B-4BED-903F-30CFA12D6CAD}" id="{9F18EB41-843A-4309-8DE6-C79EC6F18E89}">
    <xltc:text>검토 구분: 시간패턴 추천값으로 아직 확정되지 않음 / 전수 후보에는 있으나 RAW 8.5V에는 일치값이 없음
참가자: S11_SJE
값 출처: 시간패턴 추천(미확정)
RAW 8.5V 일치: 없음
전수 후보 일치: 1062.8 s
M19 6 시작: 1062.8 s
가까운 후보: 1062.8, 1072.5, 1049.1
6번 왕복: 9.7 s / 예상 5~70 s / 시간 적합
참가자 특이사항: 후반 마커 다수 누락/과검출 — 수동 검토 필요</xltc:text>
  </xltc:threadedComment>
  <xltc:threadedComment ref="AD49" dT="2026-08-29T20:18:32.989" personId="{5B662E2E-135B-4BED-903F-30CFA12D6CAD}" id="{9EA8CEC0-E8EB-4384-BE26-898E3DB7B6AD}">
    <xltc:text>M18 5 종료의 대체 후보 1062.8 s (현재 선택/추천 1049.1 s)
M20 6 종료의 대체 후보 1062.8 s (현재 선택/추천 1072.5 s)</xltc:text>
  </xltc:threadedComment>
  <xltc:threadedComment ref="AE50" dT="2026-08-29T20:18:32.989" personId="{5B662E2E-135B-4BED-903F-30CFA12D6CAD}" id="{C74FFEF0-77F3-4E5B-8DE0-C2C9D09C550A}">
    <xltc:text>검토 구분: 시간패턴 추천값으로 아직 확정되지 않음 / 전수 후보에는 있으나 RAW 8.5V에는 일치값이 없음
참가자: S11_SJE
값 출처: 시간패턴 추천(미확정)
RAW 8.5V 일치: 없음
전수 후보 일치: 1072.5 s
M20 6 종료: 1072.5 s
가까운 후보: 1072.5, 1062.8
6번 왕복: 9.7 s / 예상 5~70 s / 시간 적합
참가자 특이사항: 후반 마커 다수 누락/과검출 — 수동 검토 필요</xltc:text>
  </xltc:threadedComment>
  <xltc:threadedComment ref="AE49" dT="2026-08-29T20:18:32.989" personId="{5B662E2E-135B-4BED-903F-30CFA12D6CAD}" id="{F336B5E9-2491-421D-BF30-FDE1C3DEC469}">
    <xltc:text>M19 6 시작의 대체 후보 1072.5 s (현재 선택/추천 1062.8 s)</xltc:text>
  </xltc:threadedComment>
  <xltc:threadedComment ref="AF50" dT="2026-08-29T20:18:32.989" personId="{5B662E2E-135B-4BED-903F-30CFA12D6CAD}" id="{31CEEEB6-0D9A-49BA-9A5B-C0C68F5ED763}">
    <xltc:text>검토 구분: 시간패턴 추천값으로 아직 확정되지 않음 / 전수 후보에는 있으나 RAW 8.5V에는 일치값이 없음 / 7번 자유 지속시간이 예상 범위를 벗어나거나 경계가 누락됨
참가자: S11_SJE
값 출처: 시간패턴 추천(미확정)
RAW 8.5V 일치: 없음
전수 후보 일치: 1159.0 s
M21 7 시작: 1159.0 s
가까운 후보: 1159.0
7번 자유: 302.3 s / 예상 5~70 s / 시간 확인 필요
참가자 특이사항: 후반 마커 다수 누락/과검출 — 수동 검토 필요</xltc:text>
  </xltc:threadedComment>
  <xltc:threadedComment ref="AJ49" dT="2026-08-29T20:18:32.989" personId="{5B662E2E-135B-4BED-903F-30CFA12D6CAD}" id="{D6A40F1C-470B-4BA7-A761-B9B393C915B9}">
    <xltc:text>M22 7 종료의 대체 후보 1448.9 s (현재 선택/추천 1461.3 s)</xltc:text>
  </xltc:threadedComment>
  <xltc:threadedComment ref="AK50" dT="2026-08-29T20:18:32.989" personId="{5B662E2E-135B-4BED-903F-30CFA12D6CAD}" id="{054F149D-C58B-4E7B-8781-C7E184017C40}">
    <xltc:text>검토 구분: 시간패턴 추천값으로 아직 확정되지 않음 / 전수 후보에는 있으나 RAW 8.5V에는 일치값이 없음 / 7번 자유 지속시간이 예상 범위를 벗어나거나 경계가 누락됨
참가자: S11_SJE
값 출처: 시간패턴 추천(미확정)
RAW 8.5V 일치: 없음
전수 후보 일치: 1461.3 s
M22 7 종료: 1461.3 s
가까운 후보: 1461.3, 1448.9
7번 자유: 302.3 s / 예상 5~70 s / 시간 확인 필요
참가자 특이사항: 후반 마커 다수 누락/과검출 — 수동 검토 필요</xltc:text>
  </xltc:threadedComment>
  <xltc:threadedComment ref="H54" dT="2026-08-29T20:18:32.991" personId="{5B662E2E-135B-4BED-903F-30CFA12D6CAD}" id="{5EABB893-9414-4222-B6FC-3410EA9C2E7D}">
    <xltc:text>검토 구분: 시간패턴 추천값으로 아직 확정되지 않음
참가자: S12_KDH
값 출처: 시간패턴 추천(미확정)
RAW 8.5V 일치: 20.9 s
전수 후보 일치: 24.5 s
M01 1 시작: 24.5 s
가까운 후보: 24.5
1번 호흡: 198.1 s / 예상 150~240 s / 시간 적합
참가자 특이사항: RSP 마커 누락 및 자동 offset이 탐색 경계(-12초)에 도달 — 수동 검토 필요</xltc:text>
  </xltc:threadedComment>
  <xltc:threadedComment ref="I54" dT="2026-08-29T20:18:32.991" personId="{5B662E2E-135B-4BED-903F-30CFA12D6CAD}" id="{90827B74-BB5B-4FFC-8D77-6CCA720211B5}">
    <xltc:text>검토 구분: 시간패턴 추천값으로 아직 확정되지 않음 / 전수 후보에는 있으나 RAW 8.5V에는 일치값이 없음
참가자: S12_KDH
값 출처: 시간패턴 추천(미확정)
RAW 8.5V 일치: 없음
전수 후보 일치: 222.6 s
M02 1 종료: 222.6 s
가까운 후보: 222.6
1번 호흡: 198.1 s / 예상 150~240 s / 시간 적합
참가자 특이사항: RSP 마커 누락 및 자동 offset이 탐색 경계(-12초)에 도달 — 수동 검토 필요</xltc:text>
  </xltc:threadedComment>
  <xltc:threadedComment ref="K54" dT="2026-08-29T20:18:32.991" personId="{5B662E2E-135B-4BED-903F-30CFA12D6CAD}" id="{C6F4B7DD-1DF5-4849-ADB1-385E8C816F53}">
    <xltc:text>검토 구분: 시간패턴 추천값으로 아직 확정되지 않음 / 전수 후보에는 있으나 RAW 8.5V에는 일치값이 없음 / 2번 호흡 지속시간이 예상 범위를 벗어나거나 경계가 누락됨
참가자: S12_KDH
값 출처: 시간패턴 추천(미확정)
RAW 8.5V 일치: 없음
전수 후보 일치: 270.4 s
M03 2 시작: 270.4 s
가까운 후보: 270.4
2번 호흡: 494.0 s / 예상 240~450 s / 시간 확인 필요
참가자 특이사항: RSP 마커 누락 및 자동 offset이 탐색 경계(-12초)에 도달 — 수동 검토 필요</xltc:text>
  </xltc:threadedComment>
  <xltc:threadedComment ref="N54" dT="2026-08-29T20:18:32.991" personId="{5B662E2E-135B-4BED-903F-30CFA12D6CAD}" id="{A199C3B5-2AC1-43E8-8008-7FE27A2A72CC}">
    <xltc:text>검토 구분: 시간패턴 추천값으로 아직 확정되지 않음 / 전수 후보에는 있으나 RAW 8.5V에는 일치값이 없음 / 2번 호흡 지속시간이 예상 범위를 벗어나거나 경계가 누락됨
참가자: S12_KDH
값 출처: 시간패턴 추천(미확정)
RAW 8.5V 일치: 없음
전수 후보 일치: 764.5 s
M04 2 종료: 764.5 s
가까운 후보: 764.5, 774.2
2번 호흡: 494.0 s / 예상 240~450 s / 시간 확인 필요
참가자 특이사항: RSP 마커 누락 및 자동 offset이 탐색 경계(-12초)에 도달 — 수동 검토 필요</xltc:text>
  </xltc:threadedComment>
  <xltc:threadedComment ref="O53" dT="2026-08-29T20:18:32.991" personId="{5B662E2E-135B-4BED-903F-30CFA12D6CAD}" id="{973B6114-F819-424D-9AB5-BDF748F2E858}">
    <xltc:text>M04 2 종료의 대체 후보 774.2 s (현재 선택/추천 764.5 s)
M05 3-1 시작의 대체 후보 774.2 s (현재 선택/추천 781.5 s)</xltc:text>
  </xltc:threadedComment>
  <xltc:threadedComment ref="P54" dT="2026-08-29T20:18:32.991" personId="{5B662E2E-135B-4BED-903F-30CFA12D6CAD}" id="{823DB410-D422-40CE-8220-53F17A5E97F6}">
    <xltc:text>검토 구분: 시간패턴 추천값으로 아직 확정되지 않음 / 전수 후보에는 있으나 RAW 8.5V에는 일치값이 없음
참가자: S12_KDH
값 출처: 시간패턴 추천(미확정)
RAW 8.5V 일치: 없음
전수 후보 일치: 781.5 s
M05 3-1 시작: 781.5 s
가까운 후보: 781.5, 774.2
3번 픽업-1: 16.1 s / 예상 5~90 s / 시간 적합
참가자 특이사항: RSP 마커 누락 및 자동 offset이 탐색 경계(-12초)에 도달 — 수동 검토 필요</xltc:text>
  </xltc:threadedComment>
  <xltc:threadedComment ref="Q54" dT="2026-08-29T20:18:32.992" personId="{5B662E2E-135B-4BED-903F-30CFA12D6CAD}" id="{E8E32E17-B803-4350-9DEA-9AB2DE1CBC06}">
    <xltc:text>검토 구분: 시간패턴 추천값으로 아직 확정되지 않음 / 전수 후보에는 있으나 RAW 8.5V에는 일치값이 없음
참가자: S12_KDH
값 출처: 시간패턴 추천(미확정)
RAW 8.5V 일치: 없음
전수 후보 일치: 797.5 s
M06 3-1 종료: 797.5 s
가까운 후보: 797.5, 806.9
3번 픽업-1: 16.1 s / 예상 5~90 s / 시간 적합
참가자 특이사항: RSP 마커 누락 및 자동 offset이 탐색 경계(-12초)에 도달 — 수동 검토 필요</xltc:text>
  </xltc:threadedComment>
  <xltc:threadedComment ref="Q53" dT="2026-08-29T20:18:32.992" personId="{5B662E2E-135B-4BED-903F-30CFA12D6CAD}" id="{88095EE6-5363-4560-9484-F3301FB226CE}">
    <xltc:text>M07 3-2 시작의 대체 후보 797.5 s (현재 선택/추천 806.9 s)</xltc:text>
  </xltc:threadedComment>
  <xltc:threadedComment ref="R54" dT="2026-08-29T20:18:32.992" personId="{5B662E2E-135B-4BED-903F-30CFA12D6CAD}" id="{0E9B7A12-E970-4491-B10D-5C54D78EC97F}">
    <xltc:text>검토 구분: 시간패턴 추천값으로 아직 확정되지 않음 / 전수 후보에는 있으나 RAW 8.5V에는 일치값이 없음
참가자: S12_KDH
값 출처: 시간패턴 추천(미확정)
RAW 8.5V 일치: 없음
전수 후보 일치: 806.9 s
M07 3-2 시작: 806.9 s
가까운 후보: 806.9, 812.9, 797.5
3번 픽업-2: 6.0 s / 예상 5~90 s / 시간 적합
참가자 특이사항: RSP 마커 누락 및 자동 offset이 탐색 경계(-12초)에 도달 — 수동 검토 필요</xltc:text>
  </xltc:threadedComment>
  <xltc:threadedComment ref="R53" dT="2026-08-29T20:18:32.992" personId="{5B662E2E-135B-4BED-903F-30CFA12D6CAD}" id="{96918ED5-50C9-4BF6-9E3A-8A993721F096}">
    <xltc:text>M06 3-1 종료의 대체 후보 806.9 s (현재 선택/추천 797.5 s)
M08 3-2 종료의 대체 후보 806.9 s (현재 선택/추천 812.9 s)</xltc:text>
  </xltc:threadedComment>
  <xltc:threadedComment ref="S54" dT="2026-08-29T20:18:32.992" personId="{5B662E2E-135B-4BED-903F-30CFA12D6CAD}" id="{DB977194-0162-492A-AF4A-33A5437625E4}">
    <xltc:text>검토 구분: 시간패턴 추천값으로 아직 확정되지 않음 / 전수 후보에는 있으나 RAW 8.5V에는 일치값이 없음
참가자: S12_KDH
값 출처: 시간패턴 추천(미확정)
RAW 8.5V 일치: 없음
전수 후보 일치: 812.9 s
M08 3-2 종료: 812.9 s
가까운 후보: 812.9, 806.9
3번 픽업-2: 6.0 s / 예상 5~90 s / 시간 적합
참가자 특이사항: RSP 마커 누락 및 자동 offset이 탐색 경계(-12초)에 도달 — 수동 검토 필요</xltc:text>
  </xltc:threadedComment>
  <xltc:threadedComment ref="S53" dT="2026-08-29T20:18:32.992" personId="{5B662E2E-135B-4BED-903F-30CFA12D6CAD}" id="{5235B956-F857-48AD-A213-60A81A540BD6}">
    <xltc:text>M07 3-2 시작의 대체 후보 812.9 s (현재 선택/추천 806.9 s)</xltc:text>
  </xltc:threadedComment>
  <xltc:threadedComment ref="T54" dT="2026-08-29T20:18:32.993" personId="{5B662E2E-135B-4BED-903F-30CFA12D6CAD}" id="{E6356B86-1266-4A3A-B4CB-FB52598882FE}">
    <xltc:text>검토 구분: 시간패턴 추천값으로 아직 확정되지 않음 / 전수 후보에는 있으나 RAW 8.5V에는 일치값이 없음
참가자: S12_KDH
값 출처: 시간패턴 추천(미확정)
RAW 8.5V 일치: 없음
전수 후보 일치: 936.5 s
M09 4-1 시작: 936.5 s
가까운 후보: 936.5, 941.5, 946.6
4번 낙상-즉시: 5.1 s / 예상 5~30 s / 시간 적합
참가자 특이사항: RSP 마커 누락 및 자동 offset이 탐색 경계(-12초)에 도달 — 수동 검토 필요</xltc:text>
  </xltc:threadedComment>
  <xltc:threadedComment ref="T53" dT="2026-08-29T20:18:32.993" personId="{5B662E2E-135B-4BED-903F-30CFA12D6CAD}" id="{6F1E65D3-0E41-4D01-A12B-899EF07E8288}">
    <xltc:text>M10 4-1 종료의 대체 후보 936.5 s (현재 선택/추천 941.5 s)</xltc:text>
  </xltc:threadedComment>
  <xltc:threadedComment ref="U54" dT="2026-08-29T20:18:32.993" personId="{5B662E2E-135B-4BED-903F-30CFA12D6CAD}" id="{128CD394-FCC4-4A6E-9441-D64A9F091A30}">
    <xltc:text>검토 구분: 시간패턴 추천값으로 아직 확정되지 않음 / 전수 후보에는 있으나 RAW 8.5V에는 일치값이 없음
참가자: S12_KDH
값 출처: 시간패턴 추천(미확정)
RAW 8.5V 일치: 없음
전수 후보 일치: 941.5 s
M10 4-1 종료: 941.5 s
가까운 후보: 941.5, 936.5, 946.6
4번 낙상-즉시: 5.1 s / 예상 5~30 s / 시간 적합
참가자 특이사항: RSP 마커 누락 및 자동 offset이 탐색 경계(-12초)에 도달 — 수동 검토 필요</xltc:text>
  </xltc:threadedComment>
  <xltc:threadedComment ref="U53" dT="2026-08-29T20:18:32.993" personId="{5B662E2E-135B-4BED-903F-30CFA12D6CAD}" id="{6A2A4C18-C572-4B21-A35D-16602BC58789}">
    <xltc:text>M09 4-1 시작의 대체 후보 941.5 s (현재 선택/추천 936.5 s)
M11 4-2 시작의 대체 후보 941.5 s (현재 선택/추천 946.6 s)</xltc:text>
  </xltc:threadedComment>
  <xltc:threadedComment ref="V54" dT="2026-08-29T20:18:32.993" personId="{5B662E2E-135B-4BED-903F-30CFA12D6CAD}" id="{9EEC9F91-1FD5-4447-99F8-3A722D5B891B}">
    <xltc:text>검토 구분: 시간패턴 추천값으로 아직 확정되지 않음 / 전수 후보에는 있으나 RAW 8.5V에는 일치값이 없음 / 4번 낙상-30초 유지 지속시간이 예상 범위를 벗어나거나 경계가 누락됨
참가자: S12_KDH
값 출처: 시간패턴 추천(미확정)
RAW 8.5V 일치: 없음
전수 후보 일치: 946.6 s
M11 4-2 시작: 946.6 s
가까운 후보: 946.6, 941.5, 955.0
4번 낙상-30초 유지: 18.6 s / 예상 25~75 s / 시간 확인 필요
참가자 특이사항: RSP 마커 누락 및 자동 offset이 탐색 경계(-12초)에 도달 — 수동 검토 필요</xltc:text>
  </xltc:threadedComment>
  <xltc:threadedComment ref="V53" dT="2026-08-29T20:18:32.993" personId="{5B662E2E-135B-4BED-903F-30CFA12D6CAD}" id="{7843C57D-CC43-427E-A00E-A15E2F155F0D}">
    <xltc:text>M09 4-1 시작의 대체 후보 946.6 s (현재 선택/추천 936.5 s)
M10 4-1 종료의 대체 후보 946.6 s (현재 선택/추천 941.5 s)</xltc:text>
  </xltc:threadedComment>
  <xltc:threadedComment ref="W53" dT="2026-08-29T20:18:32.993" personId="{5B662E2E-135B-4BED-903F-30CFA12D6CAD}" id="{B350CDDB-47FF-4149-8309-1135B3D8F3A6}">
    <xltc:text>M11 4-2 시작의 대체 후보 955.0 s (현재 선택/추천 946.6 s)
M12 4-2 종료의 대체 후보 955.0 s (현재 선택/추천 965.3 s)</xltc:text>
  </xltc:threadedComment>
  <xltc:threadedComment ref="X54" dT="2026-08-29T20:18:32.993" personId="{5B662E2E-135B-4BED-903F-30CFA12D6CAD}" id="{A2C60372-D83A-4F13-B281-F4505E93FFF9}">
    <xltc:text>검토 구분: 시간패턴 추천값으로 아직 확정되지 않음 / 전수 후보에는 있으나 RAW 8.5V에는 일치값이 없음 / 4번 낙상-30초 유지 지속시간이 예상 범위를 벗어나거나 경계가 누락됨
참가자: S12_KDH
값 출처: 시간패턴 추천(미확정)
RAW 8.5V 일치: 없음
전수 후보 일치: 965.3 s
M12 4-2 종료: 965.3 s
가까운 후보: 965.3, 973.1, 955.0
4번 낙상-30초 유지: 18.6 s / 예상 25~75 s / 시간 확인 필요
참가자 특이사항: RSP 마커 누락 및 자동 offset이 탐색 경계(-12초)에 도달 — 수동 검토 필요</xltc:text>
  </xltc:threadedComment>
  <xltc:threadedComment ref="X53" dT="2026-08-29T20:18:32.993" personId="{5B662E2E-135B-4BED-903F-30CFA12D6CAD}" id="{10EA8342-5B08-4DFF-80C0-1358254B5B40}">
    <xltc:text>M13 4-3 시작의 대체 후보 965.3 s (현재 선택/추천 973.1 s)</xltc:text>
  </xltc:threadedComment>
  <xltc:threadedComment ref="Y54" dT="2026-08-29T20:18:32.993" personId="{5B662E2E-135B-4BED-903F-30CFA12D6CAD}" id="{92183107-3173-4040-A2FB-FF00FA2B574E}">
    <xltc:text>검토 구분: 시간패턴 추천값으로 아직 확정되지 않음 / 전수 후보에는 있으나 RAW 8.5V에는 일치값이 없음
참가자: S12_KDH
값 출처: 시간패턴 추천(미확정)
RAW 8.5V 일치: 없음
전수 후보 일치: 973.1 s
M13 4-3 시작: 973.1 s
가까운 후보: 973.1, 965.3
4번 낙상-천천히: 37.7 s / 예상 25~90 s / 시간 적합
참가자 특이사항: RSP 마커 누락 및 자동 offset이 탐색 경계(-12초)에 도달 — 수동 검토 필요</xltc:text>
  </xltc:threadedComment>
  <xltc:threadedComment ref="Y53" dT="2026-08-29T20:18:32.993" personId="{5B662E2E-135B-4BED-903F-30CFA12D6CAD}" id="{1D92953C-CBF2-4A35-8DBE-DD1A3FC36E98}">
    <xltc:text>M12 4-2 종료의 대체 후보 973.1 s (현재 선택/추천 965.3 s)</xltc:text>
  </xltc:threadedComment>
  <xltc:threadedComment ref="Z54" dT="2026-08-29T20:18:32.994" personId="{5B662E2E-135B-4BED-903F-30CFA12D6CAD}" id="{70977317-2BD1-4B53-AD5B-54CF9D7E0EC8}">
    <xltc:text>검토 구분: 시간패턴 추천값으로 아직 확정되지 않음 / 전수 후보에는 있으나 RAW 8.5V에는 일치값이 없음
참가자: S12_KDH
값 출처: 시간패턴 추천(미확정)
RAW 8.5V 일치: 없음
전수 후보 일치: 1010.8 s
M14 4-3 종료: 1010.8 s
가까운 후보: 1010.8, 1024.3
4번 낙상-천천히: 37.7 s / 예상 25~90 s / 시간 적합
참가자 특이사항: RSP 마커 누락 및 자동 offset이 탐색 경계(-12초)에 도달 — 수동 검토 필요</xltc:text>
  </xltc:threadedComment>
  <xltc:threadedComment ref="Z53" dT="2026-08-29T20:18:32.994" personId="{5B662E2E-135B-4BED-903F-30CFA12D6CAD}" id="{1FF6C06A-FFA2-4B44-BB18-2B2ACEB9DEA3}">
    <xltc:text>M15 4-4 시작의 대체 후보 1010.8 s (현재 선택/추천 1024.3 s)</xltc:text>
  </xltc:threadedComment>
  <xltc:threadedComment ref="AA54" dT="2026-08-29T20:18:32.994" personId="{5B662E2E-135B-4BED-903F-30CFA12D6CAD}" id="{C411EE33-6C98-4123-A425-A1A9A5C54045}">
    <xltc:text>검토 구분: 시간패턴 추천값으로 아직 확정되지 않음 / 전수 후보에는 있으나 RAW 8.5V에는 일치값이 없음
참가자: S12_KDH
값 출처: 시간패턴 추천(미확정)
RAW 8.5V 일치: 없음
전수 후보 일치: 1024.3 s
M15 4-4 시작: 1024.3 s
가까운 후보: 1024.3, 1033.0, 1010.8
4번 물건 집기: 8.7 s / 예상 5~40 s / 시간 적합
참가자 특이사항: RSP 마커 누락 및 자동 offset이 탐색 경계(-12초)에 도달 — 수동 검토 필요</xltc:text>
  </xltc:threadedComment>
  <xltc:threadedComment ref="AA53" dT="2026-08-29T20:18:32.994" personId="{5B662E2E-135B-4BED-903F-30CFA12D6CAD}" id="{3560B877-A9F8-4A22-8C06-8C206F3C1857}">
    <xltc:text>M14 4-3 종료의 대체 후보 1024.3 s (현재 선택/추천 1010.8 s)
M16 4-4 종료의 대체 후보 1024.3 s (현재 선택/추천 1033.0 s)</xltc:text>
  </xltc:threadedComment>
  <xltc:threadedComment ref="AB54" dT="2026-08-29T20:18:32.994" personId="{5B662E2E-135B-4BED-903F-30CFA12D6CAD}" id="{0B8F26B0-CC2B-4BE2-9ACA-77FEECC6B93E}">
    <xltc:text>검토 구분: 시간패턴 추천값으로 아직 확정되지 않음 / 전수 후보에는 있으나 RAW 8.5V에는 일치값이 없음
참가자: S12_KDH
값 출처: 시간패턴 추천(미확정)
RAW 8.5V 일치: 없음
전수 후보 일치: 1033.0 s
M16 4-4 종료: 1033.0 s
가까운 후보: 1033.0, 1024.3
4번 물건 집기: 8.7 s / 예상 5~40 s / 시간 적합
참가자 특이사항: RSP 마커 누락 및 자동 offset이 탐색 경계(-12초)에 도달 — 수동 검토 필요</xltc:text>
  </xltc:threadedComment>
  <xltc:threadedComment ref="AB53" dT="2026-08-29T20:18:32.994" personId="{5B662E2E-135B-4BED-903F-30CFA12D6CAD}" id="{DA27FF74-0D56-430E-A195-A231862A42F4}">
    <xltc:text>M15 4-4 시작의 대체 후보 1033.0 s (현재 선택/추천 1024.3 s)</xltc:text>
  </xltc:threadedComment>
  <xltc:threadedComment ref="AD54" dT="2026-08-29T20:18:32.994" personId="{5B662E2E-135B-4BED-903F-30CFA12D6CAD}" id="{D9E726A4-8C92-498E-8BF1-716A67EB81F4}">
    <xltc:text>검토 구분: 시간패턴 추천값으로 아직 확정되지 않음 / 전수 후보에는 있으나 RAW 8.5V에는 일치값이 없음 / 5번 코스 지속시간이 예상 범위를 벗어나거나 경계가 누락됨
참가자: S12_KDH
값 출처: 시간패턴 추천(미확정)
RAW 8.5V 일치: 없음
전수 후보 일치: 1089.3 s
M17 5 시작: 1089.3 s
가까운 후보: 1089.3, 1097.0, 1102.5
5번 코스: 269.3 s / 예상 130~230 s / 시간 확인 필요
참가자 특이사항: RSP 마커 누락 및 자동 offset이 탐색 경계(-12초)에 도달 — 수동 검토 필요</xltc:text>
  </xltc:threadedComment>
  <xltc:threadedComment ref="AE53" dT="2026-08-29T20:18:32.995" personId="{5B662E2E-135B-4BED-903F-30CFA12D6CAD}" id="{8049D1A9-2801-4C23-8CD8-94F59479CA38}">
    <xltc:text>M17 5 시작의 대체 후보 1097.0 s (현재 선택/추천 1089.3 s)</xltc:text>
  </xltc:threadedComment>
  <xltc:threadedComment ref="AF53" dT="2026-08-29T20:18:32.995" personId="{5B662E2E-135B-4BED-903F-30CFA12D6CAD}" id="{F43AD8CB-2080-4C5E-8FC3-D8B9B77C010F}">
    <xltc:text>M17 5 시작의 대체 후보 1102.5 s (현재 선택/추천 1089.3 s)</xltc:text>
  </xltc:threadedComment>
  <xltc:threadedComment ref="AG54" dT="2026-08-29T20:18:32.995" personId="{5B662E2E-135B-4BED-903F-30CFA12D6CAD}" id="{B99B0FC4-687F-462A-AA45-D0A36D3E175D}">
    <xltc:text>검토 구분: 시간패턴 추천값으로 아직 확정되지 않음 / 전수 후보에는 있으나 RAW 8.5V에는 일치값이 없음 / 5번 코스 지속시간이 예상 범위를 벗어나거나 경계가 누락됨
참가자: S12_KDH
값 출처: 시간패턴 추천(미확정)
RAW 8.5V 일치: 없음
전수 후보 일치: 1358.6 s
M18 5 종료: 1358.6 s
가까운 후보: 1358.6
5번 코스: 269.3 s / 예상 130~230 s / 시간 확인 필요
참가자 특이사항: RSP 마커 누락 및 자동 offset이 탐색 경계(-12초)에 도달 — 수동 검토 필요</xltc:text>
  </xltc:threadedComment>
  <xltc:threadedComment ref="AI54" dT="2026-08-29T20:18:32.996" personId="{5B662E2E-135B-4BED-903F-30CFA12D6CAD}" id="{138FDFC3-18B5-4525-849A-C112E60D498E}">
    <xltc:text>검토 구분: 시간패턴 추천값으로 아직 확정되지 않음 / 전수 후보에는 있으나 RAW 8.5V에는 일치값이 없음
참가자: S12_KDH
값 출처: 시간패턴 추천(미확정)
RAW 8.5V 일치: 없음
전수 후보 일치: 1416.6 s
M19 6 시작: 1416.6 s
가까운 후보: 1416.6
6번 왕복: 29.5 s / 예상 5~70 s / 시간 적합
참가자 특이사항: RSP 마커 누락 및 자동 offset이 탐색 경계(-12초)에 도달 — 수동 검토 필요</xltc:text>
  </xltc:threadedComment>
  <xltc:threadedComment ref="AK54" dT="2026-08-29T20:18:32.996" personId="{5B662E2E-135B-4BED-903F-30CFA12D6CAD}" id="{5DF6F12B-A15A-443B-88F2-F9480FD3C7AF}">
    <xltc:text>검토 구분: 시간패턴 추천값으로 아직 확정되지 않음 / 전수 후보에는 있으나 RAW 8.5V에는 일치값이 없음
참가자: S12_KDH
값 출처: 시간패턴 추천(미확정)
RAW 8.5V 일치: 없음
전수 후보 일치: 1446.1 s
M20 6 종료: 1446.1 s
가까운 후보: 1446.1
6번 왕복: 29.5 s / 예상 5~70 s / 시간 적합
참가자 특이사항: RSP 마커 누락 및 자동 offset이 탐색 경계(-12초)에 도달 — 수동 검토 필요</xltc:text>
  </xltc:threadedComment>
  <xltc:threadedComment ref="AM54" dT="2026-08-29T20:18:32.996" personId="{5B662E2E-135B-4BED-903F-30CFA12D6CAD}" id="{8D2094FF-C8B3-429D-B67D-B854AAD749DA}">
    <xltc:text>검토 구분: 시간패턴 추천값으로 아직 확정되지 않음 / 전수 후보에는 있으나 RAW 8.5V에는 일치값이 없음
참가자: S12_KDH
값 출처: 시간패턴 추천(미확정)
RAW 8.5V 일치: 없음
전수 후보 일치: 1488.4 s
M21 7 시작: 1488.4 s
가까운 후보: 1488.4, 1498.6
7번 자유: 10.2 s / 예상 5~70 s / 시간 적합
참가자 특이사항: RSP 마커 누락 및 자동 offset이 탐색 경계(-12초)에 도달 — 수동 검토 필요</xltc:text>
  </xltc:threadedComment>
  <xltc:threadedComment ref="AM53" dT="2026-08-29T20:18:32.996" personId="{5B662E2E-135B-4BED-903F-30CFA12D6CAD}" id="{C8A0B72B-1197-4C70-B098-E6A0E84258E3}">
    <xltc:text>M22 7 종료의 대체 후보 1488.4 s (현재 선택/추천 1498.6 s)</xltc:text>
  </xltc:threadedComment>
  <xltc:threadedComment ref="AO54" dT="2026-08-29T20:18:32.997" personId="{5B662E2E-135B-4BED-903F-30CFA12D6CAD}" id="{54BBA0E3-476D-4F42-8845-9E20EF261A62}">
    <xltc:text>검토 구분: 시간패턴 추천값으로 아직 확정되지 않음 / 전수 후보에는 있으나 RAW 8.5V에는 일치값이 없음
참가자: S12_KDH
값 출처: 시간패턴 추천(미확정)
RAW 8.5V 일치: 없음
전수 후보 일치: 1498.6 s
M22 7 종료: 1498.6 s
가까운 후보: 1498.6, 1488.4
7번 자유: 10.2 s / 예상 5~70 s / 시간 적합
참가자 특이사항: RSP 마커 누락 및 자동 offset이 탐색 경계(-12초)에 도달 — 수동 검토 필요</xltc:text>
  </xltc:threadedComment>
  <xltc:threadedComment ref="AO53" dT="2026-08-29T20:18:32.997" personId="{5B662E2E-135B-4BED-903F-30CFA12D6CAD}" id="{DEB7C336-2B10-4C5A-ACD6-0CE875D87481}">
    <xltc:text>M21 7 시작의 대체 후보 1498.6 s (현재 선택/추천 1488.4 s)</xltc:text>
  </xltc:threadedComment>
  <xltc:threadedComment ref="AA57" dT="2026-08-29T20:18:32.999" personId="{5B662E2E-135B-4BED-903F-30CFA12D6CAD}" id="{39494EFD-E57E-4E77-A1D6-4A819E384E35}">
    <xltc:text>M06 3-1 종료의 대체 후보 643.4 s (현재 선택/추천 656.8 s)</xltc:text>
  </xltc:threadedComment>
  <xltc:threadedComment ref="AB57" dT="2026-08-29T20:18:32.999" personId="{5B662E2E-135B-4BED-903F-30CFA12D6CAD}" id="{151A1566-C20D-4898-AFD8-E226C514A9D8}">
    <xltc:text>M05 3-1 시작의 대체 후보 652.1 s (현재 선택/추천 643.4 s)
M06 3-1 종료의 대체 후보 652.1 s (현재 선택/추천 656.8 s)</xltc:text>
  </xltc:threadedComment>
  <xltc:threadedComment ref="AC58" dT="2026-08-29T20:18:32.999" personId="{5B662E2E-135B-4BED-903F-30CFA12D6CAD}" id="{884ACBEE-9848-4902-98DF-6AD9EDF555F2}">
    <xltc:text>검토 구분: 같은 경계에 가까운 대체 후보가 둘 이상 있음
참가자: S13_KTW
값 출처: $2 최종 선택
RAW 8.5V 일치: 658.3 s
전수 후보 일치: 656.8 s
M06 3-1 종료: 656.8 s
가까운 후보: 656.8, 652.1, 643.4
3번 픽업-1: 13.4 s / 예상 5~90 s / 시간 적합
참가자 특이사항: 자동 후보를 RSP 돌출·레이더 움직임·실험 순서로 수동 보정</xltc:text>
  </xltc:threadedComment>
  <xltc:threadedComment ref="AC57" dT="2026-08-29T20:18:32.999" personId="{5B662E2E-135B-4BED-903F-30CFA12D6CAD}" id="{8B8D7365-49B5-4F66-9BDE-6F62204006A0}">
    <xltc:text>M05 3-1 시작의 대체 후보 656.8 s (현재 선택/추천 643.4 s)</xltc:text>
  </xltc:threadedComment>
  <xltc:threadedComment ref="AE57" dT="2026-08-29T20:18:32.999" personId="{5B662E2E-135B-4BED-903F-30CFA12D6CAD}" id="{9C53AA58-00AE-41DE-9E9E-544F918F8F67}">
    <xltc:text>M08 3-2 종료의 대체 후보 680.7 s (현재 선택/추천 684.9 s)</xltc:text>
  </xltc:threadedComment>
  <xltc:threadedComment ref="AF58" dT="2026-08-29T20:18:32.999" personId="{5B662E2E-135B-4BED-903F-30CFA12D6CAD}" id="{FEF4BD08-92F0-4E25-AD00-B9482E64A605}">
    <xltc:text>검토 구분: 선택값이 RAW 8.5V 및 전수 후보와 ±2초 이내에서 일치하지 않음 / 같은 경계에 가까운 대체 후보가 둘 이상 있음
참가자: S13_KTW
값 출처: $2 최종 선택
RAW 8.5V 일치: 없음
전수 후보 일치: 없음
M08 3-2 종료: 684.9 s
가까운 후보: 688.2, 680.7
3번 픽업-2: 9.4 s / 예상 5~90 s / 시간 적합
참가자 특이사항: 자동 후보를 RSP 돌출·레이더 움직임·실험 순서로 수동 보정</xltc:text>
  </xltc:threadedComment>
  <xltc:threadedComment ref="AG57" dT="2026-08-29T20:18:32.999" personId="{5B662E2E-135B-4BED-903F-30CFA12D6CAD}" id="{6C5E5E5C-2FF1-4342-99CD-63BCF90DAFEB}">
    <xltc:text>M07 3-2 시작의 대체 후보 688.2 s (현재 선택/추천 675.5 s)</xltc:text>
  </xltc:threadedComment>
  <xltc:threadedComment ref="AI58" dT="2026-08-29T20:18:33" personId="{5B662E2E-135B-4BED-903F-30CFA12D6CAD}" id="{DB70CCD6-8214-4934-A926-578FBA7E653D}">
    <xltc:text>검토 구분: 선택값이 RAW 8.5V 및 전수 후보와 ±2초 이내에서 일치하지 않음 / 4번 낙상-즉시 지속시간이 예상 범위를 벗어나거나 경계가 누락됨
참가자: S13_KTW
값 출처: $2 최종 선택
RAW 8.5V 일치: 없음
전수 후보 일치: 없음
M09 4-1 시작: 699.2 s
가까운 후보: 688.2
4번 낙상-즉시: 43.8 s / 예상 5~30 s / 시간 확인 필요
참가자 특이사항: 자동 후보를 RSP 돌출·레이더 움직임·실험 순서로 수동 보정</xltc:text>
  </xltc:threadedComment>
  <xltc:threadedComment ref="AK57" dT="2026-08-29T20:18:33" personId="{5B662E2E-135B-4BED-903F-30CFA12D6CAD}" id="{DF2F053C-E5BD-4902-826F-97BBCFBD154E}">
    <xltc:text>M10 4-1 종료의 대체 후보 733.4 s (현재 선택/추천 743.0 s)</xltc:text>
  </xltc:threadedComment>
  <xltc:threadedComment ref="AL58" dT="2026-08-29T20:18:33" personId="{5B662E2E-135B-4BED-903F-30CFA12D6CAD}" id="{F3A01472-EA35-40A6-BA49-6EE396A078C7}">
    <xltc:text>검토 구분: 4번 낙상-즉시 지속시간이 예상 범위를 벗어나거나 경계가 누락됨
참가자: S13_KTW
값 출처: $2 최종 선택
RAW 8.5V 일치: 741.4 s
전수 후보 일치: 742.1 s
M10 4-1 종료: 743.0 s
가까운 후보: 742.1, 733.4, 756.9
4번 낙상-즉시: 43.8 s / 예상 5~30 s / 시간 확인 필요
참가자 특이사항: 자동 후보를 RSP 돌출·레이더 움직임·실험 순서로 수동 보정</xltc:text>
  </xltc:threadedComment>
  <xltc:threadedComment ref="AM57" dT="2026-08-29T20:18:33.001" personId="{5B662E2E-135B-4BED-903F-30CFA12D6CAD}" id="{9F0FDBA3-D788-413F-8C76-A13975591502}">
    <xltc:text>M10 4-1 종료의 대체 후보 756.9 s (현재 선택/추천 743.0 s)</xltc:text>
  </xltc:threadedComment>
  <xltc:threadedComment ref="AR57" dT="2026-08-29T20:18:33.001" personId="{5B662E2E-135B-4BED-903F-30CFA12D6CAD}" id="{2E747120-55C6-4DD0-909F-478B7FED1EC8}">
    <xltc:text>M13 4-3 시작의 대체 후보 818.2 s (현재 선택/추천 813.2 s)</xltc:text>
  </xltc:threadedComment>
  <xltc:threadedComment ref="AT57" dT="2026-08-29T20:18:33.001" personId="{5B662E2E-135B-4BED-903F-30CFA12D6CAD}" id="{9959C332-9814-4F69-ABE3-0C646513C36C}">
    <xltc:text>M14 4-3 종료의 대체 후보 857.8 s (현재 선택/추천 864.7 s)</xltc:text>
  </xltc:threadedComment>
  <xltc:threadedComment ref="AV58" dT="2026-08-29T20:18:33.002" personId="{5B662E2E-135B-4BED-903F-30CFA12D6CAD}" id="{8357A196-021E-4BAB-B53C-F86FBAB83F7E}">
    <xltc:text>검토 구분: 선택값이 RAW 8.5V 및 전수 후보와 ±2초 이내에서 일치하지 않음
참가자: S13_KTW
값 출처: $2 최종 선택
RAW 8.5V 일치: 없음
전수 후보 일치: 없음
M14 4-3 종료: 864.7 s
가까운 후보: 861.9, 857.8, 872.4
4번 낙상-천천히: 51.5 s / 예상 25~90 s / 시간 적합
참가자 특이사항: 자동 후보를 RSP 돌출·레이더 움직임·실험 순서로 수동 보정</xltc:text>
  </xltc:threadedComment>
  <xltc:threadedComment ref="AW58" dT="2026-08-29T20:18:33.002" personId="{5B662E2E-135B-4BED-903F-30CFA12D6CAD}" id="{D9D98BE7-00DF-49B1-A2E7-4D5F791313E5}">
    <xltc:text>검토 구분: 같은 경계에 가까운 대체 후보가 둘 이상 있음
참가자: S13_KTW
값 출처: $2 최종 선택
RAW 8.5V 일치: 873.9 s
전수 후보 일치: 872.4 s
M15 4-4 시작: 874.3 s
가까운 후보: 872.4, 877.6, 882.2
4번 물건 집기: 12.1 s / 예상 5~40 s / 시간 적합
참가자 특이사항: 자동 후보를 RSP 돌출·레이더 움직임·실험 순서로 수동 보정</xltc:text>
  </xltc:threadedComment>
  <xltc:threadedComment ref="AW57" dT="2026-08-29T20:18:33.002" personId="{5B662E2E-135B-4BED-903F-30CFA12D6CAD}" id="{246491A6-C1B6-43C1-AA08-B8F8955236DC}">
    <xltc:text>M14 4-3 종료의 대체 후보 872.4 s (현재 선택/추천 864.7 s)</xltc:text>
  </xltc:threadedComment>
  <xltc:threadedComment ref="AX57" dT="2026-08-29T20:18:33.002" personId="{5B662E2E-135B-4BED-903F-30CFA12D6CAD}" id="{C9D5AAF6-A767-4579-808C-B126A8B1B6D9}">
    <xltc:text>M15 4-4 시작의 대체 후보 877.6 s (현재 선택/추천 874.3 s)
M16 4-4 종료의 대체 후보 877.6 s (현재 선택/추천 886.4 s)</xltc:text>
  </xltc:threadedComment>
  <xltc:threadedComment ref="AY57" dT="2026-08-29T20:18:33.002" personId="{5B662E2E-135B-4BED-903F-30CFA12D6CAD}" id="{2CBFB10F-E3DE-41B2-AB34-8EE6CACD4993}">
    <xltc:text>M15 4-4 시작의 대체 후보 882.2 s (현재 선택/추천 874.3 s)
M16 4-4 종료의 대체 후보 882.2 s (현재 선택/추천 886.4 s)</xltc:text>
  </xltc:threadedComment>
  <xltc:threadedComment ref="AZ58" dT="2026-08-29T20:18:33.002" personId="{5B662E2E-135B-4BED-903F-30CFA12D6CAD}" id="{54B1E9EC-FF88-4EA5-917B-C50FEA68786A}">
    <xltc:text>검토 구분: 같은 경계에 가까운 대체 후보가 둘 이상 있음
참가자: S13_KTW
값 출처: $2 최종 선택
RAW 8.5V 일치: 888.8 s
전수 후보 일치: 888.2 s
M16 4-4 종료: 886.4 s
가까운 후보: 888.2, 882.2, 877.6
4번 물건 집기: 12.1 s / 예상 5~40 s / 시간 적합
참가자 특이사항: 자동 후보를 RSP 돌출·레이더 움직임·실험 순서로 수동 보정</xltc:text>
  </xltc:threadedComment>
  <xltc:threadedComment ref="BC58" dT="2026-08-29T20:18:33.002" personId="{5B662E2E-135B-4BED-903F-30CFA12D6CAD}" id="{89D156C9-F7DE-4CE4-885B-68E9AE1F8260}">
    <xltc:text>검토 구분: 선택값이 RAW 8.5V 및 전수 후보와 ±2초 이내에서 일치하지 않음
참가자: S13_KTW
값 출처: $2 최종 선택
RAW 8.5V 일치: 없음
전수 후보 일치: 없음
M17 5 시작: 920.5 s
가까운 후보: 917.2
5번 코스: 189.4 s / 예상 130~230 s / 시간 적합
참가자 특이사항: 자동 후보를 RSP 돌출·레이더 움직임·실험 순서로 수동 보정</xltc:text>
  </xltc:threadedComment>
  <xltc:threadedComment ref="BE58" dT="2026-08-29T20:18:33.003" personId="{5B662E2E-135B-4BED-903F-30CFA12D6CAD}" id="{9A306EED-31DF-4E79-8E8C-0ADF6C468CF5}">
    <xltc:text>검토 구분: 선택값이 RAW 8.5V 및 전수 후보와 ±2초 이내에서 일치하지 않음
참가자: S13_KTW
값 출처: $2 최종 선택
RAW 8.5V 일치: 없음
전수 후보 일치: 없음
M19 6 시작: 1129.3 s
가까운 후보: 없음
6번 왕복: 24.0 s / 예상 5~70 s / 시간 적합
참가자 특이사항: 자동 후보를 RSP 돌출·레이더 움직임·실험 순서로 수동 보정</xltc:text>
  </xltc:threadedComment>
  <xltc:threadedComment ref="BJ57" dT="2026-08-29T20:18:33.003" personId="{5B662E2E-135B-4BED-903F-30CFA12D6CAD}" id="{43F5355C-57E0-4607-9F22-DCD5CF0A3025}">
    <xltc:text>M22 7 종료의 대체 후보 1189.9 s (현재 선택/추천 1178.9 s)</xltc:text>
  </xltc:threadedComment>
  <xltc:threadedComment ref="J62" dT="2026-08-29T20:18:33.005" personId="{5B662E2E-135B-4BED-903F-30CFA12D6CAD}" id="{C2EBE3EC-E00D-4E3F-A7D9-4BC358099F21}">
    <xltc:text>검토 구분: 전수 후보에는 있으나 RAW 8.5V에는 일치값이 없음
참가자: S14_MDO
값 출처: $2 최종 선택
RAW 8.5V 일치: 없음
전수 후보 일치: 234.0 s
M03 2 시작: 234.0 s
가까운 후보: 234.0
2번 호흡: 373.5 s / 예상 240~450 s / 시간 적합
참가자 특이사항: 참가자별 임계값 6.5, 후보 24개 중 22개 검증</xltc:text>
  </xltc:threadedComment>
  <xltc:threadedComment ref="M61" dT="2026-08-29T20:18:33.005" personId="{5B662E2E-135B-4BED-903F-30CFA12D6CAD}" id="{2189ADD1-E375-447E-ADFF-1415DD9A176A}">
    <xltc:text>M06 3-1 종료의 대체 후보 636.1 s (현재 선택/추천 649.3 s)</xltc:text>
  </xltc:threadedComment>
  <xltc:threadedComment ref="N61" dT="2026-08-29T20:18:33.006" personId="{5B662E2E-135B-4BED-903F-30CFA12D6CAD}" id="{9FAB2273-256A-42FF-8C63-7630DDF3520D}">
    <xltc:text>M05 3-1 시작의 대체 후보 649.3 s (현재 선택/추천 636.1 s)</xltc:text>
  </xltc:threadedComment>
  <xltc:threadedComment ref="O61" dT="2026-08-29T20:18:33.006" personId="{5B662E2E-135B-4BED-903F-30CFA12D6CAD}" id="{7EDCE4F3-53BD-4A76-8554-D2C7ECD0736B}">
    <xltc:text>M08 3-2 종료의 대체 후보 668.1 s (현재 선택/추천 679.0 s)</xltc:text>
  </xltc:threadedComment>
  <xltc:threadedComment ref="P61" dT="2026-08-29T20:18:33.006" personId="{5B662E2E-135B-4BED-903F-30CFA12D6CAD}" id="{4ACE59C5-349C-4750-921C-91005751AC72}">
    <xltc:text>M07 3-2 시작의 대체 후보 679.0 s (현재 선택/추천 668.1 s)</xltc:text>
  </xltc:threadedComment>
  <xltc:threadedComment ref="Q61" dT="2026-08-29T20:18:33.006" personId="{5B662E2E-135B-4BED-903F-30CFA12D6CAD}" id="{6B3A97B7-1419-452B-9028-2237306F0233}">
    <xltc:text>M10 4-1 종료의 대체 후보 729.1 s (현재 선택/추천 741.4 s)</xltc:text>
  </xltc:threadedComment>
  <xltc:threadedComment ref="R61" dT="2026-08-29T20:18:33.006" personId="{5B662E2E-135B-4BED-903F-30CFA12D6CAD}" id="{89BF72D9-3C37-4271-B9CE-95862E22EF8E}">
    <xltc:text>M09 4-1 시작의 대체 후보 741.4 s (현재 선택/추천 729.1 s)
M11 4-2 시작의 대체 후보 741.4 s (현재 선택/추천 749.5 s)</xltc:text>
  </xltc:threadedComment>
  <xltc:threadedComment ref="S61" dT="2026-08-29T20:18:33.007" personId="{5B662E2E-135B-4BED-903F-30CFA12D6CAD}" id="{7F2E70DD-3ED7-42CD-A38C-C9AB4EE7CE0E}">
    <xltc:text>M10 4-1 종료의 대체 후보 749.5 s (현재 선택/추천 741.4 s)</xltc:text>
  </xltc:threadedComment>
  <xltc:threadedComment ref="T62" dT="2026-08-29T20:18:33.007" personId="{5B662E2E-135B-4BED-903F-30CFA12D6CAD}" id="{9CF5C8DA-837B-4CE2-8964-1A605DCAE7B8}">
    <xltc:text>검토 구분: 같은 경계에 가까운 대체 후보가 둘 이상 있음
참가자: S14_MDO
값 출처: $2 최종 선택
RAW 8.5V 일치: 790.9 s
전수 후보 일치: 790.9 s
M12 4-2 종료: 790.9 s
가까운 후보: 790.9, 795.5, 802.3
4번 낙상-30초 유지: 41.3 s / 예상 25~75 s / 시간 적합
참가자 특이사항: 참가자별 임계값 6.5, 후보 24개 중 22개 검증</xltc:text>
  </xltc:threadedComment>
  <xltc:threadedComment ref="T61" dT="2026-08-29T20:18:33.007" personId="{5B662E2E-135B-4BED-903F-30CFA12D6CAD}" id="{8CB5569A-1D0A-4290-BD2E-31C0D4C3DD81}">
    <xltc:text>M13 4-3 시작의 대체 후보 790.9 s (현재 선택/추천 802.3 s)</xltc:text>
  </xltc:threadedComment>
  <xltc:threadedComment ref="U61" dT="2026-08-29T20:18:33.007" personId="{5B662E2E-135B-4BED-903F-30CFA12D6CAD}" id="{AC0E5265-7EF3-421E-8FD0-E22126EDD58E}">
    <xltc:text>M12 4-2 종료의 대체 후보 795.5 s (현재 선택/추천 790.9 s)
M13 4-3 시작의 대체 후보 795.5 s (현재 선택/추천 802.3 s)</xltc:text>
  </xltc:threadedComment>
  <xltc:threadedComment ref="V61" dT="2026-08-29T20:18:33.007" personId="{5B662E2E-135B-4BED-903F-30CFA12D6CAD}" id="{BD116BF4-2E6C-4B37-BF95-EE7AD7C096FF}">
    <xltc:text>M12 4-2 종료의 대체 후보 802.3 s (현재 선택/추천 790.9 s)</xltc:text>
  </xltc:threadedComment>
  <xltc:threadedComment ref="X62" dT="2026-08-29T20:18:33.007" personId="{5B662E2E-135B-4BED-903F-30CFA12D6CAD}" id="{002BADC3-DE42-467B-A0BE-3BD210B59DF2}">
    <xltc:text>검토 구분: 전수 후보에는 있으나 RAW 8.5V에는 일치값이 없음
참가자: S14_MDO
값 출처: $2 최종 선택
RAW 8.5V 일치: 없음
전수 후보 일치: 860.7 s
M15 4-4 시작: 860.7 s
가까운 후보: 860.7, 867.7
4번 물건 집기: 7.1 s / 예상 5~40 s / 시간 적합
참가자 특이사항: 참가자별 임계값 6.5, 후보 24개 중 22개 검증</xltc:text>
  </xltc:threadedComment>
  <xltc:threadedComment ref="X61" dT="2026-08-29T20:18:33.007" personId="{5B662E2E-135B-4BED-903F-30CFA12D6CAD}" id="{EE4C3954-5E42-4EDD-92ED-3377CE571FEE}">
    <xltc:text>M16 4-4 종료의 대체 후보 860.7 s (현재 선택/추천 867.7 s)</xltc:text>
  </xltc:threadedComment>
  <xltc:threadedComment ref="Y62" dT="2026-08-29T20:18:33.008" personId="{5B662E2E-135B-4BED-903F-30CFA12D6CAD}" id="{AEA8BD9A-7DE8-4A4D-897C-91378D65E93C}">
    <xltc:text>검토 구분: 전수 후보에는 있으나 RAW 8.5V에는 일치값이 없음
참가자: S14_MDO
값 출처: $2 최종 선택
RAW 8.5V 일치: 없음
전수 후보 일치: 867.7 s
M16 4-4 종료: 867.7 s
가까운 후보: 867.7, 860.7
4번 물건 집기: 7.1 s / 예상 5~40 s / 시간 적합
참가자 특이사항: 참가자별 임계값 6.5, 후보 24개 중 22개 검증</xltc:text>
  </xltc:threadedComment>
  <xltc:threadedComment ref="Y61" dT="2026-08-29T20:18:33.008" personId="{5B662E2E-135B-4BED-903F-30CFA12D6CAD}" id="{5FBCA6F5-F258-4BDD-8237-BC73CBE65F20}">
    <xltc:text>M15 4-4 시작의 대체 후보 867.7 s (현재 선택/추천 860.7 s)</xltc:text>
  </xltc:threadedComment>
  <xltc:threadedComment ref="Z62" dT="2026-08-29T20:18:33.008" personId="{5B662E2E-135B-4BED-903F-30CFA12D6CAD}" id="{B0B90604-0C8F-4351-9D67-3893DC99C314}">
    <xltc:text>검토 구분: 전수 후보에는 있으나 RAW 8.5V에는 일치값이 없음
참가자: S14_MDO
값 출처: $2 최종 선택
RAW 8.5V 일치: 없음
전수 후보 일치: 892.4 s
M17 5 시작: 892.4 s
가까운 후보: 892.4
5번 코스: 184.9 s / 예상 130~230 s / 시간 적합
참가자 특이사항: 참가자별 임계값 6.5, 후보 24개 중 22개 검증</xltc:text>
  </xltc:threadedComment>
  <xltc:threadedComment ref="AA62" dT="2026-08-29T20:18:33.008" personId="{5B662E2E-135B-4BED-903F-30CFA12D6CAD}" id="{7F2112AD-2C90-4214-972B-A29205D71C9A}">
    <xltc:text>검토 구분: 전수 후보에는 있으나 RAW 8.5V에는 일치값이 없음
참가자: S14_MDO
값 출처: $2 최종 선택
RAW 8.5V 일치: 없음
전수 후보 일치: 1077.2 s
M18 5 종료: 1077.2 s
가까운 후보: 1077.2, 1089.3
5번 코스: 184.9 s / 예상 130~230 s / 시간 적합
참가자 특이사항: 참가자별 임계값 6.5, 후보 24개 중 22개 검증</xltc:text>
  </xltc:threadedComment>
  <xltc:threadedComment ref="AA61" dT="2026-08-29T20:18:33.008" personId="{5B662E2E-135B-4BED-903F-30CFA12D6CAD}" id="{C9DD672C-B5EA-41C9-A4BF-3E4DD26AD7E4}">
    <xltc:text>M19 6 시작의 대체 후보 1077.2 s (현재 선택/추천 1089.3 s)</xltc:text>
  </xltc:threadedComment>
  <xltc:threadedComment ref="AB61" dT="2026-08-29T20:18:33.009" personId="{5B662E2E-135B-4BED-903F-30CFA12D6CAD}" id="{466A5FA5-FADB-4BF3-9C4F-D431D28F7718}">
    <xltc:text>M18 5 종료의 대체 후보 1089.3 s (현재 선택/추천 1077.2 s)</xltc:text>
  </xltc:threadedComment>
  <xltc:threadedComment ref="AC61" dT="2026-08-29T20:18:33.009" personId="{5B662E2E-135B-4BED-903F-30CFA12D6CAD}" id="{57EB7FF9-A71E-4DAB-806D-58A778697BB1}">
    <xltc:text>M21 7 시작의 대체 후보 1109.7 s (현재 선택/추천 1124.2 s)</xltc:text>
  </xltc:threadedComment>
  <xltc:threadedComment ref="AD62" dT="2026-08-29T20:18:33.009" personId="{5B662E2E-135B-4BED-903F-30CFA12D6CAD}" id="{0458BA1D-8AD6-4DD9-A6F1-289CDBF6C264}">
    <xltc:text>검토 구분: 전수 후보에는 있으나 RAW 8.5V에는 일치값이 없음
참가자: S14_MDO
값 출처: $2 최종 선택
RAW 8.5V 일치: 없음
전수 후보 일치: 1124.2 s
M21 7 시작: 1124.2 s
가까운 후보: 1124.2, 1135.3, 1109.7
7번 자유: 11.1 s / 예상 5~70 s / 시간 적합
참가자 특이사항: 참가자별 임계값 6.5, 후보 24개 중 22개 검증</xltc:text>
  </xltc:threadedComment>
  <xltc:threadedComment ref="AD61" dT="2026-08-29T20:18:33.009" personId="{5B662E2E-135B-4BED-903F-30CFA12D6CAD}" id="{05416A30-E09A-479D-AACA-909B768FBA09}">
    <xltc:text>M20 6 종료의 대체 후보 1124.2 s (현재 선택/추천 1109.7 s)
M22 7 종료의 대체 후보 1124.2 s (현재 선택/추천 1135.3 s)</xltc:text>
  </xltc:threadedComment>
  <xltc:threadedComment ref="AE61" dT="2026-08-29T20:18:33.009" personId="{5B662E2E-135B-4BED-903F-30CFA12D6CAD}" id="{BCECB668-514F-4FCD-B9E2-5E9A4ABF6B91}">
    <xltc:text>M21 7 시작의 대체 후보 1135.3 s (현재 선택/추천 1124.2 s)</xltc:text>
  </xltc:threadedComment>
  <xltc:threadedComment ref="I66" dT="2026-08-29T20:18:33.011" personId="{5B662E2E-135B-4BED-903F-30CFA12D6CAD}" id="{4A36604C-622C-4886-B89D-261AFAF12DEC}">
    <xltc:text>검토 구분: 전수 후보에는 있으나 RAW 8.5V에는 일치값이 없음
참가자: S15_JKH
값 출처: $2 최종 선택
RAW 8.5V 일치: 없음
전수 후보 일치: 199.3 s
M02 1 종료: 199.3 s
가까운 후보: 199.3, 205.9
1번 호흡: 193.8 s / 예상 150~240 s / 시간 적합
참가자 특이사항: 참가자별 임계값 8.0, 후보 29개 중 22개 검증</xltc:text>
  </xltc:threadedComment>
  <xltc:threadedComment ref="J65" dT="2026-08-29T20:18:33.011" personId="{5B662E2E-135B-4BED-903F-30CFA12D6CAD}" id="{7D57AE4E-8BB7-460C-BEFE-8886BDA9FF6C}">
    <xltc:text>M02 1 종료의 대체 후보 205.9 s (현재 선택/추천 199.3 s)</xltc:text>
  </xltc:threadedComment>
  <xltc:threadedComment ref="K65" dT="2026-08-29T20:18:33.011" personId="{5B662E2E-135B-4BED-903F-30CFA12D6CAD}" id="{887B7D94-4D7E-45C1-A963-A1659357E4C8}">
    <xltc:text>M03 2 시작의 대체 후보 225.8 s (현재 선택/추천 234.2 s)</xltc:text>
  </xltc:threadedComment>
  <xltc:threadedComment ref="M66" dT="2026-08-29T20:18:33.011" personId="{5B662E2E-135B-4BED-903F-30CFA12D6CAD}" id="{0D50C6DA-0EBD-4838-BE07-DEC2557B7E66}">
    <xltc:text>검토 구분: 전수 후보에는 있으나 RAW 8.5V에는 일치값이 없음 / 같은 경계에 가까운 대체 후보가 둘 이상 있음
참가자: S15_JKH
값 출처: $2 최종 선택
RAW 8.5V 일치: 없음
전수 후보 일치: 599.2 s
M04 2 종료: 599.2 s
가까운 후보: 599.2, 603.4, 608.2
2번 호흡: 365.0 s / 예상 240~450 s / 시간 적합
참가자 특이사항: 참가자별 임계값 8.0, 후보 29개 중 22개 검증</xltc:text>
  </xltc:threadedComment>
  <xltc:threadedComment ref="N65" dT="2026-08-29T20:18:33.011" personId="{5B662E2E-135B-4BED-903F-30CFA12D6CAD}" id="{4A477825-67E2-4B9C-81CF-E81E0C87FB63}">
    <xltc:text>M04 2 종료의 대체 후보 603.4 s (현재 선택/추천 599.2 s)</xltc:text>
  </xltc:threadedComment>
  <xltc:threadedComment ref="O65" dT="2026-08-29T20:18:33.012" personId="{5B662E2E-135B-4BED-903F-30CFA12D6CAD}" id="{B5730D60-782A-4C20-940E-C31747B583B3}">
    <xltc:text>M04 2 종료의 대체 후보 608.2 s (현재 선택/추천 599.2 s)</xltc:text>
  </xltc:threadedComment>
  <xltc:threadedComment ref="P65" dT="2026-08-29T20:18:33.012" personId="{5B662E2E-135B-4BED-903F-30CFA12D6CAD}" id="{25F59B36-8C18-4441-8F8D-25A4BEAFCC08}">
    <xltc:text>M06 3-1 종료의 대체 후보 631.5 s (현재 선택/추천 642.4 s)</xltc:text>
  </xltc:threadedComment>
  <xltc:threadedComment ref="Q65" dT="2026-08-29T20:18:33.012" personId="{5B662E2E-135B-4BED-903F-30CFA12D6CAD}" id="{B2120DA6-0B0B-4BD5-903E-CFBF723D45FA}">
    <xltc:text>M05 3-1 시작의 대체 후보 642.4 s (현재 선택/추천 631.5 s)</xltc:text>
  </xltc:threadedComment>
  <xltc:threadedComment ref="U65" dT="2026-08-29T20:18:33.013" personId="{5B662E2E-135B-4BED-903F-30CFA12D6CAD}" id="{B7D280F2-886E-4B48-AE19-AA2479207F06}">
    <xltc:text>M11 4-2 시작의 대체 후보 724.8 s (현재 선택/추천 732.9 s)</xltc:text>
  </xltc:threadedComment>
  <xltc:threadedComment ref="V65" dT="2026-08-29T20:18:33.013" personId="{5B662E2E-135B-4BED-903F-30CFA12D6CAD}" id="{C96B1ED5-84B4-4000-AA29-4129E39F9924}">
    <xltc:text>M10 4-1 종료의 대체 후보 732.9 s (현재 선택/추천 724.8 s)</xltc:text>
  </xltc:threadedComment>
  <xltc:threadedComment ref="W65" dT="2026-08-29T20:18:33.013" personId="{5B662E2E-135B-4BED-903F-30CFA12D6CAD}" id="{743236FB-D533-49BD-8AFC-105C36F4F9BE}">
    <xltc:text>M13 4-3 시작의 대체 후보 782.1 s (현재 선택/추천 790.7 s)</xltc:text>
  </xltc:threadedComment>
  <xltc:threadedComment ref="X65" dT="2026-08-29T20:18:33.013" personId="{5B662E2E-135B-4BED-903F-30CFA12D6CAD}" id="{3F6C1C90-668B-4AD5-9E95-77D436B486F1}">
    <xltc:text>M12 4-2 종료의 대체 후보 790.7 s (현재 선택/추천 782.1 s)</xltc:text>
  </xltc:threadedComment>
  <xltc:threadedComment ref="Y65" dT="2026-08-29T20:18:33.013" personId="{5B662E2E-135B-4BED-903F-30CFA12D6CAD}" id="{35E6D46E-797D-419D-961F-023CB41D0438}">
    <xltc:text>M12 4-2 종료의 대체 후보 795.8 s (현재 선택/추천 782.1 s)
M13 4-3 시작의 대체 후보 795.8 s (현재 선택/추천 790.7 s)</xltc:text>
  </xltc:threadedComment>
  <xltc:threadedComment ref="Z65" dT="2026-08-29T20:18:33.013" personId="{5B662E2E-135B-4BED-903F-30CFA12D6CAD}" id="{5FC9AD52-0863-4196-9238-AA4FDFC01F06}">
    <xltc:text>M15 4-4 시작의 대체 후보 836.4 s (현재 선택/추천 849.2 s)</xltc:text>
  </xltc:threadedComment>
  <xltc:threadedComment ref="AA65" dT="2026-08-29T20:18:33.014" personId="{5B662E2E-135B-4BED-903F-30CFA12D6CAD}" id="{2CC3AE8C-4337-40AC-BD1E-A8FAB32B5D31}">
    <xltc:text>M14 4-3 종료의 대체 후보 849.2 s (현재 선택/추천 836.4 s)</xltc:text>
  </xltc:threadedComment>
  <xltc:threadedComment ref="AB65" dT="2026-08-29T20:18:33.014" personId="{5B662E2E-135B-4BED-903F-30CFA12D6CAD}" id="{03427843-9009-40F9-9DE2-F11D6E9FC52A}">
    <xltc:text>M15 4-4 시작의 대체 후보 855.3 s (현재 선택/추천 849.2 s)</xltc:text>
  </xltc:threadedComment>
  <xltc:threadedComment ref="AC65" dT="2026-08-29T20:18:33.014" personId="{5B662E2E-135B-4BED-903F-30CFA12D6CAD}" id="{23773EDB-C4DC-425A-9FAE-C7C54E2503D0}">
    <xltc:text>M16 4-4 종료의 대체 후보 866.9 s (현재 선택/추천 871.5 s)</xltc:text>
  </xltc:threadedComment>
  <xltc:threadedComment ref="AD66" dT="2026-08-29T20:18:33.014" personId="{5B662E2E-135B-4BED-903F-30CFA12D6CAD}" id="{940256EA-3166-4486-A9DE-57A782E1076A}">
    <xltc:text>검토 구분: 같은 경계에 가까운 대체 후보가 둘 이상 있음
참가자: S15_JKH
값 출처: $2 최종 선택
RAW 8.5V 일치: 871.5 s
전수 후보 일치: 871.5 s
M16 4-4 종료: 871.5 s
가까운 후보: 871.5, 866.9
4번 물건 집기: 22.3 s / 예상 5~40 s / 시간 적합
참가자 특이사항: 참가자별 임계값 8.0, 후보 29개 중 22개 검증</xltc:text>
  </xltc:threadedComment>
  <xltc:threadedComment ref="AH65" dT="2026-08-29T20:18:33.015" personId="{5B662E2E-135B-4BED-903F-30CFA12D6CAD}" id="{25E6DFC1-5AB1-4AE4-BB91-6F4A3407186C}">
    <xltc:text>M21 7 시작의 대체 후보 1120.2 s (현재 선택/추천 1134.6 s)</xltc:text>
  </xltc:threadedComment>
  <xltc:threadedComment ref="AI65" dT="2026-08-29T20:18:33.015" personId="{5B662E2E-135B-4BED-903F-30CFA12D6CAD}" id="{B723BD0D-CD33-44C3-A1F9-73774B0E8673}">
    <xltc:text>M20 6 종료의 대체 후보 1134.6 s (현재 선택/추천 1120.2 s)
M22 7 종료의 대체 후보 1134.6 s (현재 선택/추천 1147.9 s)</xltc:text>
  </xltc:threadedComment>
  <xltc:threadedComment ref="AJ65" dT="2026-08-29T20:18:33.015" personId="{5B662E2E-135B-4BED-903F-30CFA12D6CAD}" id="{32563B5C-FF18-4DEE-AD75-F22AE49F2441}">
    <xltc:text>M21 7 시작의 대체 후보 1147.9 s (현재 선택/추천 1134.6 s)</xltc:text>
  </xltc:threadedComment>
  <xltc:threadedComment ref="I69" dT="2026-08-29T20:18:33.016" personId="{5B662E2E-135B-4BED-903F-30CFA12D6CAD}" id="{45591620-40D0-4B1D-8567-F173FD482E2E}">
    <xltc:text>M01 1 시작의 대체 후보 18.7 s (현재 선택/추천 12.9 s)</xltc:text>
  </xltc:threadedComment>
  <xltc:threadedComment ref="K70" dT="2026-08-29T20:18:33.017" personId="{5B662E2E-135B-4BED-903F-30CFA12D6CAD}" id="{E5789758-6754-4732-9283-0A57494F3964}">
    <xltc:text>검토 구분: 2번 호흡 지속시간이 예상 범위를 벗어나거나 경계가 누락됨
참가자: S16_LJH
값 출처: $2 최종 선택
RAW 8.5V 일치: 282.0 s
전수 후보 일치: 282.0 s
M03 2 시작: 282.0 s
가까운 후보: 282.0
2번 호흡: 477.1 s / 예상 240~450 s / 시간 확인 필요
참가자 특이사항: 참가자별 임계값 8.0, 후보 28개 중 22개 검증</xltc:text>
  </xltc:threadedComment>
  <xltc:threadedComment ref="Q70" dT="2026-08-29T20:18:33.017" personId="{5B662E2E-135B-4BED-903F-30CFA12D6CAD}" id="{D352864D-9E73-43D0-83B0-1292C7A0CCC7}">
    <xltc:text>검토 구분: 2번 호흡 지속시간이 예상 범위를 벗어나거나 경계가 누락됨
참가자: S16_LJH
값 출처: $2 최종 선택
RAW 8.5V 일치: 759.1 s
전수 후보 일치: 759.1 s
M04 2 종료: 759.1 s
가까운 후보: 759.1, 771.1
2번 호흡: 477.1 s / 예상 240~450 s / 시간 확인 필요
참가자 특이사항: 참가자별 임계값 8.0, 후보 28개 중 22개 검증</xltc:text>
  </xltc:threadedComment>
  <xltc:threadedComment ref="Q69" dT="2026-08-29T20:18:33.017" personId="{5B662E2E-135B-4BED-903F-30CFA12D6CAD}" id="{B5B749C2-0C15-47B8-99E4-C817AC47DB1B}">
    <xltc:text>M05 3-1 시작의 대체 후보 759.1 s (현재 선택/추천 771.1 s)</xltc:text>
  </xltc:threadedComment>
  <xltc:threadedComment ref="R69" dT="2026-08-29T20:18:33.017" personId="{5B662E2E-135B-4BED-903F-30CFA12D6CAD}" id="{87AE1D15-ECC7-4BBB-ACD1-288994B2BAE5}">
    <xltc:text>M04 2 종료의 대체 후보 771.1 s (현재 선택/추천 759.1 s)
M06 3-1 종료의 대체 후보 771.1 s (현재 선택/추천 780.8 s)</xltc:text>
  </xltc:threadedComment>
  <xltc:threadedComment ref="S69" dT="2026-08-29T20:18:33.018" personId="{5B662E2E-135B-4BED-903F-30CFA12D6CAD}" id="{09DF9903-C497-48B6-A735-B2A31D7F8C19}">
    <xltc:text>M05 3-1 시작의 대체 후보 780.8 s (현재 선택/추천 771.1 s)</xltc:text>
  </xltc:threadedComment>
  <xltc:threadedComment ref="T69" dT="2026-08-29T20:18:33.018" personId="{5B662E2E-135B-4BED-903F-30CFA12D6CAD}" id="{76A738AE-B61A-4841-9824-3782AF9496BE}">
    <xltc:text>M08 3-2 종료의 대체 후보 800.3 s (현재 선택/추천 814.1 s)</xltc:text>
  </xltc:threadedComment>
  <xltc:threadedComment ref="U69" dT="2026-08-29T20:18:33.018" personId="{5B662E2E-135B-4BED-903F-30CFA12D6CAD}" id="{0CF05571-410D-4330-9E8D-42EF5A89B2C5}">
    <xltc:text>M07 3-2 시작의 대체 후보 814.1 s (현재 선택/추천 800.3 s)</xltc:text>
  </xltc:threadedComment>
  <xltc:threadedComment ref="W69" dT="2026-08-29T20:18:33.018" personId="{5B662E2E-135B-4BED-903F-30CFA12D6CAD}" id="{028B5DA9-72D8-43BA-AFA3-DE6379AE49FD}">
    <xltc:text>M11 4-2 시작의 대체 후보 945.2 s (현재 선택/추천 956.2 s)</xltc:text>
  </xltc:threadedComment>
  <xltc:threadedComment ref="X69" dT="2026-08-29T20:18:33.019" personId="{5B662E2E-135B-4BED-903F-30CFA12D6CAD}" id="{3F474ED0-BEB1-4DC1-A02B-EC720930F207}">
    <xltc:text>M10 4-1 종료의 대체 후보 956.2 s (현재 선택/추천 945.2 s)</xltc:text>
  </xltc:threadedComment>
  <xltc:threadedComment ref="Y70" dT="2026-08-29T20:18:33.019" personId="{5B662E2E-135B-4BED-903F-30CFA12D6CAD}" id="{FD2BBF92-9470-4055-9A97-783547975B93}">
    <xltc:text>검토 구분: 전수 후보에는 있으나 RAW 8.5V에는 일치값이 없음
참가자: S16_LJH
값 출처: $2 최종 선택
RAW 8.5V 일치: 없음
전수 후보 일치: 1004.2 s
M12 4-2 종료: 1004.2 s
가까운 후보: 1004.2, 1017.0
4번 낙상-30초 유지: 48.0 s / 예상 25~75 s / 시간 적합
참가자 특이사항: 참가자별 임계값 8.0, 후보 28개 중 22개 검증</xltc:text>
  </xltc:threadedComment>
  <xltc:threadedComment ref="Y69" dT="2026-08-29T20:18:33.019" personId="{5B662E2E-135B-4BED-903F-30CFA12D6CAD}" id="{08B9E056-EFA9-45C7-A5A3-9AABFF89E717}">
    <xltc:text>M13 4-3 시작의 대체 후보 1004.2 s (현재 선택/추천 1017.0 s)</xltc:text>
  </xltc:threadedComment>
  <xltc:threadedComment ref="Z70" dT="2026-08-29T20:18:33.019" personId="{5B662E2E-135B-4BED-903F-30CFA12D6CAD}" id="{EB4D9218-E806-4EB2-B566-6C06D8C17996}">
    <xltc:text>검토 구분: 전수 후보에는 있으나 RAW 8.5V에는 일치값이 없음
참가자: S16_LJH
값 출처: $2 최종 선택
RAW 8.5V 일치: 없음
전수 후보 일치: 1017.0 s
M13 4-3 시작: 1017.0 s
가까운 후보: 1017.0, 1004.2
4번 낙상-천천히: 45.3 s / 예상 25~90 s / 시간 적합
참가자 특이사항: 참가자별 임계값 8.0, 후보 28개 중 22개 검증</xltc:text>
  </xltc:threadedComment>
  <xltc:threadedComment ref="Z69" dT="2026-08-29T20:18:33.019" personId="{5B662E2E-135B-4BED-903F-30CFA12D6CAD}" id="{5A5FFC52-ED91-4906-8FE0-53401F730735}">
    <xltc:text>M12 4-2 종료의 대체 후보 1017.0 s (현재 선택/추천 1004.2 s)</xltc:text>
  </xltc:threadedComment>
  <xltc:threadedComment ref="AB69" dT="2026-08-29T20:18:33.019" personId="{5B662E2E-135B-4BED-903F-30CFA12D6CAD}" id="{FA2547D8-ACF8-49E9-A66C-C4988F41B655}">
    <xltc:text>M16 4-4 종료의 대체 후보 1077.6 s (현재 선택/추천 1089.0 s)</xltc:text>
  </xltc:threadedComment>
  <xltc:threadedComment ref="AC69" dT="2026-08-29T20:18:33.02" personId="{5B662E2E-135B-4BED-903F-30CFA12D6CAD}" id="{3B33FF3E-8DAC-4DEF-9F0B-D5A47C043F0E}">
    <xltc:text>M15 4-4 시작의 대체 후보 1089.0 s (현재 선택/추천 1077.6 s)</xltc:text>
  </xltc:threadedComment>
  <xltc:threadedComment ref="H74" dT="2026-08-29T20:18:33.022" personId="{5B662E2E-135B-4BED-903F-30CFA12D6CAD}" id="{BC5CB81C-A30B-4176-B826-E907917C1C71}">
    <xltc:text>검토 구분: 전수 후보에는 있으나 RAW 8.5V에는 일치값이 없음
참가자: S17_RJS
값 출처: $2 최종 선택
RAW 8.5V 일치: 없음
전수 후보 일치: 15.9 s
M01 1 시작: 15.9 s
가까운 후보: 15.9
1번 호흡: 193.9 s / 예상 150~240 s / 시간 적합
참가자 특이사항: 참가자별 임계값 7.0, 후보 24개 중 22개 검증</xltc:text>
  </xltc:threadedComment>
  <xltc:threadedComment ref="J74" dT="2026-08-29T20:18:33.022" personId="{5B662E2E-135B-4BED-903F-30CFA12D6CAD}" id="{2DD2272F-A4C0-4063-B31F-CF06B815CF95}">
    <xltc:text>검토 구분: 전수 후보에는 있으나 RAW 8.5V에는 일치값이 없음
참가자: S17_RJS
값 출처: $2 최종 선택
RAW 8.5V 일치: 없음
전수 후보 일치: 209.8 s
M02 1 종료: 209.8 s
가까운 후보: 209.8
1번 호흡: 193.9 s / 예상 150~240 s / 시간 적합
참가자 특이사항: 참가자별 임계값 7.0, 후보 24개 중 22개 검증</xltc:text>
  </xltc:threadedComment>
  <xltc:threadedComment ref="L73" dT="2026-08-29T20:18:33.022" personId="{5B662E2E-135B-4BED-903F-30CFA12D6CAD}" id="{CC492E1B-8A61-49D1-884A-F25120E9F2B8}">
    <xltc:text>M03 2 시작의 대체 후보 227.9 s (현재 선택/추천 232.9 s)</xltc:text>
  </xltc:threadedComment>
  <xltc:threadedComment ref="M74" dT="2026-08-29T20:18:33.023" personId="{5B662E2E-135B-4BED-903F-30CFA12D6CAD}" id="{A6C4212F-DBDF-4BB4-9BA8-1F5D61E7C0D8}">
    <xltc:text>검토 구분: 전수 후보에는 있으나 RAW 8.5V에는 일치값이 없음
참가자: S17_RJS
값 출처: $2 최종 선택
RAW 8.5V 일치: 없음
전수 후보 일치: 232.9 s
M03 2 시작: 232.9 s
가까운 후보: 232.9, 227.9
2번 호흡: 371.4 s / 예상 240~450 s / 시간 적합
참가자 특이사항: 참가자별 임계값 7.0, 후보 24개 중 22개 검증</xltc:text>
  </xltc:threadedComment>
  <xltc:threadedComment ref="P74" dT="2026-08-29T20:18:33.023" personId="{5B662E2E-135B-4BED-903F-30CFA12D6CAD}" id="{62AB540A-7260-490D-B3A3-FB554E3E5A17}">
    <xltc:text>검토 구분: 전수 후보에는 있으나 RAW 8.5V에는 일치값이 없음
참가자: S17_RJS
값 출처: $2 최종 선택
RAW 8.5V 일치: 없음
전수 후보 일치: 604.3 s
M04 2 종료: 604.3 s
가까운 후보: 604.3
2번 호흡: 371.4 s / 예상 240~450 s / 시간 적합
참가자 특이사항: 참가자별 임계값 7.0, 후보 24개 중 22개 검증</xltc:text>
  </xltc:threadedComment>
  <xltc:threadedComment ref="R74" dT="2026-08-29T20:18:33.023" personId="{5B662E2E-135B-4BED-903F-30CFA12D6CAD}" id="{9C252F5F-4426-4012-8F75-25B790EBDF09}">
    <xltc:text>검토 구분: 전수 후보에는 있으나 RAW 8.5V에는 일치값이 없음
참가자: S17_RJS
값 출처: $2 최종 선택
RAW 8.5V 일치: 없음
전수 후보 일치: 663.2 s
M05 3-1 시작: 663.2 s
가까운 후보: 663.2, 676.8
3번 픽업-1: 13.6 s / 예상 5~90 s / 시간 적합
참가자 특이사항: 참가자별 임계값 7.0, 후보 24개 중 22개 검증</xltc:text>
  </xltc:threadedComment>
  <xltc:threadedComment ref="R73" dT="2026-08-29T20:18:33.023" personId="{5B662E2E-135B-4BED-903F-30CFA12D6CAD}" id="{E28B99A1-16AC-4376-A72D-D9212254E600}">
    <xltc:text>M06 3-1 종료의 대체 후보 663.2 s (현재 선택/추천 676.8 s)</xltc:text>
  </xltc:threadedComment>
  <xltc:threadedComment ref="T74" dT="2026-08-29T20:18:33.023" personId="{5B662E2E-135B-4BED-903F-30CFA12D6CAD}" id="{35975225-ED3B-4411-8B56-B6F810488BA9}">
    <xltc:text>검토 구분: 전수 후보에는 있으나 RAW 8.5V에는 일치값이 없음
참가자: S17_RJS
값 출처: $2 최종 선택
RAW 8.5V 일치: 없음
전수 후보 일치: 676.8 s
M06 3-1 종료: 676.8 s
가까운 후보: 676.8, 663.2
3번 픽업-1: 13.6 s / 예상 5~90 s / 시간 적합
참가자 특이사항: 참가자별 임계값 7.0, 후보 24개 중 22개 검증</xltc:text>
  </xltc:threadedComment>
  <xltc:threadedComment ref="T73" dT="2026-08-29T20:18:33.023" personId="{5B662E2E-135B-4BED-903F-30CFA12D6CAD}" id="{4E22151A-344C-4DFD-820B-10EB9E95B232}">
    <xltc:text>M05 3-1 시작의 대체 후보 676.8 s (현재 선택/추천 663.2 s)</xltc:text>
  </xltc:threadedComment>
  <xltc:threadedComment ref="V74" dT="2026-08-29T20:18:33.023" personId="{5B662E2E-135B-4BED-903F-30CFA12D6CAD}" id="{5559B8D2-46F6-4243-A614-390DB794169E}">
    <xltc:text>검토 구분: 전수 후보에는 있으나 RAW 8.5V에는 일치값이 없음
참가자: S17_RJS
값 출처: $2 최종 선택
RAW 8.5V 일치: 없음
전수 후보 일치: 692.6 s
M07 3-2 시작: 692.6 s
가까운 후보: 692.6, 705.4
3번 픽업-2: 12.8 s / 예상 5~90 s / 시간 적합
참가자 특이사항: 참가자별 임계값 7.0, 후보 24개 중 22개 검증</xltc:text>
  </xltc:threadedComment>
  <xltc:threadedComment ref="V73" dT="2026-08-29T20:18:33.023" personId="{5B662E2E-135B-4BED-903F-30CFA12D6CAD}" id="{D1494C15-1A21-4668-814E-9D22A273E8D6}">
    <xltc:text>M08 3-2 종료의 대체 후보 692.6 s (현재 선택/추천 705.4 s)</xltc:text>
  </xltc:threadedComment>
  <xltc:threadedComment ref="X74" dT="2026-08-29T20:18:33.024" personId="{5B662E2E-135B-4BED-903F-30CFA12D6CAD}" id="{3E05DE15-615C-475D-A838-D7E0E77466AC}">
    <xltc:text>검토 구분: 전수 후보에는 있으나 RAW 8.5V에는 일치값이 없음
참가자: S17_RJS
값 출처: $2 최종 선택
RAW 8.5V 일치: 없음
전수 후보 일치: 705.4 s
M08 3-2 종료: 705.4 s
가까운 후보: 705.4, 692.6
3번 픽업-2: 12.8 s / 예상 5~90 s / 시간 적합
참가자 특이사항: 참가자별 임계값 7.0, 후보 24개 중 22개 검증</xltc:text>
  </xltc:threadedComment>
  <xltc:threadedComment ref="X73" dT="2026-08-29T20:18:33.024" personId="{5B662E2E-135B-4BED-903F-30CFA12D6CAD}" id="{3120DFB7-8FD8-4F2D-924C-DFDB244AD691}">
    <xltc:text>M07 3-2 시작의 대체 후보 705.4 s (현재 선택/추천 692.6 s)</xltc:text>
  </xltc:threadedComment>
  <xltc:threadedComment ref="Z74" dT="2026-08-29T20:18:33.024" personId="{5B662E2E-135B-4BED-903F-30CFA12D6CAD}" id="{022B184E-F756-4A5B-B583-28400741411B}">
    <xltc:text>검토 구분: 전수 후보에는 있으나 RAW 8.5V에는 일치값이 없음
참가자: S17_RJS
값 출처: $2 최종 선택
RAW 8.5V 일치: 없음
전수 후보 일치: 756.3 s
M09 4-1 시작: 756.3 s
가까운 후보: 756.3, 770.6
4번 낙상-즉시: 14.3 s / 예상 5~30 s / 시간 적합
참가자 특이사항: 참가자별 임계값 7.0, 후보 24개 중 22개 검증</xltc:text>
  </xltc:threadedComment>
  <xltc:threadedComment ref="Z73" dT="2026-08-29T20:18:33.024" personId="{5B662E2E-135B-4BED-903F-30CFA12D6CAD}" id="{9A14582B-1004-4EAB-A555-7107E38C9B96}">
    <xltc:text>M10 4-1 종료의 대체 후보 756.3 s (현재 선택/추천 770.6 s)</xltc:text>
  </xltc:threadedComment>
  <xltc:threadedComment ref="AB74" dT="2026-08-29T20:18:33.024" personId="{5B662E2E-135B-4BED-903F-30CFA12D6CAD}" id="{1E91ACF7-C43E-45B8-9656-97EA7E9B969E}">
    <xltc:text>검토 구분: 전수 후보에는 있으나 RAW 8.5V에는 일치값이 없음
참가자: S17_RJS
값 출처: $2 최종 선택
RAW 8.5V 일치: 없음
전수 후보 일치: 770.6 s
M10 4-1 종료: 770.6 s
가까운 후보: 770.6, 782.4, 756.3
4번 낙상-즉시: 14.3 s / 예상 5~30 s / 시간 적합
참가자 특이사항: 참가자별 임계값 7.0, 후보 24개 중 22개 검증</xltc:text>
  </xltc:threadedComment>
  <xltc:threadedComment ref="AB73" dT="2026-08-29T20:18:33.024" personId="{5B662E2E-135B-4BED-903F-30CFA12D6CAD}" id="{6F7738E0-1FFD-431C-BF14-71E7FE3A2907}">
    <xltc:text>M09 4-1 시작의 대체 후보 770.6 s (현재 선택/추천 756.3 s)
M11 4-2 시작의 대체 후보 770.6 s (현재 선택/추천 782.4 s)</xltc:text>
  </xltc:threadedComment>
  <xltc:threadedComment ref="AC74" dT="2026-08-29T20:18:33.024" personId="{5B662E2E-135B-4BED-903F-30CFA12D6CAD}" id="{B2999B80-83F3-47CC-92A1-7DBFD6C26C00}">
    <xltc:text>검토 구분: 전수 후보에는 있으나 RAW 8.5V에는 일치값이 없음
참가자: S17_RJS
값 출처: $2 최종 선택
RAW 8.5V 일치: 없음
전수 후보 일치: 782.4 s
M11 4-2 시작: 782.4 s
가까운 후보: 782.4, 770.6
4번 낙상-30초 유지: 45.7 s / 예상 25~75 s / 시간 적합
참가자 특이사항: 참가자별 임계값 7.0, 후보 24개 중 22개 검증</xltc:text>
  </xltc:threadedComment>
  <xltc:threadedComment ref="AC73" dT="2026-08-29T20:18:33.024" personId="{5B662E2E-135B-4BED-903F-30CFA12D6CAD}" id="{790F8966-FA2B-4C99-BAD8-8252362BDEC3}">
    <xltc:text>M10 4-1 종료의 대체 후보 782.4 s (현재 선택/추천 770.6 s)</xltc:text>
  </xltc:threadedComment>
  <xltc:threadedComment ref="AE74" dT="2026-08-29T20:18:33.025" personId="{5B662E2E-135B-4BED-903F-30CFA12D6CAD}" id="{4E28D2A4-6CBC-423D-A85D-F3EDC7764FC0}">
    <xltc:text>검토 구분: 전수 후보에는 있으나 RAW 8.5V에는 일치값이 없음
참가자: S17_RJS
값 출처: $2 최종 선택
RAW 8.5V 일치: 없음
전수 후보 일치: 828.1 s
M12 4-2 종료: 828.1 s
가까운 후보: 828.1, 842.7
4번 낙상-30초 유지: 45.7 s / 예상 25~75 s / 시간 적합
참가자 특이사항: 참가자별 임계값 7.0, 후보 24개 중 22개 검증</xltc:text>
  </xltc:threadedComment>
  <xltc:threadedComment ref="AE73" dT="2026-08-29T20:18:33.025" personId="{5B662E2E-135B-4BED-903F-30CFA12D6CAD}" id="{A9241646-0466-4F91-BD3E-D1043CC8503B}">
    <xltc:text>M13 4-3 시작의 대체 후보 828.1 s (현재 선택/추천 842.7 s)</xltc:text>
  </xltc:threadedComment>
  <xltc:threadedComment ref="AF74" dT="2026-08-29T20:18:33.025" personId="{5B662E2E-135B-4BED-903F-30CFA12D6CAD}" id="{25C8C143-71CA-4E3A-A759-08F5A1AFC642}">
    <xltc:text>검토 구분: 전수 후보에는 있으나 RAW 8.5V에는 일치값이 없음
참가자: S17_RJS
값 출처: $2 최종 선택
RAW 8.5V 일치: 없음
전수 후보 일치: 842.7 s
M13 4-3 시작: 842.7 s
가까운 후보: 842.7, 828.1
4번 낙상-천천히: 49.8 s / 예상 25~90 s / 시간 적합
참가자 특이사항: 참가자별 임계값 7.0, 후보 24개 중 22개 검증</xltc:text>
  </xltc:threadedComment>
  <xltc:threadedComment ref="AF73" dT="2026-08-29T20:18:33.025" personId="{5B662E2E-135B-4BED-903F-30CFA12D6CAD}" id="{31A2CFEB-55D6-4F7F-9E36-AC1062F14BA6}">
    <xltc:text>M12 4-2 종료의 대체 후보 842.7 s (현재 선택/추천 828.1 s)</xltc:text>
  </xltc:threadedComment>
  <xltc:threadedComment ref="AH74" dT="2026-08-29T20:18:33.025" personId="{5B662E2E-135B-4BED-903F-30CFA12D6CAD}" id="{4D911FD2-E9AD-4320-A799-2487D7824C20}">
    <xltc:text>검토 구분: 전수 후보에는 있으나 RAW 8.5V에는 일치값이 없음
참가자: S17_RJS
값 출처: $2 최종 선택
RAW 8.5V 일치: 없음
전수 후보 일치: 892.4 s
M14 4-3 종료: 892.4 s
가까운 후보: 892.4
4번 낙상-천천히: 49.8 s / 예상 25~90 s / 시간 적합
참가자 특이사항: 참가자별 임계값 7.0, 후보 24개 중 22개 검증</xltc:text>
  </xltc:threadedComment>
  <xltc:threadedComment ref="AI74" dT="2026-08-29T20:18:33.025" personId="{5B662E2E-135B-4BED-903F-30CFA12D6CAD}" id="{2CF6A51A-1BA9-47FA-8715-DDFB6722F745}">
    <xltc:text>검토 구분: 전수 후보에는 있으나 RAW 8.5V에는 일치값이 없음
참가자: S17_RJS
값 출처: $2 최종 선택
RAW 8.5V 일치: 없음
전수 후보 일치: 910.9 s
M15 4-4 시작: 910.9 s
가까운 후보: 910.9, 923.9
4번 물건 집기: 13.0 s / 예상 5~40 s / 시간 적합
참가자 특이사항: 참가자별 임계값 7.0, 후보 24개 중 22개 검증</xltc:text>
  </xltc:threadedComment>
  <xltc:threadedComment ref="AI73" dT="2026-08-29T20:18:33.025" personId="{5B662E2E-135B-4BED-903F-30CFA12D6CAD}" id="{F465563B-F3F5-4230-A3FE-BCFABF282459}">
    <xltc:text>M16 4-4 종료의 대체 후보 910.9 s (현재 선택/추천 923.9 s)</xltc:text>
  </xltc:threadedComment>
  <xltc:threadedComment ref="AK74" dT="2026-08-29T20:18:33.026" personId="{5B662E2E-135B-4BED-903F-30CFA12D6CAD}" id="{60F13D1E-E9D4-43FA-88EA-0A64162D4D26}">
    <xltc:text>검토 구분: 전수 후보에는 있으나 RAW 8.5V에는 일치값이 없음
참가자: S17_RJS
값 출처: $2 최종 선택
RAW 8.5V 일치: 없음
전수 후보 일치: 923.9 s
M16 4-4 종료: 923.9 s
가까운 후보: 923.9, 910.9
4번 물건 집기: 13.0 s / 예상 5~40 s / 시간 적합
참가자 특이사항: 참가자별 임계값 7.0, 후보 24개 중 22개 검증</xltc:text>
  </xltc:threadedComment>
  <xltc:threadedComment ref="AK73" dT="2026-08-29T20:18:33.026" personId="{5B662E2E-135B-4BED-903F-30CFA12D6CAD}" id="{8789BAC3-78C5-427D-B2D8-32262D4E18B4}">
    <xltc:text>M15 4-4 시작의 대체 후보 923.9 s (현재 선택/추천 910.9 s)</xltc:text>
  </xltc:threadedComment>
  <xltc:threadedComment ref="AL74" dT="2026-08-29T20:18:33.026" personId="{5B662E2E-135B-4BED-903F-30CFA12D6CAD}" id="{AA52A28B-1319-4391-A5CE-B7C84BE2232F}">
    <xltc:text>검토 구분: 전수 후보에는 있으나 RAW 8.5V에는 일치값이 없음
참가자: S17_RJS
값 출처: $2 최종 선택
RAW 8.5V 일치: 없음
전수 후보 일치: 960.8 s
M17 5 시작: 960.8 s
가까운 후보: 960.8
5번 코스: 188.1 s / 예상 130~230 s / 시간 적합
참가자 특이사항: 참가자별 임계값 7.0, 후보 24개 중 22개 검증</xltc:text>
  </xltc:threadedComment>
  <xltc:threadedComment ref="AM74" dT="2026-08-29T20:18:33.026" personId="{5B662E2E-135B-4BED-903F-30CFA12D6CAD}" id="{6CC680B9-803E-4BFE-9E8B-319A1FB656F2}">
    <xltc:text>검토 구분: 전수 후보에는 있으나 RAW 8.5V에는 일치값이 없음
참가자: S17_RJS
값 출처: $2 최종 선택
RAW 8.5V 일치: 없음
전수 후보 일치: 1148.8 s
M18 5 종료: 1148.8 s
가까운 후보: 1148.8
5번 코스: 188.1 s / 예상 130~230 s / 시간 적합
참가자 특이사항: 참가자별 임계값 7.0, 후보 24개 중 22개 검증</xltc:text>
  </xltc:threadedComment>
  <xltc:threadedComment ref="AO74" dT="2026-08-29T20:18:33.026" personId="{5B662E2E-135B-4BED-903F-30CFA12D6CAD}" id="{9E19E68A-91AF-49A9-AA16-FB2D1CE86A7B}">
    <xltc:text>검토 구분: 전수 후보에는 있으나 RAW 8.5V에는 일치값이 없음
참가자: S17_RJS
값 출처: $2 최종 선택
RAW 8.5V 일치: 없음
전수 후보 일치: 1189.4 s
M19 6 시작: 1189.4 s
가까운 후보: 1189.4
6번 왕복: 25.0 s / 예상 5~70 s / 시간 적합
참가자 특이사항: 참가자별 임계값 7.0, 후보 24개 중 22개 검증</xltc:text>
  </xltc:threadedComment>
  <xltc:threadedComment ref="AP74" dT="2026-08-29T20:18:33.027" personId="{5B662E2E-135B-4BED-903F-30CFA12D6CAD}" id="{7E64C677-E709-4ADC-8F32-B01A9AC77A1E}">
    <xltc:text>검토 구분: 전수 후보에는 있으나 RAW 8.5V에는 일치값이 없음
참가자: S17_RJS
값 출처: $2 최종 선택
RAW 8.5V 일치: 없음
전수 후보 일치: 1214.4 s
M20 6 종료: 1214.4 s
가까운 후보: 1214.4
6번 왕복: 25.0 s / 예상 5~70 s / 시간 적합
참가자 특이사항: 참가자별 임계값 7.0, 후보 24개 중 22개 검증</xltc:text>
  </xltc:threadedComment>
  <xltc:threadedComment ref="AQ74" dT="2026-08-29T20:18:33.027" personId="{5B662E2E-135B-4BED-903F-30CFA12D6CAD}" id="{4E7BDFCF-7245-4DCD-846D-2DEF04705CC3}">
    <xltc:text>검토 구분: 전수 후보에는 있으나 RAW 8.5V에는 일치값이 없음
참가자: S17_RJS
값 출처: $2 최종 선택
RAW 8.5V 일치: 없음
전수 후보 일치: 1240.4 s
M21 7 시작: 1240.4 s
가까운 후보: 1240.4, 1253.6
7번 자유: 13.1 s / 예상 5~70 s / 시간 적합
참가자 특이사항: 참가자별 임계값 7.0, 후보 24개 중 22개 검증</xltc:text>
  </xltc:threadedComment>
  <xltc:threadedComment ref="AQ73" dT="2026-08-29T20:18:33.027" personId="{5B662E2E-135B-4BED-903F-30CFA12D6CAD}" id="{8AABF0CA-FA0E-4435-AAFD-DB00E7C3BC92}">
    <xltc:text>M22 7 종료의 대체 후보 1240.4 s (현재 선택/추천 1253.6 s)</xltc:text>
  </xltc:threadedComment>
  <xltc:threadedComment ref="AS74" dT="2026-08-29T20:18:33.027" personId="{5B662E2E-135B-4BED-903F-30CFA12D6CAD}" id="{B45FA8AF-7499-476A-8A1A-3F16CC5BA1A2}">
    <xltc:text>검토 구분: 전수 후보에는 있으나 RAW 8.5V에는 일치값이 없음
참가자: S17_RJS
값 출처: $2 최종 선택
RAW 8.5V 일치: 없음
전수 후보 일치: 1253.6 s
M22 7 종료: 1253.6 s
가까운 후보: 1253.6, 1240.4
7번 자유: 13.1 s / 예상 5~70 s / 시간 적합
참가자 특이사항: 참가자별 임계값 7.0, 후보 24개 중 22개 검증</xltc:text>
  </xltc:threadedComment>
  <xltc:threadedComment ref="AS73" dT="2026-08-29T20:18:33.027" personId="{5B662E2E-135B-4BED-903F-30CFA12D6CAD}" id="{E2B130E7-061D-4DC1-B71A-5E01209004EC}">
    <xltc:text>M21 7 시작의 대체 후보 1253.6 s (현재 선택/추천 1240.4 s)</xltc:text>
  </xltc:threadedComment>
  <xltc:threadedComment ref="P77" dT="2026-08-29T20:18:33.03" personId="{5B662E2E-135B-4BED-903F-30CFA12D6CAD}" id="{BF7522CE-017A-4201-B41A-2C983BA2228C}">
    <xltc:text>M08 3-2 종료의 대체 후보 669.5 s (현재 선택/추천 681.1 s)</xltc:text>
  </xltc:threadedComment>
  <xltc:threadedComment ref="Q77" dT="2026-08-29T20:18:33.03" personId="{5B662E2E-135B-4BED-903F-30CFA12D6CAD}" id="{4C4282E4-72BC-431C-8679-A3606E03E917}">
    <xltc:text>M07 3-2 시작의 대체 후보 681.1 s (현재 선택/추천 669.5 s)</xltc:text>
  </xltc:threadedComment>
  <xltc:threadedComment ref="R77" dT="2026-08-29T20:18:33.03" personId="{5B662E2E-135B-4BED-903F-30CFA12D6CAD}" id="{E14382DD-CDD1-4B38-A203-673DBE40CC93}">
    <xltc:text>M10 4-1 종료의 대체 후보 723.0 s (현재 선택/추천 737.3 s)</xltc:text>
  </xltc:threadedComment>
  <xltc:threadedComment ref="S77" dT="2026-08-29T20:18:33.03" personId="{5B662E2E-135B-4BED-903F-30CFA12D6CAD}" id="{A2F9D248-F60D-49C8-86EE-874675E4E593}">
    <xltc:text>M09 4-1 시작의 대체 후보 737.3 s (현재 선택/추천 723.0 s)
M11 4-2 시작의 대체 후보 737.3 s (현재 선택/추천 746.9 s)</xltc:text>
  </xltc:threadedComment>
  <xltc:threadedComment ref="T77" dT="2026-08-29T20:18:33.03" personId="{5B662E2E-135B-4BED-903F-30CFA12D6CAD}" id="{1940AF6F-A55D-41C3-85AC-3B79B9813C9B}">
    <xltc:text>M10 4-1 종료의 대체 후보 746.9 s (현재 선택/추천 737.3 s)</xltc:text>
  </xltc:threadedComment>
  <xltc:threadedComment ref="U77" dT="2026-08-29T20:18:33.031" personId="{5B662E2E-135B-4BED-903F-30CFA12D6CAD}" id="{5FE8A36A-A75D-45AD-AB41-064545823D81}">
    <xltc:text>M13 4-3 시작의 대체 후보 792.2 s (현재 선택/추천 802.3 s)</xltc:text>
  </xltc:threadedComment>
  <xltc:threadedComment ref="V77" dT="2026-08-29T20:18:33.031" personId="{5B662E2E-135B-4BED-903F-30CFA12D6CAD}" id="{76A2B868-2D4A-4E80-8621-8ABB29D879BA}">
    <xltc:text>M12 4-2 종료의 대체 후보 802.3 s (현재 선택/추천 792.2 s)</xltc:text>
  </xltc:threadedComment>
  <xltc:threadedComment ref="X77" dT="2026-08-29T20:18:33.031" personId="{5B662E2E-135B-4BED-903F-30CFA12D6CAD}" id="{885BDFAD-8069-471B-AD95-5C6142855CE1}">
    <xltc:text>M16 4-4 종료의 대체 후보 863.3 s (현재 선택/추천 874.4 s)</xltc:text>
  </xltc:threadedComment>
  <xltc:threadedComment ref="Y77" dT="2026-08-29T20:18:33.031" personId="{5B662E2E-135B-4BED-903F-30CFA12D6CAD}" id="{9B5EC453-F996-4F0D-A107-7A33EE5D9714}">
    <xltc:text>M15 4-4 시작의 대체 후보 874.4 s (현재 선택/추천 863.3 s)</xltc:text>
  </xltc:threadedComment>
  <xltc:threadedComment ref="AC77" dT="2026-08-29T20:18:33.033" personId="{5B662E2E-135B-4BED-903F-30CFA12D6CAD}" id="{2F3E5A56-96ED-42E0-91D1-0EF5D74E881B}">
    <xltc:text>M21 7 시작의 대체 후보 1127.7 s (현재 선택/추천 1139.9 s)</xltc:text>
  </xltc:threadedComment>
  <xltc:threadedComment ref="AD77" dT="2026-08-29T20:18:33.033" personId="{5B662E2E-135B-4BED-903F-30CFA12D6CAD}" id="{14671CF0-DEB1-4300-A2C9-12D0A0B4DD5D}">
    <xltc:text>M20 6 종료의 대체 후보 1139.9 s (현재 선택/추천 1127.7 s)
M22 7 종료의 대체 후보 1139.9 s (현재 선택/추천 1151.4 s)</xltc:text>
  </xltc:threadedComment>
  <xltc:threadedComment ref="AE77" dT="2026-08-29T20:18:33.034" personId="{5B662E2E-135B-4BED-903F-30CFA12D6CAD}" id="{816F1EDB-6B31-43DF-B7DB-610642FFFC28}">
    <xltc:text>M21 7 시작의 대체 후보 1151.4 s (현재 선택/추천 1139.9 s)</xltc:text>
  </xltc:threadedComment>
  <xltc:threadedComment ref="L81" dT="2026-08-29T20:18:33.035" personId="{5B662E2E-135B-4BED-903F-30CFA12D6CAD}" id="{463B57A6-3416-4EC9-97A4-90EB93E28B7C}">
    <xltc:text>M04 2 종료의 대체 후보 647.5 s (현재 선택/추천 662.1 s)</xltc:text>
  </xltc:threadedComment>
  <xltc:threadedComment ref="M82" dT="2026-08-29T20:18:33.036" personId="{5B662E2E-135B-4BED-903F-30CFA12D6CAD}" id="{DF9E07C6-24AF-4D1C-ACB6-867DB5DBAF7C}">
    <xltc:text>검토 구분: 전수 후보에는 있으나 RAW 8.5V에는 일치값이 없음
참가자: S19_CHW
값 출처: $2 최종 선택
RAW 8.5V 일치: 없음
전수 후보 일치: 662.1 s
M04 2 종료: 662.1 s
가까운 후보: 662.1, 647.5
2번 호흡: 390.0 s / 예상 240~450 s / 시간 적합
참가자 특이사항: 참가자별 임계값 7.0, 후보 25개 중 22개 검증</xltc:text>
  </xltc:threadedComment>
  <xltc:threadedComment ref="P82" dT="2026-08-29T20:18:33.036" personId="{5B662E2E-135B-4BED-903F-30CFA12D6CAD}" id="{B4F8EE0B-7F53-4AF3-A57F-711895A884D7}">
    <xltc:text>검토 구분: 전수 후보에는 있으나 RAW 8.5V에는 일치값이 없음
참가자: S19_CHW
값 출처: $2 최종 선택
RAW 8.5V 일치: 없음
전수 후보 일치: 783.9 s
M06 3-1 종료: 783.9 s
가까운 후보: 783.9
3번 픽업-1: 20.3 s / 예상 5~90 s / 시간 적합
참가자 특이사항: 참가자별 임계값 7.0, 후보 25개 중 22개 검증</xltc:text>
  </xltc:threadedComment>
  <xltc:threadedComment ref="T82" dT="2026-08-29T20:18:33.036" personId="{5B662E2E-135B-4BED-903F-30CFA12D6CAD}" id="{271734CB-2BA2-47EB-B92B-66D018A63CEB}">
    <xltc:text>검토 구분: 전수 후보에는 있으나 RAW 8.5V에는 일치값이 없음
참가자: S19_CHW
값 출처: $2 최종 선택
RAW 8.5V 일치: 없음
전수 후보 일치: 926.8 s
M09 4-1 시작: 926.8 s
가까운 후보: 926.8
4번 낙상-즉시: 27.3 s / 예상 5~30 s / 시간 적합
참가자 특이사항: 참가자별 임계값 7.0, 후보 25개 중 22개 검증</xltc:text>
  </xltc:threadedComment>
  <xltc:threadedComment ref="U81" dT="2026-08-29T20:18:33.036" personId="{5B662E2E-135B-4BED-903F-30CFA12D6CAD}" id="{E551AC7C-515E-4B36-8C98-5419832E3926}">
    <xltc:text>M10 4-1 종료의 대체 후보 944.1 s (현재 선택/추천 954.1 s)</xltc:text>
  </xltc:threadedComment>
  <xltc:threadedComment ref="V82" dT="2026-08-29T20:18:33.037" personId="{5B662E2E-135B-4BED-903F-30CFA12D6CAD}" id="{284FF6E5-7484-475E-B815-6D7A1937DA3E}">
    <xltc:text>검토 구분: 전수 후보에는 있으나 RAW 8.5V에는 일치값이 없음
참가자: S19_CHW
값 출처: $2 최종 선택
RAW 8.5V 일치: 없음
전수 후보 일치: 954.1 s
M10 4-1 종료: 954.1 s
가까운 후보: 954.1, 962.2, 944.1
4번 낙상-즉시: 27.3 s / 예상 5~30 s / 시간 적합
참가자 특이사항: 참가자별 임계값 7.0, 후보 25개 중 22개 검증</xltc:text>
  </xltc:threadedComment>
  <xltc:threadedComment ref="V81" dT="2026-08-29T20:18:33.037" personId="{5B662E2E-135B-4BED-903F-30CFA12D6CAD}" id="{98EE1B6C-62B5-4DCD-8775-6F69637619CC}">
    <xltc:text>M11 4-2 시작의 대체 후보 954.1 s (현재 선택/추천 962.2 s)</xltc:text>
  </xltc:threadedComment>
  <xltc:threadedComment ref="W81" dT="2026-08-29T20:18:33.037" personId="{5B662E2E-135B-4BED-903F-30CFA12D6CAD}" id="{015D932A-5418-447A-820A-FCCFC1EA9C1E}">
    <xltc:text>M10 4-1 종료의 대체 후보 962.2 s (현재 선택/추천 954.1 s)</xltc:text>
  </xltc:threadedComment>
  <xltc:threadedComment ref="X81" dT="2026-08-29T20:18:33.037" personId="{5B662E2E-135B-4BED-903F-30CFA12D6CAD}" id="{081A96AC-2E8C-45C2-952B-B9017F8B64A8}">
    <xltc:text>M13 4-3 시작의 대체 후보 1009.6 s (현재 선택/추천 1024.3 s)</xltc:text>
  </xltc:threadedComment>
  <xltc:threadedComment ref="Y81" dT="2026-08-29T20:18:33.037" personId="{5B662E2E-135B-4BED-903F-30CFA12D6CAD}" id="{2D869633-BD52-4094-9119-5260FE8F8BEB}">
    <xltc:text>M12 4-2 종료의 대체 후보 1024.3 s (현재 선택/추천 1009.6 s)</xltc:text>
  </xltc:threadedComment>
  <xltc:threadedComment ref="AA82" dT="2026-08-29T20:18:33.037" personId="{5B662E2E-135B-4BED-903F-30CFA12D6CAD}" id="{6A0842D7-41D5-45DB-ABA7-33F6FCA27B5A}">
    <xltc:text>검토 구분: 전수 후보에는 있으나 RAW 8.5V에는 일치값이 없음
참가자: S19_CHW
값 출처: $2 최종 선택
RAW 8.5V 일치: 없음
전수 후보 일치: 1096.3 s
M15 4-4 시작: 1096.3 s
가까운 후보: 1096.3, 1106.6
4번 물건 집기: 10.3 s / 예상 5~40 s / 시간 적합
참가자 특이사항: 참가자별 임계값 7.0, 후보 25개 중 22개 검증</xltc:text>
  </xltc:threadedComment>
  <xltc:threadedComment ref="AA81" dT="2026-08-29T20:18:33.037" personId="{5B662E2E-135B-4BED-903F-30CFA12D6CAD}" id="{3C9D2073-4721-4AE1-B2A2-38AB436DEB13}">
    <xltc:text>M16 4-4 종료의 대체 후보 1096.3 s (현재 선택/추천 1106.6 s)</xltc:text>
  </xltc:threadedComment>
  <xltc:threadedComment ref="AB81" dT="2026-08-29T20:18:33.038" personId="{5B662E2E-135B-4BED-903F-30CFA12D6CAD}" id="{F1C99BA0-1BB5-400C-9D7E-A04ED7BE3610}">
    <xltc:text>M15 4-4 시작의 대체 후보 1106.6 s (현재 선택/추천 1096.3 s)</xltc:text>
  </xltc:threadedComment>
  <xltc:threadedComment ref="AC82" dT="2026-08-29T20:18:33.038" personId="{5B662E2E-135B-4BED-903F-30CFA12D6CAD}" id="{B4067827-08A5-45AA-840A-5E3FAD16BE27}">
    <xltc:text>검토 구분: 전수 후보에는 있으나 RAW 8.5V에는 일치값이 없음
참가자: S19_CHW
값 출처: $2 최종 선택
RAW 8.5V 일치: 없음
전수 후보 일치: 1188.5 s
M17 5 시작: 1188.5 s
가까운 후보: 1188.5
5번 코스: 183.9 s / 예상 130~230 s / 시간 적합
참가자 특이사항: 참가자별 임계값 7.0, 후보 25개 중 22개 검증</xltc:text>
  </xltc:threadedComment>
  <xltc:threadedComment ref="AE82" dT="2026-08-29T20:18:33.038" personId="{5B662E2E-135B-4BED-903F-30CFA12D6CAD}" id="{BFF5FB48-3419-4513-B60D-60552247FE36}">
    <xltc:text>검토 구분: 전수 후보에는 있으나 RAW 8.5V에는 일치값이 없음
참가자: S19_CHW
값 출처: $2 최종 선택
RAW 8.5V 일치: 없음
전수 후보 일치: 1429.7 s
M19 6 시작: 1429.7 s
가까운 후보: 1429.7
6번 왕복: 25.2 s / 예상 5~70 s / 시간 적합
참가자 특이사항: 참가자별 임계값 7.0, 후보 25개 중 22개 검증</xltc:text>
  </xltc:threadedComment>
  <xltc:threadedComment ref="M86" dT="2026-08-29T20:18:33.041" personId="{5B662E2E-135B-4BED-903F-30CFA12D6CAD}" id="{C92BEE55-F152-4581-BCBC-178615CE908E}">
    <xltc:text>검토 구분: 전수 후보에는 있으나 RAW 8.5V에는 일치값이 없음
참가자: S20_YSE
값 출처: $2 최종 선택
RAW 8.5V 일치: 없음
전수 후보 일치: 600.7 s
M04 2 종료: 600.7 s
가까운 후보: 600.7
2번 호흡: 371.0 s / 예상 240~450 s / 시간 적합
참가자 특이사항: 참가자별 임계값 6.5, 후보 25개 중 22개 검증</xltc:text>
  </xltc:threadedComment>
  <xltc:threadedComment ref="N85" dT="2026-08-29T20:18:33.041" personId="{5B662E2E-135B-4BED-903F-30CFA12D6CAD}" id="{6E7CAD80-13F6-48E1-911B-D8526CDAFCC3}">
    <xltc:text>M06 3-1 종료의 대체 후보 649.0 s (현재 선택/추천 661.7 s)</xltc:text>
  </xltc:threadedComment>
  <xltc:threadedComment ref="O85" dT="2026-08-29T20:18:33.041" personId="{5B662E2E-135B-4BED-903F-30CFA12D6CAD}" id="{5FDE9F83-458D-43EB-9635-3D6A2E395561}">
    <xltc:text>M05 3-1 시작의 대체 후보 661.7 s (현재 선택/추천 649.0 s)</xltc:text>
  </xltc:threadedComment>
  <xltc:threadedComment ref="P85" dT="2026-08-29T20:18:33.041" personId="{5B662E2E-135B-4BED-903F-30CFA12D6CAD}" id="{AB3E6E23-5D24-4FEE-8834-C5E3003F5C3D}">
    <xltc:text>M08 3-2 종료의 대체 후보 681.1 s (현재 선택/추천 693.2 s)</xltc:text>
  </xltc:threadedComment>
  <xltc:threadedComment ref="Q85" dT="2026-08-29T20:18:33.042" personId="{5B662E2E-135B-4BED-903F-30CFA12D6CAD}" id="{EE052B74-57C2-461A-9B05-1089367F0099}">
    <xltc:text>M07 3-2 시작의 대체 후보 693.2 s (현재 선택/추천 681.1 s)</xltc:text>
  </xltc:threadedComment>
  <xltc:threadedComment ref="R85" dT="2026-08-29T20:18:33.042" personId="{5B662E2E-135B-4BED-903F-30CFA12D6CAD}" id="{FDB65ED8-2DE2-4924-BE83-ECA8159707D6}">
    <xltc:text>M10 4-1 종료의 대체 후보 756.1 s (현재 선택/추천 770.7 s)</xltc:text>
  </xltc:threadedComment>
  <xltc:threadedComment ref="T85" dT="2026-08-29T20:18:33.042" personId="{5B662E2E-135B-4BED-903F-30CFA12D6CAD}" id="{9B6FA638-871D-4367-9ADC-A6323C7E4E72}">
    <xltc:text>M09 4-1 시작의 대체 후보 766.4 s (현재 선택/추천 756.1 s)
M10 4-1 종료의 대체 후보 766.4 s (현재 선택/추천 770.7 s)</xltc:text>
  </xltc:threadedComment>
  <xltc:threadedComment ref="U86" dT="2026-08-29T20:18:33.042" personId="{5B662E2E-135B-4BED-903F-30CFA12D6CAD}" id="{0B5E5BF1-D298-4B7E-A030-B226B9BEF257}">
    <xltc:text>검토 구분: 같은 경계에 가까운 대체 후보가 둘 이상 있음
참가자: S20_YSE
값 출처: $2 최종 선택
RAW 8.5V 일치: 769.8 s
전수 후보 일치: 770.7 s
M10 4-1 종료: 770.7 s
가까운 후보: 770.7, 766.4, 756.1
4번 낙상-즉시: 14.6 s / 예상 5~30 s / 시간 적합
참가자 특이사항: 참가자별 임계값 6.5, 후보 25개 중 22개 검증</xltc:text>
  </xltc:threadedComment>
  <xltc:threadedComment ref="U85" dT="2026-08-29T20:18:33.042" personId="{5B662E2E-135B-4BED-903F-30CFA12D6CAD}" id="{2A0F768C-1B23-4907-A4F7-647891E84047}">
    <xltc:text>M09 4-1 시작의 대체 후보 770.7 s (현재 선택/추천 756.1 s)</xltc:text>
  </xltc:threadedComment>
  <xltc:threadedComment ref="W85" dT="2026-08-29T20:18:33.043" personId="{5B662E2E-135B-4BED-903F-30CFA12D6CAD}" id="{373B56EC-9844-4289-92AA-5614153191C9}">
    <xltc:text>M13 4-3 시작의 대체 후보 836.5 s (현재 선택/추천 847.9 s)</xltc:text>
  </xltc:threadedComment>
  <xltc:threadedComment ref="X85" dT="2026-08-29T20:18:33.043" personId="{5B662E2E-135B-4BED-903F-30CFA12D6CAD}" id="{52F8A349-5A44-4BA2-8FC1-7AB18A292901}">
    <xltc:text>M12 4-2 종료의 대체 후보 847.9 s (현재 선택/추천 836.5 s)</xltc:text>
  </xltc:threadedComment>
  <xltc:threadedComment ref="Y86" dT="2026-08-29T20:18:33.043" personId="{5B662E2E-135B-4BED-903F-30CFA12D6CAD}" id="{06315C6C-7C13-43D2-B4CE-FA0C6E6D8A47}">
    <xltc:text>검토 구분: 전수 후보에는 있으나 RAW 8.5V에는 일치값이 없음 / 같은 경계에 가까운 대체 후보가 둘 이상 있음
참가자: S20_YSE
값 출처: $2 최종 선택
RAW 8.5V 일치: 없음
전수 후보 일치: 890.6 s
M14 4-3 종료: 890.6 s
가까운 후보: 890.6, 894.7
4번 낙상-천천히: 42.7 s / 예상 25~90 s / 시간 적합
참가자 특이사항: 참가자별 임계값 6.5, 후보 25개 중 22개 검증</xltc:text>
  </xltc:threadedComment>
  <xltc:threadedComment ref="Y85" dT="2026-08-29T20:18:33.043" personId="{5B662E2E-135B-4BED-903F-30CFA12D6CAD}" id="{1C0B317E-0FBE-4FC8-B281-A4E3934E30CC}">
    <xltc:text>M15 4-4 시작의 대체 후보 890.6 s (현재 선택/추천 894.7 s)</xltc:text>
  </xltc:threadedComment>
  <xltc:threadedComment ref="Z86" dT="2026-08-29T20:18:33.043" personId="{5B662E2E-135B-4BED-903F-30CFA12D6CAD}" id="{46EBEAB4-559A-42E5-B4FE-75BB2C442E05}">
    <xltc:text>검토 구분: 같은 경계에 가까운 대체 후보가 둘 이상 있음
참가자: S20_YSE
값 출처: $2 최종 선택
RAW 8.5V 일치: 894.1 s
전수 후보 일치: 894.7 s
M15 4-4 시작: 894.7 s
가까운 후보: 894.7, 890.6
4번 물건 집기: 32.7 s / 예상 5~40 s / 시간 적합
참가자 특이사항: 참가자별 임계값 6.5, 후보 25개 중 22개 검증</xltc:text>
  </xltc:threadedComment>
  <xltc:threadedComment ref="Z85" dT="2026-08-29T20:18:33.043" personId="{5B662E2E-135B-4BED-903F-30CFA12D6CAD}" id="{31E706E3-E221-4941-8FB4-DB8FA839E7F1}">
    <xltc:text>M14 4-3 종료의 대체 후보 894.7 s (현재 선택/추천 890.6 s)</xltc:text>
  </xltc:threadedComment>
  <xltc:threadedComment ref="AA85" dT="2026-08-29T20:18:33.043" personId="{5B662E2E-135B-4BED-903F-30CFA12D6CAD}" id="{29C7DD03-4541-49A9-B760-AE3B44DF00F9}">
    <xltc:text>M16 4-4 종료의 대체 후보 916.3 s (현재 선택/추천 927.4 s)</xltc:text>
  </xltc:threadedComment>
  <xltc:threadedComment ref="AE86" dT="2026-08-29T20:18:33.044" personId="{5B662E2E-135B-4BED-903F-30CFA12D6CAD}" id="{29A2C17B-1A9D-4A64-8B2F-A9379535CC42}">
    <xltc:text>검토 구분: 전수 후보에는 있으나 RAW 8.5V에는 일치값이 없음
참가자: S20_YSE
값 출처: $2 최종 선택
RAW 8.5V 일치: 없음
전수 후보 일치: 1178.8 s
M19 6 시작: 1178.8 s
가까운 후보: 1178.8
6번 왕복: 24.2 s / 예상 5~70 s / 시간 적합
참가자 특이사항: 참가자별 임계값 6.5, 후보 25개 중 22개 검증</xltc:text>
  </xltc:threadedComment>
  <xltc:threadedComment ref="AF86" dT="2026-08-29T20:18:33.045" personId="{5B662E2E-135B-4BED-903F-30CFA12D6CAD}" id="{2F3A499C-1FEB-4BB7-BFA7-ED4BB6AC91E7}">
    <xltc:text>검토 구분: 전수 후보에는 있으나 RAW 8.5V에는 일치값이 없음
참가자: S20_YSE
값 출처: $2 최종 선택
RAW 8.5V 일치: 없음
전수 후보 일치: 1203.0 s
M20 6 종료: 1203.0 s
가까운 후보: 1203.0
6번 왕복: 24.2 s / 예상 5~70 s / 시간 적합
참가자 특이사항: 참가자별 임계값 6.5, 후보 25개 중 22개 검증</xltc:text>
  </xltc:threadedComment>
  <xltc:threadedComment ref="AG85" dT="2026-08-29T20:18:33.045" personId="{5B662E2E-135B-4BED-903F-30CFA12D6CAD}" id="{C326FA53-81EC-4DA0-B9E0-68185E58BEE5}">
    <xltc:text>M22 7 종료의 대체 후보 1225.3 s (현재 선택/추천 1234.5 s)</xltc:text>
  </xltc:threadedComment>
  <xltc:threadedComment ref="AH86" dT="2026-08-29T20:18:33.045" personId="{5B662E2E-135B-4BED-903F-30CFA12D6CAD}" id="{2344AFE4-6BF0-477A-9482-FBB9ED5E535D}">
    <xltc:text>검토 구분: 전수 후보에는 있으나 RAW 8.5V에는 일치값이 없음
참가자: S20_YSE
값 출처: $2 최종 선택
RAW 8.5V 일치: 없음
전수 후보 일치: 1234.5 s
M22 7 종료: 1234.5 s
가까운 후보: 1234.5, 1225.3
7번 자유: 9.2 s / 예상 5~70 s / 시간 적합
참가자 특이사항: 참가자별 임계값 6.5, 후보 25개 중 22개 검증</xltc:text>
  </xltc:threadedComment>
  <xltc:threadedComment ref="AH85" dT="2026-08-29T20:18:33.045" personId="{5B662E2E-135B-4BED-903F-30CFA12D6CAD}" id="{B5BCFA91-3B10-44CE-B3E6-06C37D32B043}">
    <xltc:text>M21 7 시작의 대체 후보 1234.5 s (현재 선택/추천 1225.3 s)</xltc:text>
  </xltc:threadedComment>
  <xltc:threadedComment ref="M89" dT="2026-08-29T20:18:33.047" personId="{5B662E2E-135B-4BED-903F-30CFA12D6CAD}" id="{863463F2-5575-45C1-934F-505742C54CB9}">
    <xltc:text>M06 3-1 종료의 대체 후보 654.9 s (현재 선택/추천 668.4 s)</xltc:text>
  </xltc:threadedComment>
  <xltc:threadedComment ref="N89" dT="2026-08-29T20:18:33.048" personId="{5B662E2E-135B-4BED-903F-30CFA12D6CAD}" id="{9DE29C77-6EF9-4F88-BE91-71D1483497F1}">
    <xltc:text>M05 3-1 시작의 대체 후보 668.4 s (현재 선택/추천 654.9 s)</xltc:text>
  </xltc:threadedComment>
  <xltc:threadedComment ref="O89" dT="2026-08-29T20:18:33.048" personId="{5B662E2E-135B-4BED-903F-30CFA12D6CAD}" id="{F9F3EE3C-CA95-4E73-8CE4-08BEDC5C40BA}">
    <xltc:text>M08 3-2 종료의 대체 후보 688.3 s (현재 선택/추천 698.5 s)</xltc:text>
  </xltc:threadedComment>
  <xltc:threadedComment ref="P89" dT="2026-08-29T20:18:33.048" personId="{5B662E2E-135B-4BED-903F-30CFA12D6CAD}" id="{842CC61D-F5CA-4510-A071-5825DE9D10D8}">
    <xltc:text>M07 3-2 시작의 대체 후보 698.5 s (현재 선택/추천 688.3 s)</xltc:text>
  </xltc:threadedComment>
  <xltc:threadedComment ref="Q89" dT="2026-08-29T20:18:33.048" personId="{5B662E2E-135B-4BED-903F-30CFA12D6CAD}" id="{5D72121E-B359-47B5-8B3A-88210EAA277A}">
    <xltc:text>M10 4-1 종료의 대체 후보 793.5 s (현재 선택/추천 808.0 s)</xltc:text>
  </xltc:threadedComment>
  <xltc:threadedComment ref="R89" dT="2026-08-29T20:18:33.048" personId="{5B662E2E-135B-4BED-903F-30CFA12D6CAD}" id="{F776C3C3-F4C8-48B8-B4EF-200BB3399001}">
    <xltc:text>M09 4-1 시작의 대체 후보 808.0 s (현재 선택/추천 793.5 s)
M11 4-2 시작의 대체 후보 808.0 s (현재 선택/추천 816.4 s)</xltc:text>
  </xltc:threadedComment>
  <xltc:threadedComment ref="S89" dT="2026-08-29T20:18:33.048" personId="{5B662E2E-135B-4BED-903F-30CFA12D6CAD}" id="{85A34B9C-8620-4955-B582-CA0459A8D253}">
    <xltc:text>M10 4-1 종료의 대체 후보 816.4 s (현재 선택/추천 808.0 s)</xltc:text>
  </xltc:threadedComment>
  <xltc:threadedComment ref="T89" dT="2026-08-29T20:18:33.049" personId="{5B662E2E-135B-4BED-903F-30CFA12D6CAD}" id="{FCDE284F-35CA-4441-93F9-8D06008C15DC}">
    <xltc:text>M13 4-3 시작의 대체 후보 862.9 s (현재 선택/추천 875.2 s)</xltc:text>
  </xltc:threadedComment>
  <xltc:threadedComment ref="U90" dT="2026-08-29T20:18:33.049" personId="{5B662E2E-135B-4BED-903F-30CFA12D6CAD}" id="{F1DF80C3-EED9-4732-9D98-34B91B232402}">
    <xltc:text>검토 구분: 전수 후보에는 있으나 RAW 8.5V에는 일치값이 없음
참가자: S21_PSJ
값 출처: $2 최종 선택
RAW 8.5V 일치: 없음
전수 후보 일치: 875.2 s
M13 4-3 시작: 875.2 s
가까운 후보: 875.2, 862.9
4번 낙상-천천히: 46.1 s / 예상 25~90 s / 시간 적합
참가자 특이사항: 참가자별 임계값 7.5, 후보 25개 중 22개 검증</xltc:text>
  </xltc:threadedComment>
  <xltc:threadedComment ref="U89" dT="2026-08-29T20:18:33.049" personId="{5B662E2E-135B-4BED-903F-30CFA12D6CAD}" id="{A770A0F0-2EAA-48A9-A6C4-217D4A42F80D}">
    <xltc:text>M12 4-2 종료의 대체 후보 875.2 s (현재 선택/추천 862.9 s)</xltc:text>
  </xltc:threadedComment>
  <xltc:threadedComment ref="X89" dT="2026-08-29T20:18:33.049" personId="{5B662E2E-135B-4BED-903F-30CFA12D6CAD}" id="{B9CF98B6-089F-4593-A8C5-4F3E2CC43584}">
    <xltc:text>M16 4-4 종료의 대체 후보 958.4 s (현재 선택/추천 970.6 s)</xltc:text>
  </xltc:threadedComment>
  <xltc:threadedComment ref="Z90" dT="2026-08-29T20:18:33.049" personId="{5B662E2E-135B-4BED-903F-30CFA12D6CAD}" id="{724D0B2B-2E5B-47DB-81E8-11EA2949A6D7}">
    <xltc:text>검토 구분: 전수 후보에는 있으나 RAW 8.5V에는 일치값이 없음
참가자: S21_PSJ
값 출처: $2 최종 선택
RAW 8.5V 일치: 없음
전수 후보 일치: 1012.9 s
M17 5 시작: 1012.9 s
가까운 후보: 1012.9, 1020.4
5번 코스: 196.1 s / 예상 130~230 s / 시간 적합
참가자 특이사항: 참가자별 임계값 7.5, 후보 25개 중 22개 검증</xltc:text>
  </xltc:threadedComment>
  <xltc:threadedComment ref="AA89" dT="2026-08-29T20:18:33.05" personId="{5B662E2E-135B-4BED-903F-30CFA12D6CAD}" id="{8FBF5BCB-ADBC-459B-BE99-4ED8A5141547}">
    <xltc:text>M17 5 시작의 대체 후보 1020.4 s (현재 선택/추천 1012.9 s)</xltc:text>
  </xltc:threadedComment>
  <xltc:threadedComment ref="AE89" dT="2026-08-29T20:18:33.05" personId="{5B662E2E-135B-4BED-903F-30CFA12D6CAD}" id="{BA0C45C3-42E1-4B4A-AF33-56B06D3C5DAF}">
    <xltc:text>M22 7 종료의 대체 후보 1306.7 s (현재 선택/추천 1317.1 s)</xltc:text>
  </xltc:threadedComment>
  <xltc:threadedComment ref="AF89" dT="2026-08-29T20:18:33.051" personId="{5B662E2E-135B-4BED-903F-30CFA12D6CAD}" id="{C75891A5-2300-4850-8F94-DFB0E8531984}">
    <xltc:text>M21 7 시작의 대체 후보 1317.1 s (현재 선택/추천 1306.7 s)</xltc:text>
  </xltc:threadedComment>
  <xltc:threadedComment ref="H94" dT="2026-08-29T20:18:33.052" personId="{5B662E2E-135B-4BED-903F-30CFA12D6CAD}" id="{5597C022-D6FF-4146-AF45-BFB37A4D3CB1}">
    <xltc:text>검토 구분: 시간패턴 추천값으로 아직 확정되지 않음 / 전수 후보에는 있으나 RAW 8.5V에는 일치값이 없음 / 1번 호흡 지속시간이 예상 범위를 벗어나거나 경계가 누락됨
참가자: S22_KJH
값 출처: 시간패턴 추천(미확정)
RAW 8.5V 일치: 없음
전수 후보 일치: 222.0 s
M01 1 시작: 222.0 s
가까운 후보: 222.0
1번 호흡: 82.8 s / 예상 150~240 s / 시간 확인 필요
참가자 특이사항: RSP 초반 마커와 낙상 4번째 종료 마커가 불명확 — 수동 검토 필요</xltc:text>
  </xltc:threadedComment>
  <xltc:threadedComment ref="I94" dT="2026-08-29T20:18:33.052" personId="{5B662E2E-135B-4BED-903F-30CFA12D6CAD}" id="{D2AFA29C-DB27-48ED-A012-29DFD886DEF8}">
    <xltc:text>검토 구분: 시간패턴 추천값으로 아직 확정되지 않음 / 전수 후보에는 있으나 RAW 8.5V에는 일치값이 없음 / 1번 호흡 지속시간이 예상 범위를 벗어나거나 경계가 누락됨
참가자: S22_KJH
값 출처: 시간패턴 추천(미확정)
RAW 8.5V 일치: 없음
전수 후보 일치: 304.8 s
M02 1 종료: 304.8 s
가까운 후보: 304.8, 314.7
1번 호흡: 82.8 s / 예상 150~240 s / 시간 확인 필요
참가자 특이사항: RSP 초반 마커와 낙상 4번째 종료 마커가 불명확 — 수동 검토 필요</xltc:text>
  </xltc:threadedComment>
  <xltc:threadedComment ref="I93" dT="2026-08-29T20:18:33.052" personId="{5B662E2E-135B-4BED-903F-30CFA12D6CAD}" id="{7CC8B672-4397-4708-93E2-72C3EECE8F90}">
    <xltc:text>M03 2 시작의 대체 후보 304.8 s (현재 선택/추천 314.7 s)</xltc:text>
  </xltc:threadedComment>
  <xltc:threadedComment ref="J94" dT="2026-08-29T20:18:33.052" personId="{5B662E2E-135B-4BED-903F-30CFA12D6CAD}" id="{0F1DB95F-E65D-48A9-84DC-C9EE62E48F95}">
    <xltc:text>검토 구분: 시간패턴 추천값으로 아직 확정되지 않음 / 전수 후보에는 있으나 RAW 8.5V에는 일치값이 없음
참가자: S22_KJH
값 출처: 시간패턴 추천(미확정)
RAW 8.5V 일치: 없음
전수 후보 일치: 314.7 s
M03 2 시작: 314.7 s
가까운 후보: 314.7, 304.8
2번 호흡: 366.7 s / 예상 240~450 s / 시간 적합
참가자 특이사항: RSP 초반 마커와 낙상 4번째 종료 마커가 불명확 — 수동 검토 필요</xltc:text>
  </xltc:threadedComment>
  <xltc:threadedComment ref="J93" dT="2026-08-29T20:18:33.052" personId="{5B662E2E-135B-4BED-903F-30CFA12D6CAD}" id="{D64CF08A-13F8-4751-A878-B557A0DBA1A7}">
    <xltc:text>M02 1 종료의 대체 후보 314.7 s (현재 선택/추천 304.8 s)</xltc:text>
  </xltc:threadedComment>
  <xltc:threadedComment ref="K94" dT="2026-08-29T20:18:33.053" personId="{5B662E2E-135B-4BED-903F-30CFA12D6CAD}" id="{A115347A-1043-4A6D-9850-58D847A8694D}">
    <xltc:text>검토 구분: 시간패턴 추천값으로 아직 확정되지 않음 / 전수 후보에는 있으나 RAW 8.5V에는 일치값이 없음
참가자: S22_KJH
값 출처: 시간패턴 추천(미확정)
RAW 8.5V 일치: 없음
전수 후보 일치: 681.4 s
M04 2 종료: 681.4 s
가까운 후보: 681.4
2번 호흡: 366.7 s / 예상 240~450 s / 시간 적합
참가자 특이사항: RSP 초반 마커와 낙상 4번째 종료 마커가 불명확 — 수동 검토 필요</xltc:text>
  </xltc:threadedComment>
  <xltc:threadedComment ref="L94" dT="2026-08-29T20:18:33.053" personId="{5B662E2E-135B-4BED-903F-30CFA12D6CAD}" id="{193D15B1-5A1C-4D23-B3C3-E0DE251B9088}">
    <xltc:text>검토 구분: 시간패턴 추천값으로 아직 확정되지 않음
참가자: S22_KJH
값 출처: 시간패턴 추천(미확정)
RAW 8.5V 일치: 699.8 s
전수 후보 일치: 698.7 s
M05 3-1 시작: 698.7 s
가까운 후보: 698.7
3번 픽업-1: 17.1 s / 예상 5~90 s / 시간 적합
참가자 특이사항: RSP 초반 마커와 낙상 4번째 종료 마커가 불명확 — 수동 검토 필요</xltc:text>
  </xltc:threadedComment>
  <xltc:threadedComment ref="M94" dT="2026-08-29T20:18:33.053" personId="{5B662E2E-135B-4BED-903F-30CFA12D6CAD}" id="{F242B061-D912-4021-9985-B665A9739629}">
    <xltc:text>검토 구분: 시간패턴 추천값으로 아직 확정되지 않음
참가자: S22_KJH
값 출처: 시간패턴 추천(미확정)
RAW 8.5V 일치: 716.2 s
전수 후보 일치: 715.8 s
M06 3-1 종료: 715.8 s
가까운 후보: 715.8
3번 픽업-1: 17.1 s / 예상 5~90 s / 시간 적합
참가자 특이사항: RSP 초반 마커와 낙상 4번째 종료 마커가 불명확 — 수동 검토 필요</xltc:text>
  </xltc:threadedComment>
  <xltc:threadedComment ref="N94" dT="2026-08-29T20:18:33.053" personId="{5B662E2E-135B-4BED-903F-30CFA12D6CAD}" id="{2EE28F5A-DD37-4F88-B382-9F02B258B600}">
    <xltc:text>검토 구분: 시간패턴 추천값으로 아직 확정되지 않음
참가자: S22_KJH
값 출처: 시간패턴 추천(미확정)
RAW 8.5V 일치: 734.0 s
전수 후보 일치: 733.6 s
M07 3-2 시작: 733.6 s
가까운 후보: 733.6
3번 픽업-2: 80.3 s / 예상 5~90 s / 시간 적합
참가자 특이사항: RSP 초반 마커와 낙상 4번째 종료 마커가 불명확 — 수동 검토 필요</xltc:text>
  </xltc:threadedComment>
  <xltc:threadedComment ref="O94" dT="2026-08-29T20:18:33.053" personId="{5B662E2E-135B-4BED-903F-30CFA12D6CAD}" id="{4C53BDE9-1E79-456C-8BA0-5B7E4F9087BE}">
    <xltc:text>검토 구분: 시간패턴 추천값으로 아직 확정되지 않음
참가자: S22_KJH
값 출처: 시간패턴 추천(미확정)
RAW 8.5V 일치: 814.3 s
전수 후보 일치: 813.9 s
M08 3-2 종료: 813.9 s
가까운 후보: 813.9
3번 픽업-2: 80.3 s / 예상 5~90 s / 시간 적합
참가자 특이사항: RSP 초반 마커와 낙상 4번째 종료 마커가 불명확 — 수동 검토 필요</xltc:text>
  </xltc:threadedComment>
  <xltc:threadedComment ref="Q94" dT="2026-08-29T20:18:33.054" personId="{5B662E2E-135B-4BED-903F-30CFA12D6CAD}" id="{45ECA6A4-083A-4354-A2D9-D5067F8F7F22}">
    <xltc:text>검토 구분: 시간패턴 추천값으로 아직 확정되지 않음 / 전수 후보에는 있으나 RAW 8.5V에는 일치값이 없음 / 같은 경계에 가까운 대체 후보가 둘 이상 있음 / 4번 낙상-즉시 지속시간이 예상 범위를 벗어나거나 경계가 누락됨
참가자: S22_KJH
값 출처: 시간패턴 추천(미확정)
RAW 8.5V 일치: 없음
전수 후보 일치: 830.1 s
M09 4-1 시작: 830.1 s
가까운 후보: 830.1, 835.0
4번 낙상-즉시: 4.8 s / 예상 5~30 s / 시간 확인 필요
참가자 특이사항: RSP 초반 마커와 낙상 4번째 종료 마커가 불명확 — 수동 검토 필요</xltc:text>
  </xltc:threadedComment>
  <xltc:threadedComment ref="Q93" dT="2026-08-29T20:18:33.054" personId="{5B662E2E-135B-4BED-903F-30CFA12D6CAD}" id="{12B8FB83-BBB0-413C-80B4-BC30B0FC2517}">
    <xltc:text>M10 4-1 종료의 대체 후보 830.1 s (현재 선택/추천 835.0 s)</xltc:text>
  </xltc:threadedComment>
  <xltc:threadedComment ref="R94" dT="2026-08-29T20:18:33.054" personId="{5B662E2E-135B-4BED-903F-30CFA12D6CAD}" id="{7074F5F9-DB68-4BF7-8A14-CA41518CB705}">
    <xltc:text>검토 구분: 시간패턴 추천값으로 아직 확정되지 않음 / 같은 경계에 가까운 대체 후보가 둘 이상 있음 / 4번 낙상-즉시 지속시간이 예상 범위를 벗어나거나 경계가 누락됨
참가자: S22_KJH
값 출처: 시간패턴 추천(미확정)
RAW 8.5V 일치: 835.4 s
전수 후보 일치: 835.0 s
M10 4-1 종료: 835.0 s
가까운 후보: 835.0, 830.1, 847.7
4번 낙상-즉시: 4.8 s / 예상 5~30 s / 시간 확인 필요
참가자 특이사항: RSP 초반 마커와 낙상 4번째 종료 마커가 불명확 — 수동 검토 필요</xltc:text>
  </xltc:threadedComment>
  <xltc:threadedComment ref="R93" dT="2026-08-29T20:18:33.054" personId="{5B662E2E-135B-4BED-903F-30CFA12D6CAD}" id="{F1830854-4CD1-41C8-BE26-EE305601D922}">
    <xltc:text>M09 4-1 시작의 대체 후보 835.0 s (현재 선택/추천 830.1 s)
M11 4-2 시작의 대체 후보 835.0 s (현재 선택/추천 847.7 s)</xltc:text>
  </xltc:threadedComment>
  <xltc:threadedComment ref="S94" dT="2026-08-29T20:18:33.054" personId="{5B662E2E-135B-4BED-903F-30CFA12D6CAD}" id="{7A677CF7-BF07-448C-B226-40A57B73F3F7}">
    <xltc:text>검토 구분: 시간패턴 추천값으로 아직 확정되지 않음
참가자: S22_KJH
값 출처: 시간패턴 추천(미확정)
RAW 8.5V 일치: 848.1 s
전수 후보 일치: 847.7 s
M11 4-2 시작: 847.7 s
가까운 후보: 847.7, 835.0
4번 낙상-30초 유지: 46.9 s / 예상 25~75 s / 시간 적합
참가자 특이사항: RSP 초반 마커와 낙상 4번째 종료 마커가 불명확 — 수동 검토 필요</xltc:text>
  </xltc:threadedComment>
  <xltc:threadedComment ref="S93" dT="2026-08-29T20:18:33.054" personId="{5B662E2E-135B-4BED-903F-30CFA12D6CAD}" id="{38DBA1D9-D775-4120-A5B2-59736AC48A9D}">
    <xltc:text>M10 4-1 종료의 대체 후보 847.7 s (현재 선택/추천 835.0 s)</xltc:text>
  </xltc:threadedComment>
  <xltc:threadedComment ref="T94" dT="2026-08-29T20:18:33.054" personId="{5B662E2E-135B-4BED-903F-30CFA12D6CAD}" id="{7E89ECA7-F9A1-4E3F-9C64-8C0C036040D0}">
    <xltc:text>검토 구분: 시간패턴 추천값으로 아직 확정되지 않음
참가자: S22_KJH
값 출처: 시간패턴 추천(미확정)
RAW 8.5V 일치: 894.9 s
전수 후보 일치: 894.5 s
M12 4-2 종료: 894.5 s
가까운 후보: 894.5, 903.9
4번 낙상-30초 유지: 46.9 s / 예상 25~75 s / 시간 적합
참가자 특이사항: RSP 초반 마커와 낙상 4번째 종료 마커가 불명확 — 수동 검토 필요</xltc:text>
  </xltc:threadedComment>
  <xltc:threadedComment ref="U93" dT="2026-08-29T20:18:33.054" personId="{5B662E2E-135B-4BED-903F-30CFA12D6CAD}" id="{2A81EC57-1E4F-4D01-BA10-86ED8CEC94FD}">
    <xltc:text>M12 4-2 종료의 대체 후보 903.9 s (현재 선택/추천 894.5 s)
M13 4-3 시작의 대체 후보 903.9 s (현재 선택/추천 912.0 s)</xltc:text>
  </xltc:threadedComment>
  <xltc:threadedComment ref="V94" dT="2026-08-29T20:18:33.054" personId="{5B662E2E-135B-4BED-903F-30CFA12D6CAD}" id="{D3FDC7EE-72CD-42BD-B4B9-6B2FBDF3AA3F}">
    <xltc:text>검토 구분: 시간패턴 추천값으로 아직 확정되지 않음 / 전수 후보에는 있으나 RAW 8.5V에는 일치값이 없음
참가자: S22_KJH
값 출처: 시간패턴 추천(미확정)
RAW 8.5V 일치: 없음
전수 후보 일치: 912.0 s
M13 4-3 시작: 912.0 s
가까운 후보: 912.0, 903.9
4번 낙상-천천히: 41.1 s / 예상 25~90 s / 시간 적합
참가자 특이사항: RSP 초반 마커와 낙상 4번째 종료 마커가 불명확 — 수동 검토 필요</xltc:text>
  </xltc:threadedComment>
  <xltc:threadedComment ref="W93" dT="2026-08-29T20:18:33.055" personId="{5B662E2E-135B-4BED-903F-30CFA12D6CAD}" id="{4659FCE5-F770-407A-8F9D-90DDA759C943}">
    <xltc:text>M14 4-3 종료의 대체 후보 948.6 s (현재 선택/추천 953.2 s)</xltc:text>
  </xltc:threadedComment>
  <xltc:threadedComment ref="X94" dT="2026-08-29T20:18:33.055" personId="{5B662E2E-135B-4BED-903F-30CFA12D6CAD}" id="{7A8E2F16-3EDD-438F-92BD-981AA3DA6E83}">
    <xltc:text>검토 구분: 시간패턴 추천값으로 아직 확정되지 않음 / 같은 경계에 가까운 대체 후보가 둘 이상 있음
참가자: S22_KJH
값 출처: 시간패턴 추천(미확정)
RAW 8.5V 일치: 953.6 s
전수 후보 일치: 953.2 s
M14 4-3 종료: 953.2 s
가까운 후보: 953.2, 948.6
4번 낙상-천천히: 41.1 s / 예상 25~90 s / 시간 적합
참가자 특이사항: RSP 초반 마커와 낙상 4번째 종료 마커가 불명확 — 수동 검토 필요</xltc:text>
  </xltc:threadedComment>
  <xltc:threadedComment ref="Y94" dT="2026-08-29T20:18:33.055" personId="{5B662E2E-135B-4BED-903F-30CFA12D6CAD}" id="{8CED81E7-FE3A-43F7-9267-2B346C8532EA}">
    <xltc:text>검토 구분: 시간패턴 추천값으로 아직 확정되지 않음
참가자: S22_KJH
값 출처: 시간패턴 추천(미확정)
RAW 8.5V 일치: 971.8 s
전수 후보 일치: 969.7 s
M15 4-4 시작: 969.7 s
가까운 후보: 969.7, 982.2
4번 물건 집기: 12.6 s / 예상 5~40 s / 시간 적합
참가자 특이사항: RSP 초반 마커와 낙상 4번째 종료 마커가 불명확 — 수동 검토 필요</xltc:text>
  </xltc:threadedComment>
  <xltc:threadedComment ref="Y93" dT="2026-08-29T20:18:33.055" personId="{5B662E2E-135B-4BED-903F-30CFA12D6CAD}" id="{BF3432BC-D509-467A-A346-39E69F70B075}">
    <xltc:text>M16 4-4 종료의 대체 후보 969.7 s (현재 선택/추천 982.2 s)</xltc:text>
  </xltc:threadedComment>
  <xltc:threadedComment ref="Z94" dT="2026-08-29T20:18:33.055" personId="{5B662E2E-135B-4BED-903F-30CFA12D6CAD}" id="{0A86C333-9515-47EC-B406-F95FB5E2EB54}">
    <xltc:text>검토 구분: 시간패턴 추천값으로 아직 확정되지 않음
참가자: S22_KJH
값 출처: 시간패턴 추천(미확정)
RAW 8.5V 일치: 982.6 s
전수 후보 일치: 982.2 s
M16 4-4 종료: 982.2 s
가까운 후보: 982.2, 969.7
4번 물건 집기: 12.6 s / 예상 5~40 s / 시간 적합
참가자 특이사항: RSP 초반 마커와 낙상 4번째 종료 마커가 불명확 — 수동 검토 필요</xltc:text>
  </xltc:threadedComment>
  <xltc:threadedComment ref="Z93" dT="2026-08-29T20:18:33.055" personId="{5B662E2E-135B-4BED-903F-30CFA12D6CAD}" id="{4E86108E-183C-4666-B83C-6B7266C76C2E}">
    <xltc:text>M15 4-4 시작의 대체 후보 982.2 s (현재 선택/추천 969.7 s)</xltc:text>
  </xltc:threadedComment>
  <xltc:threadedComment ref="AA94" dT="2026-08-29T20:18:33.055" personId="{5B662E2E-135B-4BED-903F-30CFA12D6CAD}" id="{9412AD73-05D7-45F6-8136-30211788EC6A}">
    <xltc:text>검토 구분: 시간패턴 추천값으로 아직 확정되지 않음
참가자: S22_KJH
값 출처: 시간패턴 추천(미확정)
RAW 8.5V 일치: 1050.7 s
전수 후보 일치: 1050.3 s
M17 5 시작: 1050.3 s
가까운 후보: 1050.3
5번 코스: 187.9 s / 예상 130~230 s / 시간 적합
참가자 특이사항: RSP 초반 마커와 낙상 4번째 종료 마커가 불명확 — 수동 검토 필요</xltc:text>
  </xltc:threadedComment>
  <xltc:threadedComment ref="AB94" dT="2026-08-29T20:18:33.055" personId="{5B662E2E-135B-4BED-903F-30CFA12D6CAD}" id="{C0318E5B-5E80-48FF-8A99-F30BB5641C76}">
    <xltc:text>검토 구분: 시간패턴 추천값으로 아직 확정되지 않음
참가자: S22_KJH
값 출처: 시간패턴 추천(미확정)
RAW 8.5V 일치: 1240.1 s
전수 후보 일치: 1238.2 s
M18 5 종료: 1238.2 s
가까운 후보: 1238.2
5번 코스: 187.9 s / 예상 130~230 s / 시간 적합
참가자 특이사항: RSP 초반 마커와 낙상 4번째 종료 마커가 불명확 — 수동 검토 필요</xltc:text>
  </xltc:threadedComment>
  <xltc:threadedComment ref="AC94" dT="2026-08-29T20:18:33.056" personId="{5B662E2E-135B-4BED-903F-30CFA12D6CAD}" id="{C4DF7835-7180-471C-BC16-E1BBEAE299F0}">
    <xltc:text>검토 구분: 시간패턴 추천값으로 아직 확정되지 않음
참가자: S22_KJH
값 출처: 시간패턴 추천(미확정)
RAW 8.5V 일치: 1285.4 s
전수 후보 일치: 1285.0 s
M19 6 시작: 1285.0 s
가까운 후보: 1285.0
6번 왕복: 24.5 s / 예상 5~70 s / 시간 적합
참가자 특이사항: RSP 초반 마커와 낙상 4번째 종료 마커가 불명확 — 수동 검토 필요</xltc:text>
  </xltc:threadedComment>
  <xltc:threadedComment ref="AD94" dT="2026-08-29T20:18:33.056" personId="{5B662E2E-135B-4BED-903F-30CFA12D6CAD}" id="{D3A48327-F106-45A8-839F-EB2013CA67A3}">
    <xltc:text>검토 구분: 시간패턴 추천값으로 아직 확정되지 않음
참가자: S22_KJH
값 출처: 시간패턴 추천(미확정)
RAW 8.5V 일치: 1309.9 s
전수 후보 일치: 1309.5 s
M20 6 종료: 1309.5 s
가까운 후보: 1309.5
6번 왕복: 24.5 s / 예상 5~70 s / 시간 적합
참가자 특이사항: RSP 초반 마커와 낙상 4번째 종료 마커가 불명확 — 수동 검토 필요</xltc:text>
  </xltc:threadedComment>
  <xltc:threadedComment ref="AE94" dT="2026-08-29T20:18:33.056" personId="{5B662E2E-135B-4BED-903F-30CFA12D6CAD}" id="{C9FCE26A-8EB0-4FD7-9702-26412423D753}">
    <xltc:text>검토 구분: 시간패턴 추천값으로 아직 확정되지 않음
참가자: S22_KJH
값 출처: 시간패턴 추천(미확정)
RAW 8.5V 일치: 1342.5 s
전수 후보 일치: 1342.1 s
M21 7 시작: 1342.1 s
가까운 후보: 1342.1, 1355.9
7번 자유: 13.7 s / 예상 5~70 s / 시간 적합
참가자 특이사항: RSP 초반 마커와 낙상 4번째 종료 마커가 불명확 — 수동 검토 필요</xltc:text>
  </xltc:threadedComment>
  <xltc:threadedComment ref="AE93" dT="2026-08-29T20:18:33.056" personId="{5B662E2E-135B-4BED-903F-30CFA12D6CAD}" id="{6D185CF2-74A6-494C-9742-ACF442705B43}">
    <xltc:text>M22 7 종료의 대체 후보 1342.1 s (현재 선택/추천 1355.9 s)</xltc:text>
  </xltc:threadedComment>
  <xltc:threadedComment ref="AF94" dT="2026-08-29T20:18:33.056" personId="{5B662E2E-135B-4BED-903F-30CFA12D6CAD}" id="{1A935FAC-8A68-4AAC-BC1B-2D5C6D662D93}">
    <xltc:text>검토 구분: 시간패턴 추천값으로 아직 확정되지 않음
참가자: S22_KJH
값 출처: 시간패턴 추천(미확정)
RAW 8.5V 일치: 1356.3 s
전수 후보 일치: 1355.9 s
M22 7 종료: 1355.9 s
가까운 후보: 1355.9, 1342.1
7번 자유: 13.7 s / 예상 5~70 s / 시간 적합
참가자 특이사항: RSP 초반 마커와 낙상 4번째 종료 마커가 불명확 — 수동 검토 필요</xltc:text>
  </xltc:threadedComment>
  <xltc:threadedComment ref="AF93" dT="2026-08-29T20:18:33.057" personId="{5B662E2E-135B-4BED-903F-30CFA12D6CAD}" id="{59E15B2B-7D1B-491B-9D1A-4D2BED86A740}">
    <xltc:text>M21 7 시작의 대체 후보 1355.9 s (현재 선택/추천 1342.1 s)</xltc:text>
  </xltc:threadedComment>
  <xltc:threadedComment ref="I98" dT="2026-08-29T20:18:33.06" personId="{5B662E2E-135B-4BED-903F-30CFA12D6CAD}" id="{248E9147-9156-4BAC-9D70-F417AD15C1EF}">
    <xltc:text>검토 구분: 전수 후보에는 있으나 RAW 8.5V에는 일치값이 없음
참가자: S23_KDM
값 출처: $2 최종 선택
RAW 8.5V 일치: 없음
전수 후보 일치: 17.0 s
M01 1 시작: 17.0 s
가까운 후보: 17.0
1번 호흡: 195.8 s / 예상 150~240 s / 시간 적합
참가자 특이사항: 참가자별 임계값 8.0, 후보 32개 중 22개 검증</xltc:text>
  </xltc:threadedComment>
  <xltc:threadedComment ref="K98" dT="2026-08-29T20:18:33.06" personId="{5B662E2E-135B-4BED-903F-30CFA12D6CAD}" id="{ADE857F8-491D-4DE1-A029-8ED4DEEB62A1}">
    <xltc:text>검토 구분: 전수 후보에는 있으나 RAW 8.5V에는 일치값이 없음
참가자: S23_KDM
값 출처: $2 최종 선택
RAW 8.5V 일치: 없음
전수 후보 일치: 212.8 s
M02 1 종료: 212.8 s
가까운 후보: 212.8
1번 호흡: 195.8 s / 예상 150~240 s / 시간 적합
참가자 특이사항: 참가자별 임계값 8.0, 후보 32개 중 22개 검증</xltc:text>
  </xltc:threadedComment>
  <xltc:threadedComment ref="W98" dT="2026-08-29T20:18:33.06" personId="{5B662E2E-135B-4BED-903F-30CFA12D6CAD}" id="{71EA70FB-44D7-41F1-AE06-6CF513097AA7}">
    <xltc:text>검토 구분: 전수 후보에는 있으나 RAW 8.5V에는 일치값이 없음
참가자: S23_KDM
값 출처: $2 최종 선택
RAW 8.5V 일치: 없음
전수 후보 일치: 603.5 s
M04 2 종료: 603.5 s
가까운 후보: 603.5
2번 호흡: 373.8 s / 예상 240~450 s / 시간 적합
참가자 특이사항: 참가자별 임계값 8.0, 후보 32개 중 22개 검증</xltc:text>
  </xltc:threadedComment>
  <xltc:threadedComment ref="Y97" dT="2026-08-29T20:18:33.061" personId="{5B662E2E-135B-4BED-903F-30CFA12D6CAD}" id="{A6A6FF38-C0F1-422A-AFAE-2AB831C8F83D}">
    <xltc:text>M06 3-1 종료의 대체 후보 660.0 s (현재 선택/추천 671.1 s)</xltc:text>
  </xltc:threadedComment>
  <xltc:threadedComment ref="Z98" dT="2026-08-29T20:18:33.061" personId="{5B662E2E-135B-4BED-903F-30CFA12D6CAD}" id="{0BCC9A31-F58A-4D82-BF99-D3B0C99DAEA7}">
    <xltc:text>검토 구분: 전수 후보에는 있으나 RAW 8.5V에는 일치값이 없음
참가자: S23_KDM
값 출처: $2 최종 선택
RAW 8.5V 일치: 없음
전수 후보 일치: 671.1 s
M06 3-1 종료: 671.1 s
가까운 후보: 671.1, 660.0
3번 픽업-1: 11.1 s / 예상 5~90 s / 시간 적합
참가자 특이사항: 참가자별 임계값 8.0, 후보 32개 중 22개 검증</xltc:text>
  </xltc:threadedComment>
  <xltc:threadedComment ref="Z97" dT="2026-08-29T20:18:33.061" personId="{5B662E2E-135B-4BED-903F-30CFA12D6CAD}" id="{A2D7778F-9203-4C59-86D9-4F1C7F9BA324}">
    <xltc:text>M05 3-1 시작의 대체 후보 671.1 s (현재 선택/추천 660.0 s)</xltc:text>
  </xltc:threadedComment>
  <xltc:threadedComment ref="AB97" dT="2026-08-29T20:18:33.061" personId="{5B662E2E-135B-4BED-903F-30CFA12D6CAD}" id="{C45983F9-5388-4C71-9E36-384FE1ADEA76}">
    <xltc:text>M08 3-2 종료의 대체 후보 691.2 s (현재 선택/추천 702.6 s)</xltc:text>
  </xltc:threadedComment>
  <xltc:threadedComment ref="AC98" dT="2026-08-29T20:18:33.061" personId="{5B662E2E-135B-4BED-903F-30CFA12D6CAD}" id="{6304F357-8731-4405-936E-16FF2558923F}">
    <xltc:text>검토 구분: 전수 후보에는 있으나 RAW 8.5V에는 일치값이 없음
참가자: S23_KDM
값 출처: $2 최종 선택
RAW 8.5V 일치: 없음
전수 후보 일치: 702.6 s
M08 3-2 종료: 702.6 s
가까운 후보: 702.6, 691.2
3번 픽업-2: 11.4 s / 예상 5~90 s / 시간 적합
참가자 특이사항: 참가자별 임계값 8.0, 후보 32개 중 22개 검증</xltc:text>
  </xltc:threadedComment>
  <xltc:threadedComment ref="AC97" dT="2026-08-29T20:18:33.061" personId="{5B662E2E-135B-4BED-903F-30CFA12D6CAD}" id="{A7C3534A-4FF8-439D-8DAB-D1C7F8851E97}">
    <xltc:text>M07 3-2 시작의 대체 후보 702.6 s (현재 선택/추천 691.2 s)</xltc:text>
  </xltc:threadedComment>
  <xltc:threadedComment ref="AE97" dT="2026-08-29T20:18:33.061" personId="{5B662E2E-135B-4BED-903F-30CFA12D6CAD}" id="{1CC2D866-91D0-4BEF-9DC2-212377332B86}">
    <xltc:text>M10 4-1 종료의 대체 후보 756.1 s (현재 선택/추천 762.3 s)</xltc:text>
  </xltc:threadedComment>
  <xltc:threadedComment ref="AF98" dT="2026-08-29T20:18:33.062" personId="{5B662E2E-135B-4BED-903F-30CFA12D6CAD}" id="{C8AE538E-87BD-4E03-94D3-AE46A80AF603}">
    <xltc:text>검토 구분: 전수 후보에는 있으나 RAW 8.5V에는 일치값이 없음
참가자: S23_KDM
값 출처: $2 최종 선택
RAW 8.5V 일치: 없음
전수 후보 일치: 762.3 s
M10 4-1 종료: 762.3 s
가까운 후보: 762.3, 756.1
4번 낙상-즉시: 6.2 s / 예상 5~30 s / 시간 적합
참가자 특이사항: 참가자별 임계값 8.0, 후보 32개 중 22개 검증</xltc:text>
  </xltc:threadedComment>
  <xltc:threadedComment ref="AF97" dT="2026-08-29T20:18:33.062" personId="{5B662E2E-135B-4BED-903F-30CFA12D6CAD}" id="{282996FB-ADED-4C13-BB95-4B84D1F1C349}">
    <xltc:text>M09 4-1 시작의 대체 후보 762.3 s (현재 선택/추천 756.1 s)</xltc:text>
  </xltc:threadedComment>
  <xltc:threadedComment ref="AH98" dT="2026-08-29T20:18:33.062" personId="{5B662E2E-135B-4BED-903F-30CFA12D6CAD}" id="{533CA35F-1561-48E4-9ADE-6D90B464AC86}">
    <xltc:text>검토 구분: 전수 후보에는 있으나 RAW 8.5V에는 일치값이 없음
참가자: S23_KDM
값 출처: $2 최종 선택
RAW 8.5V 일치: 없음
전수 후보 일치: 777.9 s
M11 4-2 시작: 777.9 s
가까운 후보: 777.9
4번 낙상-30초 유지: 41.7 s / 예상 25~75 s / 시간 적합
참가자 특이사항: 참가자별 임계값 8.0, 후보 32개 중 22개 검증</xltc:text>
  </xltc:threadedComment>
  <xltc:threadedComment ref="AJ98" dT="2026-08-29T20:18:33.062" personId="{5B662E2E-135B-4BED-903F-30CFA12D6CAD}" id="{2C12C56C-2461-4E92-A969-C6E33894D717}">
    <xltc:text>검토 구분: 전수 후보에는 있으나 RAW 8.5V에는 일치값이 없음
참가자: S23_KDM
값 출처: $2 최종 선택
RAW 8.5V 일치: 없음
전수 후보 일치: 819.6 s
M12 4-2 종료: 819.6 s
가까운 후보: 819.6, 831.4
4번 낙상-30초 유지: 41.7 s / 예상 25~75 s / 시간 적합
참가자 특이사항: 참가자별 임계값 8.0, 후보 32개 중 22개 검증</xltc:text>
  </xltc:threadedComment>
  <xltc:threadedComment ref="AJ97" dT="2026-08-29T20:18:33.062" personId="{5B662E2E-135B-4BED-903F-30CFA12D6CAD}" id="{465BFCD5-AF96-41C6-958B-20C4984AAB26}">
    <xltc:text>M13 4-3 시작의 대체 후보 819.6 s (현재 선택/추천 831.4 s)</xltc:text>
  </xltc:threadedComment>
  <xltc:threadedComment ref="AL98" dT="2026-08-29T20:18:33.062" personId="{5B662E2E-135B-4BED-903F-30CFA12D6CAD}" id="{9EDBB76C-F453-445B-823B-9728C5CD9153}">
    <xltc:text>검토 구분: 전수 후보에는 있으나 RAW 8.5V에는 일치값이 없음
참가자: S23_KDM
값 출처: $2 최종 선택
RAW 8.5V 일치: 없음
전수 후보 일치: 831.4 s
M13 4-3 시작: 831.4 s
가까운 후보: 831.4, 841.4, 819.6
4번 낙상-천천히: 49.5 s / 예상 25~90 s / 시간 적합
참가자 특이사항: 참가자별 임계값 8.0, 후보 32개 중 22개 검증</xltc:text>
  </xltc:threadedComment>
  <xltc:threadedComment ref="AL97" dT="2026-08-29T20:18:33.062" personId="{5B662E2E-135B-4BED-903F-30CFA12D6CAD}" id="{56A83ADD-B7B8-4A34-9026-AE93036ECC39}">
    <xltc:text>M12 4-2 종료의 대체 후보 831.4 s (현재 선택/추천 819.6 s)</xltc:text>
  </xltc:threadedComment>
  <xltc:threadedComment ref="AM97" dT="2026-08-29T20:18:33.062" personId="{5B662E2E-135B-4BED-903F-30CFA12D6CAD}" id="{935E6400-E794-441C-B2B8-B4EB064232E7}">
    <xltc:text>M13 4-3 시작의 대체 후보 841.4 s (현재 선택/추천 831.4 s)</xltc:text>
  </xltc:threadedComment>
  <xltc:threadedComment ref="AO98" dT="2026-08-29T20:18:33.062" personId="{5B662E2E-135B-4BED-903F-30CFA12D6CAD}" id="{64389424-391F-4521-A2BD-8FD9FEFB6443}">
    <xltc:text>검토 구분: 전수 후보에는 있으나 RAW 8.5V에는 일치값이 없음
참가자: S23_KDM
값 출처: $2 최종 선택
RAW 8.5V 일치: 없음
전수 후보 일치: 880.9 s
M14 4-3 종료: 880.9 s
가까운 후보: 880.9
4번 낙상-천천히: 49.5 s / 예상 25~90 s / 시간 적합
참가자 특이사항: 참가자별 임계값 8.0, 후보 32개 중 22개 검증</xltc:text>
  </xltc:threadedComment>
  <xltc:threadedComment ref="AQ97" dT="2026-08-29T20:18:33.062" personId="{5B662E2E-135B-4BED-903F-30CFA12D6CAD}" id="{4F832EC9-544B-4E4B-82FC-CBF7A089DBBD}">
    <xltc:text>M16 4-4 종료의 대체 후보 899.9 s (현재 선택/추천 907.8 s)</xltc:text>
  </xltc:threadedComment>
  <xltc:threadedComment ref="AR98" dT="2026-08-29T20:18:33.063" personId="{5B662E2E-135B-4BED-903F-30CFA12D6CAD}" id="{45FE76E0-370E-426F-B962-767E5EB881AE}">
    <xltc:text>검토 구분: 전수 후보에는 있으나 RAW 8.5V에는 일치값이 없음
참가자: S23_KDM
값 출처: $2 최종 선택
RAW 8.5V 일치: 없음
전수 후보 일치: 907.8 s
M16 4-4 종료: 907.8 s
가까운 후보: 907.8, 899.9
4번 물건 집기: 7.9 s / 예상 5~40 s / 시간 적합
참가자 특이사항: 참가자별 임계값 8.0, 후보 32개 중 22개 검증</xltc:text>
  </xltc:threadedComment>
  <xltc:threadedComment ref="AR97" dT="2026-08-29T20:18:33.063" personId="{5B662E2E-135B-4BED-903F-30CFA12D6CAD}" id="{36335928-31A3-481A-8C70-A438A52C3D81}">
    <xltc:text>M15 4-4 시작의 대체 후보 907.8 s (현재 선택/추천 899.9 s)</xltc:text>
  </xltc:threadedComment>
  <xltc:threadedComment ref="AT98" dT="2026-08-29T20:18:33.063" personId="{5B662E2E-135B-4BED-903F-30CFA12D6CAD}" id="{E9F17879-699A-48BC-92B8-E826EC137E4B}">
    <xltc:text>검토 구분: 전수 후보에는 있으나 RAW 8.5V에는 일치값이 없음
참가자: S23_KDM
값 출처: $2 최종 선택
RAW 8.5V 일치: 없음
전수 후보 일치: 946.6 s
M17 5 시작: 946.6 s
가까운 후보: 946.6
5번 코스: 183.7 s / 예상 130~230 s / 시간 적합
참가자 특이사항: 참가자별 임계값 8.0, 후보 32개 중 22개 검증</xltc:text>
  </xltc:threadedComment>
  <xltc:threadedComment ref="AV98" dT="2026-08-29T20:18:33.063" personId="{5B662E2E-135B-4BED-903F-30CFA12D6CAD}" id="{6469D159-EFF5-4A16-9202-2952E6882F8A}">
    <xltc:text>검토 구분: 전수 후보에는 있으나 RAW 8.5V에는 일치값이 없음
참가자: S23_KDM
값 출처: $2 최종 선택
RAW 8.5V 일치: 없음
전수 후보 일치: 1130.3 s
M18 5 종료: 1130.3 s
가까운 후보: 1130.3
5번 코스: 183.7 s / 예상 130~230 s / 시간 적합
참가자 특이사항: 참가자별 임계값 8.0, 후보 32개 중 22개 검증</xltc:text>
  </xltc:threadedComment>
  <xltc:threadedComment ref="AX98" dT="2026-08-29T20:18:33.063" personId="{5B662E2E-135B-4BED-903F-30CFA12D6CAD}" id="{D66BDB54-07B1-4729-9581-BBE9CD05ADDB}">
    <xltc:text>검토 구분: 전수 후보에는 있으나 RAW 8.5V에는 일치값이 없음
참가자: S23_KDM
값 출처: $2 최종 선택
RAW 8.5V 일치: 없음
전수 후보 일치: 1147.4 s
M19 6 시작: 1147.4 s
가까운 후보: 1147.4
6번 왕복: 23.3 s / 예상 5~70 s / 시간 적합
참가자 특이사항: 참가자별 임계값 8.0, 후보 32개 중 22개 검증</xltc:text>
  </xltc:threadedComment>
  <xltc:threadedComment ref="AZ98" dT="2026-08-29T20:18:33.063" personId="{5B662E2E-135B-4BED-903F-30CFA12D6CAD}" id="{B8F8A869-E15E-40D5-B7F8-D452702B17C1}">
    <xltc:text>검토 구분: 전수 후보에는 있으나 RAW 8.5V에는 일치값이 없음
참가자: S23_KDM
값 출처: $2 최종 선택
RAW 8.5V 일치: 없음
전수 후보 일치: 1170.7 s
M20 6 종료: 1170.7 s
가까운 후보: 1170.7
6번 왕복: 23.3 s / 예상 5~70 s / 시간 적합
참가자 특이사항: 참가자별 임계값 8.0, 후보 32개 중 22개 검증</xltc:text>
  </xltc:threadedComment>
  <xltc:threadedComment ref="BB98" dT="2026-08-29T20:18:33.064" personId="{5B662E2E-135B-4BED-903F-30CFA12D6CAD}" id="{351D8B69-F540-47F8-B48D-CC40EBE74A7A}">
    <xltc:text>검토 구분: 전수 후보에는 있으나 RAW 8.5V에는 일치값이 없음
참가자: S23_KDM
값 출처: $2 최종 선택
RAW 8.5V 일치: 없음
전수 후보 일치: 1193.7 s
M21 7 시작: 1193.7 s
가까운 후보: 1193.7, 1202.6
7번 자유: 17.7 s / 예상 5~70 s / 시간 적합
참가자 특이사항: 참가자별 임계값 8.0, 후보 32개 중 22개 검증</xltc:text>
  </xltc:threadedComment>
  <xltc:threadedComment ref="BC97" dT="2026-08-29T20:18:33.064" personId="{5B662E2E-135B-4BED-903F-30CFA12D6CAD}" id="{A34B31F9-7C15-4F40-A89F-A970F7D5C66A}">
    <xltc:text>M21 7 시작의 대체 후보 1202.6 s (현재 선택/추천 1193.7 s)
M22 7 종료의 대체 후보 1202.6 s (현재 선택/추천 1211.4 s)</xltc:text>
  </xltc:threadedComment>
  <xltc:threadedComment ref="BD98" dT="2026-08-29T20:18:33.064" personId="{5B662E2E-135B-4BED-903F-30CFA12D6CAD}" id="{AFF6E1B5-6EB5-40F0-BFDE-04B5BC40E1BF}">
    <xltc:text>검토 구분: 전수 후보에는 있으나 RAW 8.5V에는 일치값이 없음
참가자: S23_KDM
값 출처: $2 최종 선택
RAW 8.5V 일치: 없음
전수 후보 일치: 1211.4 s
M22 7 종료: 1211.4 s
가까운 후보: 1211.4, 1202.6
7번 자유: 17.7 s / 예상 5~70 s / 시간 적합
참가자 특이사항: 참가자별 임계값 8.0, 후보 32개 중 22개 검증</xltc:text>
  </xltc:threadedComment>
  <xltc:threadedComment ref="I106" dT="2026-08-29T20:18:33.07" personId="{5B662E2E-135B-4BED-903F-30CFA12D6CAD}" id="{E1C5A593-9393-4D81-B343-BF8134C9BF16}">
    <xltc:text>검토 구분: 같은 경계에 가까운 대체 후보가 둘 이상 있음
참가자: S25_GEC
값 출처: $2 최종 선택
RAW 8.5V 일치: 213.0 s
전수 후보 일치: 216.5 s
M02 1 종료: 216.6 s
가까운 후보: 216.5, 220.8
1번 호흡: 197.6 s / 예상 150~240 s / 시간 적합
참가자 특이사항: 자동 후보를 RSP 돌출·레이더 움직임·실험 순서로 수동 보정</xltc:text>
  </xltc:threadedComment>
  <xltc:threadedComment ref="J105" dT="2026-08-29T20:18:33.07" personId="{5B662E2E-135B-4BED-903F-30CFA12D6CAD}" id="{67F067DC-EBC1-489B-8CAF-CAC79593CBA0}">
    <xltc:text>M02 1 종료의 대체 후보 220.8 s (현재 선택/추천 216.6 s)</xltc:text>
  </xltc:threadedComment>
  <xltc:threadedComment ref="O105" dT="2026-08-29T20:18:33.071" personId="{5B662E2E-135B-4BED-903F-30CFA12D6CAD}" id="{83B111D0-19BF-403C-B81D-5E3D7974A444}">
    <xltc:text>M08 3-2 종료의 대체 후보 738.6 s (현재 선택/추천 749.3 s)</xltc:text>
  </xltc:threadedComment>
  <xltc:threadedComment ref="P105" dT="2026-08-29T20:18:33.071" personId="{5B662E2E-135B-4BED-903F-30CFA12D6CAD}" id="{CDBA35A4-B741-4D80-8759-88302E10070F}">
    <xltc:text>M07 3-2 시작의 대체 후보 749.3 s (현재 선택/추천 739.9 s)</xltc:text>
  </xltc:threadedComment>
  <xltc:threadedComment ref="R105" dT="2026-08-29T20:18:33.071" personId="{5B662E2E-135B-4BED-903F-30CFA12D6CAD}" id="{3FAD9B35-B641-4FB6-8C4B-33B4869A00E9}">
    <xltc:text>M09 4-1 시작의 대체 후보 863.7 s (현재 선택/추천 848.9 s)
M11 4-2 시작의 대체 후보 863.7 s (현재 선택/추천 874.6 s)</xltc:text>
  </xltc:threadedComment>
  <xltc:threadedComment ref="S105" dT="2026-08-29T20:18:33.071" personId="{5B662E2E-135B-4BED-903F-30CFA12D6CAD}" id="{9AD0B35A-2CA7-41ED-9B67-1AADA25381C9}">
    <xltc:text>M10 4-1 종료의 대체 후보 874.5 s (현재 선택/추천 863.8 s)</xltc:text>
  </xltc:threadedComment>
  <xltc:threadedComment ref="T105" dT="2026-08-29T20:18:33.071" personId="{5B662E2E-135B-4BED-903F-30CFA12D6CAD}" id="{89D671FE-CD06-4F0E-8884-F775F55F103D}">
    <xltc:text>M12 4-2 종료의 대체 후보 919.5 s (현재 선택/추천 923.9 s)
M13 4-3 시작의 대체 후보 919.5 s (현재 선택/추천 934.0 s)</xltc:text>
  </xltc:threadedComment>
  <xltc:threadedComment ref="U106" dT="2026-08-29T20:18:33.072" personId="{5B662E2E-135B-4BED-903F-30CFA12D6CAD}" id="{31DD3D6C-7963-4B70-97B0-85B736C78461}">
    <xltc:text>검토 구분: 같은 경계에 가까운 대체 후보가 둘 이상 있음
참가자: S25_GEC
값 출처: $2 최종 선택
RAW 8.5V 일치: 920.4 s
전수 후보 일치: 923.9 s
M12 4-2 종료: 923.9 s
가까운 후보: 923.9, 919.5, 933.9
4번 낙상-30초 유지: 49.3 s / 예상 25~75 s / 시간 적합
참가자 특이사항: 자동 후보를 RSP 돌출·레이더 움직임·실험 순서로 수동 보정</xltc:text>
  </xltc:threadedComment>
  <xltc:threadedComment ref="U105" dT="2026-08-29T20:18:33.072" personId="{5B662E2E-135B-4BED-903F-30CFA12D6CAD}" id="{7C46A028-7E9B-4D65-A2B9-0AEA7D96A67B}">
    <xltc:text>M13 4-3 시작의 대체 후보 923.9 s (현재 선택/추천 934.0 s)</xltc:text>
  </xltc:threadedComment>
  <xltc:threadedComment ref="V105" dT="2026-08-29T20:18:33.072" personId="{5B662E2E-135B-4BED-903F-30CFA12D6CAD}" id="{9F47A4FE-2AA2-4AA7-A5D6-192967E4EC16}">
    <xltc:text>M12 4-2 종료의 대체 후보 933.9 s (현재 선택/추천 923.9 s)</xltc:text>
  </xltc:threadedComment>
  <xltc:threadedComment ref="W105" dT="2026-08-29T20:18:33.072" personId="{5B662E2E-135B-4BED-903F-30CFA12D6CAD}" id="{21DEFBF3-0F90-46D5-BEC1-B9B60D33AEE5}">
    <xltc:text>M14 4-3 종료의 대체 후보 983.9 s (현재 선택/추천 989.2 s)</xltc:text>
  </xltc:threadedComment>
  <xltc:threadedComment ref="Y105" dT="2026-08-29T20:18:33.072" personId="{5B662E2E-135B-4BED-903F-30CFA12D6CAD}" id="{BD7F582D-3344-45F8-8800-A4934FB062C3}">
    <xltc:text>M16 4-4 종료의 대체 후보 1008.1 s (현재 선택/추천 1021.9 s)</xltc:text>
  </xltc:threadedComment>
  <xltc:threadedComment ref="Z105" dT="2026-08-29T20:18:33.072" personId="{5B662E2E-135B-4BED-903F-30CFA12D6CAD}" id="{132A725D-AD17-4F71-9235-61F62FCB2EE4}">
    <xltc:text>M15 4-4 시작의 대체 후보 1021.9 s (현재 선택/추천 1008.1 s)</xltc:text>
  </xltc:threadedComment>
  <xltc:threadedComment ref="AC105" dT="2026-08-29T20:18:33.073" personId="{5B662E2E-135B-4BED-903F-30CFA12D6CAD}" id="{9F0543DF-3FD4-4ED5-A3A9-5C0E59A05EB1}">
    <xltc:text>M19 6 시작의 대체 후보 1311.7 s (현재 선택/추천 1319.4 s)</xltc:text>
  </xltc:threadedComment>
  <xltc:threadedComment ref="AE105" dT="2026-08-29T20:18:33.073" personId="{5B662E2E-135B-4BED-903F-30CFA12D6CAD}" id="{7275EDB7-1C50-4A03-8BBC-B279192A61F3}">
    <xltc:text>M19 6 시작의 대체 후보 1324.7 s (현재 선택/추천 1319.4 s)</xltc:text>
  </xltc:threadedComment>
  <xltc:threadedComment ref="AG105" dT="2026-08-29T20:18:33.073" personId="{5B662E2E-135B-4BED-903F-30CFA12D6CAD}" id="{9B7FA359-1DE8-4E68-B413-87B12C521760}">
    <xltc:text>M22 7 종료의 대체 후보 1373.1 s (현재 선택/추천 1387.4 s)</xltc:text>
  </xltc:threadedComment>
  <xltc:threadedComment ref="AH105" dT="2026-08-29T20:18:33.074" personId="{5B662E2E-135B-4BED-903F-30CFA12D6CAD}" id="{E4A0CD7B-2311-4627-B251-AF7B6DF01BDB}">
    <xltc:text>M21 7 시작의 대체 후보 1387.4 s (현재 선택/추천 1373.2 s)</xltc:text>
  </xltc:threadedComment>
  <xltc:threadedComment ref="L109" dT="2026-08-29T20:18:33.076" personId="{5B662E2E-135B-4BED-903F-30CFA12D6CAD}" id="{A54F3CE0-94BA-4C6E-8CCA-2926E2040E86}">
    <xltc:text>M06 3-1 종료의 대체 후보 687.1 s (현재 선택/추천 700.0 s)</xltc:text>
  </xltc:threadedComment>
  <xltc:threadedComment ref="M109" dT="2026-08-29T20:18:33.076" personId="{5B662E2E-135B-4BED-903F-30CFA12D6CAD}" id="{CFBEA769-A846-41E2-A739-E1FAA409A761}">
    <xltc:text>M05 3-1 시작의 대체 후보 700.0 s (현재 선택/추천 687.1 s)</xltc:text>
  </xltc:threadedComment>
  <xltc:threadedComment ref="N109" dT="2026-08-29T20:18:33.076" personId="{5B662E2E-135B-4BED-903F-30CFA12D6CAD}" id="{B811AA5F-DFA7-4EC2-9584-88B288E461C0}">
    <xltc:text>M08 3-2 종료의 대체 후보 718.7 s (현재 선택/추천 730.8 s)</xltc:text>
  </xltc:threadedComment>
  <xltc:threadedComment ref="O109" dT="2026-08-29T20:18:33.076" personId="{5B662E2E-135B-4BED-903F-30CFA12D6CAD}" id="{748B48A0-C148-4282-9BF8-884A84418438}">
    <xltc:text>M07 3-2 시작의 대체 후보 730.8 s (현재 선택/추천 718.7 s)</xltc:text>
  </xltc:threadedComment>
  <xltc:threadedComment ref="Q109" dT="2026-08-29T20:18:33.076" personId="{5B662E2E-135B-4BED-903F-30CFA12D6CAD}" id="{FCC99EBA-EAA6-40A6-B01E-F2DC10896AEF}">
    <xltc:text>M09 4-1 시작의 대체 후보 794.9 s (현재 선택/추천 788.4 s)
M10 4-1 종료의 대체 후보 794.9 s (현재 선택/추천 805.0 s)</xltc:text>
  </xltc:threadedComment>
  <xltc:threadedComment ref="R109" dT="2026-08-29T20:18:33.077" personId="{5B662E2E-135B-4BED-903F-30CFA12D6CAD}" id="{FCF829E3-F967-49EE-88BC-68BC073D29EA}">
    <xltc:text>M11 4-2 시작의 대체 후보 805.0 s (현재 선택/추천 817.9 s)</xltc:text>
  </xltc:threadedComment>
  <xltc:threadedComment ref="S109" dT="2026-08-29T20:18:33.077" personId="{5B662E2E-135B-4BED-903F-30CFA12D6CAD}" id="{2B647A2C-A5E7-4C4C-ACFD-CFE956270091}">
    <xltc:text>M10 4-1 종료의 대체 후보 817.9 s (현재 선택/추천 805.0 s)</xltc:text>
  </xltc:threadedComment>
  <xltc:threadedComment ref="T109" dT="2026-08-29T20:18:33.077" personId="{5B662E2E-135B-4BED-903F-30CFA12D6CAD}" id="{40EFF221-2BD8-44CF-BF0B-D2C808C9EDBD}">
    <xltc:text>M13 4-3 시작의 대체 후보 864.6 s (현재 선택/추천 874.2 s)</xltc:text>
  </xltc:threadedComment>
  <xltc:threadedComment ref="U109" dT="2026-08-29T20:18:33.078" personId="{5B662E2E-135B-4BED-903F-30CFA12D6CAD}" id="{DFA1821A-C102-4F70-8114-744A5014AE50}">
    <xltc:text>M12 4-2 종료의 대체 후보 874.2 s (현재 선택/추천 864.6 s)</xltc:text>
  </xltc:threadedComment>
  <xltc:threadedComment ref="V109" dT="2026-08-29T20:18:33.078" personId="{5B662E2E-135B-4BED-903F-30CFA12D6CAD}" id="{9912530C-49A8-4F47-84B0-BB252E680605}">
    <xltc:text>M12 4-2 종료의 대체 후보 879.3 s (현재 선택/추천 864.6 s)
M13 4-3 시작의 대체 후보 879.3 s (현재 선택/추천 874.2 s)</xltc:text>
  </xltc:threadedComment>
  <xltc:threadedComment ref="X109" dT="2026-08-29T20:18:33.078" personId="{5B662E2E-135B-4BED-903F-30CFA12D6CAD}" id="{F32876F3-7A4B-4E57-83C6-85B9F353E185}">
    <xltc:text>M16 4-4 종료의 대체 후보 944.9 s (현재 선택/추천 958.1 s)</xltc:text>
  </xltc:threadedComment>
  <xltc:threadedComment ref="Y109" dT="2026-08-29T20:18:33.078" personId="{5B662E2E-135B-4BED-903F-30CFA12D6CAD}" id="{465291E7-4700-42F4-BCC3-2CE60EA1C3F4}">
    <xltc:text>M15 4-4 시작의 대체 후보 958.1 s (현재 선택/추천 944.9 s)</xltc:text>
  </xltc:threadedComment>
  <xltc:threadedComment ref="AD109" dT="2026-08-29T20:18:33.079" personId="{5B662E2E-135B-4BED-903F-30CFA12D6CAD}" id="{4F68E05C-A9BD-4265-B1AD-2FCCA78D5007}">
    <xltc:text>M22 7 종료의 대체 후보 1278.0 s (현재 선택/추천 1291.4 s)</xltc:text>
  </xltc:threadedComment>
  <xltc:threadedComment ref="AE109" dT="2026-08-29T20:18:33.079" personId="{5B662E2E-135B-4BED-903F-30CFA12D6CAD}" id="{41880271-005A-4E9F-9096-B303A437F962}">
    <xltc:text>M21 7 시작의 대체 후보 1291.4 s (현재 선택/추천 1278.0 s)</xltc:text>
  </xltc:threadedComment>
  <xltc:threadedComment ref="H113" dT="2026-08-29T20:18:33.081" personId="{5B662E2E-135B-4BED-903F-30CFA12D6CAD}" id="{2B76F4AF-B983-42F0-9F0A-104145136181}">
    <xltc:text>M01 1 시작의 대체 후보 -2.1 s (현재 선택/추천 6.2 s)</xltc:text>
  </xltc:threadedComment>
  <xltc:threadedComment ref="J114" dT="2026-08-29T20:18:33.081" personId="{5B662E2E-135B-4BED-903F-30CFA12D6CAD}" id="{9E74349D-E420-44A9-BEF5-4497ABA53732}">
    <xltc:text>검토 구분: 선택값이 RAW 8.5V 및 전수 후보와 ±2초 이내에서 일치하지 않음
참가자: S27_HDH
값 출처: $2 최종 선택
RAW 8.5V 일치: 없음
전수 후보 일치: 없음
M02 1 종료: 198.3 s
가까운 후보: 201.9
1번 호흡: 192.1 s / 예상 150~240 s / 시간 적합
참가자 특이사항: 자동 후보를 RSP 돌출·레이더 움직임·실험 순서로 수동 보정</xltc:text>
  </xltc:threadedComment>
  <xltc:threadedComment ref="L114" dT="2026-08-29T20:18:33.081" personId="{5B662E2E-135B-4BED-903F-30CFA12D6CAD}" id="{07A443D8-59B5-4D1D-BF3F-70445F0D07CB}">
    <xltc:text>검토 구분: 선택값이 RAW 8.5V 및 전수 후보와 ±2초 이내에서 일치하지 않음
참가자: S27_HDH
값 출처: $2 최종 선택
RAW 8.5V 일치: 없음
전수 후보 일치: 없음
M03 2 시작: 221.1 s
가까운 후보: 224.4
2번 호흡: 375.8 s / 예상 240~450 s / 시간 적합
참가자 특이사항: 자동 후보를 RSP 돌출·레이더 움직임·실험 순서로 수동 보정</xltc:text>
  </xltc:threadedComment>
  <xltc:threadedComment ref="Y114" dT="2026-08-29T20:18:33.082" personId="{5B662E2E-135B-4BED-903F-30CFA12D6CAD}" id="{45CAA5DF-3E3F-4E37-A879-FB6FBA86B40B}">
    <xltc:text>검토 구분: 선택값이 RAW 8.5V 및 전수 후보와 ±2초 이내에서 일치하지 않음
참가자: S27_HDH
값 출처: $2 최종 선택
RAW 8.5V 일치: 없음
전수 후보 일치: 없음
M07 3-2 시작: 682.1 s
가까운 후보: 684.3
3번 픽업-2: 13.6 s / 예상 5~90 s / 시간 적합
참가자 특이사항: 자동 후보를 RSP 돌출·레이더 움직임·실험 순서로 수동 보정</xltc:text>
  </xltc:threadedComment>
  <xltc:threadedComment ref="Z113" dT="2026-08-29T20:18:33.082" personId="{5B662E2E-135B-4BED-903F-30CFA12D6CAD}" id="{9FFBC86D-4B32-4C56-A149-FB414AE5E563}">
    <xltc:text>M08 3-2 종료의 대체 후보 684.3 s (현재 선택/추천 695.7 s)</xltc:text>
  </xltc:threadedComment>
  <xltc:threadedComment ref="AA114" dT="2026-08-29T20:18:33.082" personId="{5B662E2E-135B-4BED-903F-30CFA12D6CAD}" id="{96AE7813-EE1A-43AA-8199-19B2510C7258}">
    <xltc:text>검토 구분: 선택값이 RAW 8.5V 및 전수 후보와 ±2초 이내에서 일치하지 않음
참가자: S27_HDH
값 출처: $2 최종 선택
RAW 8.5V 일치: 없음
전수 후보 일치: 없음
M08 3-2 종료: 695.7 s
가까운 후보: 698.0, 684.3
3번 픽업-2: 13.6 s / 예상 5~90 s / 시간 적합
참가자 특이사항: 자동 후보를 RSP 돌출·레이더 움직임·실험 순서로 수동 보정</xltc:text>
  </xltc:threadedComment>
  <xltc:threadedComment ref="AC113" dT="2026-08-29T20:18:33.082" personId="{5B662E2E-135B-4BED-903F-30CFA12D6CAD}" id="{76569070-D296-419C-84BB-361E745B943F}">
    <xltc:text>M10 4-1 종료의 대체 후보 754.6 s (현재 선택/추천 767.2 s)</xltc:text>
  </xltc:threadedComment>
  <xltc:threadedComment ref="AD113" dT="2026-08-29T20:18:33.082" personId="{5B662E2E-135B-4BED-903F-30CFA12D6CAD}" id="{74B9D8E9-1621-481A-8D74-2D2225899E80}">
    <xltc:text>M09 4-1 시작의 대체 후보 762.8 s (현재 선택/추천 754.0 s)
M10 4-1 종료의 대체 후보 762.8 s (현재 선택/추천 767.2 s)</xltc:text>
  </xltc:threadedComment>
  <xltc:threadedComment ref="AE114" dT="2026-08-29T20:18:33.083" personId="{5B662E2E-135B-4BED-903F-30CFA12D6CAD}" id="{F5B27C86-F0B0-4256-8DEA-DCB67A04DAFD}">
    <xltc:text>검토 구분: 같은 경계에 가까운 대체 후보가 둘 이상 있음
참가자: S27_HDH
값 출처: $2 최종 선택
RAW 8.5V 일치: 770.2 s
전수 후보 일치: 768.6 s
M10 4-1 종료: 767.2 s
가까운 후보: 768.6, 762.8, 754.6
4번 낙상-즉시: 13.2 s / 예상 5~30 s / 시간 적합
참가자 특이사항: 자동 후보를 RSP 돌출·레이더 움직임·실험 순서로 수동 보정</xltc:text>
  </xltc:threadedComment>
  <xltc:threadedComment ref="AE113" dT="2026-08-29T20:18:33.083" personId="{5B662E2E-135B-4BED-903F-30CFA12D6CAD}" id="{7FA115C2-DCA5-42AC-A184-A90F279C9D87}">
    <xltc:text>M09 4-1 시작의 대체 후보 768.6 s (현재 선택/추천 754.0 s)
M11 4-2 시작의 대체 후보 768.6 s (현재 선택/추천 780.3 s)</xltc:text>
  </xltc:threadedComment>
  <xltc:threadedComment ref="AG113" dT="2026-08-29T20:18:33.083" personId="{5B662E2E-135B-4BED-903F-30CFA12D6CAD}" id="{0B3D7B6E-AD05-40FC-8B9A-480BE87FA01A}">
    <xltc:text>M11 4-2 시작의 대체 후보 786.5 s (현재 선택/추천 780.3 s)</xltc:text>
  </xltc:threadedComment>
  <xltc:threadedComment ref="AH113" dT="2026-08-29T20:18:33.083" personId="{5B662E2E-135B-4BED-903F-30CFA12D6CAD}" id="{CAE0BBC2-FCD8-46BE-A5F9-E1D59DE61EAD}">
    <xltc:text>M13 4-3 시작의 대체 후보 826.5 s (현재 선택/추천 838.1 s)</xltc:text>
  </xltc:threadedComment>
  <xltc:threadedComment ref="AI114" dT="2026-08-29T20:18:33.083" personId="{5B662E2E-135B-4BED-903F-30CFA12D6CAD}" id="{BD75EF86-F57C-4E31-A52B-8CF3D0D46A7D}">
    <xltc:text>검토 구분: 선택값이 RAW 8.5V 및 전수 후보와 ±2초 이내에서 일치하지 않음
참가자: S27_HDH
값 출처: $2 최종 선택
RAW 8.5V 일치: 없음
전수 후보 일치: 없음
M13 4-3 시작: 838.1 s
가까운 후보: 840.9, 826.5
4번 낙상-천천히: 50.9 s / 예상 25~90 s / 시간 적합
참가자 특이사항: 자동 후보를 RSP 돌출·레이더 움직임·실험 순서로 수동 보정</xltc:text>
  </xltc:threadedComment>
  <xltc:threadedComment ref="AJ113" dT="2026-08-29T20:18:33.083" personId="{5B662E2E-135B-4BED-903F-30CFA12D6CAD}" id="{2ECF7396-AE10-4DCD-B411-326CA18FA504}">
    <xltc:text>M12 4-2 종료의 대체 후보 840.9 s (현재 선택/추천 825.9 s)</xltc:text>
  </xltc:threadedComment>
  <xltc:threadedComment ref="AL113" dT="2026-08-29T20:18:33.084" personId="{5B662E2E-135B-4BED-903F-30CFA12D6CAD}" id="{1BC51B67-E0F9-41A8-A200-956E00AB5C90}">
    <xltc:text>M16 4-4 종료의 대체 후보 911.0 s (현재 선택/추천 922.5 s)</xltc:text>
  </xltc:threadedComment>
  <xltc:threadedComment ref="AM113" dT="2026-08-29T20:18:33.084" personId="{5B662E2E-135B-4BED-903F-30CFA12D6CAD}" id="{6ABAC099-DCD7-4919-B65F-099506E5213F}">
    <xltc:text>M15 4-4 시작의 대체 후보 921.6 s (현재 선택/추천 910.0 s)</xltc:text>
  </xltc:threadedComment>
  <xltc:threadedComment ref="AO114" dT="2026-08-29T20:18:33.084" personId="{5B662E2E-135B-4BED-903F-30CFA12D6CAD}" id="{FAA336DB-D10A-4DB9-8F3F-9B55CE1E5F47}">
    <xltc:text>검토 구분: 선택값이 RAW 8.5V 및 전수 후보와 ±2초 이내에서 일치하지 않음
참가자: S27_HDH
값 출처: $2 최종 선택
RAW 8.5V 일치: 없음
전수 후보 일치: 없음
M17 5 시작: 972.0 s
가까운 후보: 969.8
5번 코스: 187.6 s / 예상 130~230 s / 시간 적합
참가자 특이사항: 자동 후보를 RSP 돌출·레이더 움직임·실험 순서로 수동 보정</xltc:text>
  </xltc:threadedComment>
  <xltc:threadedComment ref="AR114" dT="2026-08-29T20:18:33.084" personId="{5B662E2E-135B-4BED-903F-30CFA12D6CAD}" id="{64151DD8-3A7C-4B4D-B39D-4F41EC702CBE}">
    <xltc:text>검토 구분: 전수 후보에는 있으나 RAW 8.5V에는 일치값이 없음
참가자: S27_HDH
값 출처: $2 최종 선택
RAW 8.5V 일치: 없음
전수 후보 일치: 1205.4 s
M20 6 종료: 1205.4 s
가까운 후보: 1205.4
6번 왕복: 22.1 s / 예상 5~70 s / 시간 적합
참가자 특이사항: 자동 후보를 RSP 돌출·레이더 움직임·실험 순서로 수동 보정</xltc:text>
  </xltc:threadedComment>
  <xltc:threadedComment ref="AS113" dT="2026-08-29T20:18:33.085" personId="{5B662E2E-135B-4BED-903F-30CFA12D6CAD}" id="{2FE19105-AF40-4055-BA65-3B6B1754B2D3}">
    <xltc:text>M22 7 종료의 대체 후보 1224.3 s (현재 선택/추천 1236.0 s)</xltc:text>
  </xltc:threadedComment>
  <xltc:threadedComment ref="AT113" dT="2026-08-29T20:18:33.085" personId="{5B662E2E-135B-4BED-903F-30CFA12D6CAD}" id="{7797159B-F74E-4031-8E33-643DEE61D1FB}">
    <xltc:text>M21 7 시작의 대체 후보 1236.3 s (현재 선택/추천 1225.3 s)</xltc:text>
  </xltc:threadedComment>
  <xltc:threadedComment ref="J118" dT="2026-08-29T20:18:33.087" personId="{5B662E2E-135B-4BED-903F-30CFA12D6CAD}" id="{A4B148AA-EC61-4EB8-B2B1-0125326139D8}">
    <xltc:text>검토 구분: 전수 후보에는 있으나 RAW 8.5V에는 일치값이 없음
참가자: S28_KDH
값 출처: $2 최종 선택
RAW 8.5V 일치: 없음
전수 후보 일치: 207.6 s
M02 1 종료: 207.6 s
가까운 후보: 207.6, 214.4
1번 호흡: 193.2 s / 예상 150~240 s / 시간 적합
참가자 특이사항: 참가자별 임계값 7.0, 후보 25개 중 22개 검증</xltc:text>
  </xltc:threadedComment>
  <xltc:threadedComment ref="K117" dT="2026-08-29T20:18:33.087" personId="{5B662E2E-135B-4BED-903F-30CFA12D6CAD}" id="{E91B4A74-CB04-4985-8B61-B8BA5B0431F9}">
    <xltc:text>M02 1 종료의 대체 후보 214.4 s (현재 선택/추천 207.6 s)</xltc:text>
  </xltc:threadedComment>
  <xltc:threadedComment ref="L118" dT="2026-08-29T20:18:33.087" personId="{5B662E2E-135B-4BED-903F-30CFA12D6CAD}" id="{D288C58D-9E7C-4169-8322-45B1F8EB5C4B}">
    <xltc:text>검토 구분: 전수 후보에는 있으나 RAW 8.5V에는 일치값이 없음
참가자: S28_KDH
값 출처: $2 최종 선택
RAW 8.5V 일치: 없음
전수 후보 일치: 238.9 s
M03 2 시작: 238.9 s
가까운 후보: 238.9
2번 호흡: 377.4 s / 예상 240~450 s / 시간 적합
참가자 특이사항: 참가자별 임계값 7.0, 후보 25개 중 22개 검증</xltc:text>
  </xltc:threadedComment>
  <xltc:threadedComment ref="N118" dT="2026-08-29T20:18:33.087" personId="{5B662E2E-135B-4BED-903F-30CFA12D6CAD}" id="{24A93347-6FAE-445B-8053-35BA9FB9DF87}">
    <xltc:text>검토 구분: 전수 후보에는 있으나 RAW 8.5V에는 일치값이 없음
참가자: S28_KDH
값 출처: $2 최종 선택
RAW 8.5V 일치: 없음
전수 후보 일치: 674.4 s
M05 3-1 시작: 674.4 s
가까운 후보: 674.4
3번 픽업-1: 16.3 s / 예상 5~90 s / 시간 적합
참가자 특이사항: 참가자별 임계값 7.0, 후보 25개 중 22개 검증</xltc:text>
  </xltc:threadedComment>
  <xltc:threadedComment ref="O118" dT="2026-08-29T20:18:33.087" personId="{5B662E2E-135B-4BED-903F-30CFA12D6CAD}" id="{03D943AD-E85D-434B-9AB5-DF7DB2D295E8}">
    <xltc:text>검토 구분: 전수 후보에는 있으나 RAW 8.5V에는 일치값이 없음
참가자: S28_KDH
값 출처: $2 최종 선택
RAW 8.5V 일치: 없음
전수 후보 일치: 690.7 s
M06 3-1 종료: 690.7 s
가까운 후보: 690.7
3번 픽업-1: 16.3 s / 예상 5~90 s / 시간 적합
참가자 특이사항: 참가자별 임계값 7.0, 후보 25개 중 22개 검증</xltc:text>
  </xltc:threadedComment>
  <xltc:threadedComment ref="T117" dT="2026-08-29T20:18:33.088" personId="{5B662E2E-135B-4BED-903F-30CFA12D6CAD}" id="{1C3DF5BD-E321-444F-960D-F8F1F4DE16CA}">
    <xltc:text>M09 4-1 시작의 대체 후보 797.9 s (현재 선택/추천 788.8 s)
M10 4-1 종료의 대체 후보 797.9 s (현재 선택/추천 804.4 s)</xltc:text>
  </xltc:threadedComment>
  <xltc:threadedComment ref="U117" dT="2026-08-29T20:18:33.088" personId="{5B662E2E-135B-4BED-903F-30CFA12D6CAD}" id="{BAE4CFF3-2B4E-404A-84F2-FAAEE894A24E}">
    <xltc:text>M11 4-2 시작의 대체 후보 804.4 s (현재 선택/추천 817.7 s)</xltc:text>
  </xltc:threadedComment>
  <xltc:threadedComment ref="V117" dT="2026-08-29T20:18:33.088" personId="{5B662E2E-135B-4BED-903F-30CFA12D6CAD}" id="{6148088A-032A-4055-9A43-CF5AB41DEE0C}">
    <xltc:text>M10 4-1 종료의 대체 후보 817.7 s (현재 선택/추천 804.4 s)</xltc:text>
  </xltc:threadedComment>
  <xltc:threadedComment ref="Y117" dT="2026-08-29T20:18:33.089" personId="{5B662E2E-135B-4BED-903F-30CFA12D6CAD}" id="{EF6BFB6D-EB6D-4A1B-86B5-384814011A20}">
    <xltc:text>M13 4-3 시작의 대체 후보 887.4 s (현재 선택/추천 881.2 s)</xltc:text>
  </xltc:threadedComment>
  <xltc:threadedComment ref="AA118" dT="2026-08-29T20:18:33.089" personId="{5B662E2E-135B-4BED-903F-30CFA12D6CAD}" id="{D07A533E-1E7A-42FD-BA3A-B19E722EA326}">
    <xltc:text>검토 구분: 전수 후보에는 있으나 RAW 8.5V에는 일치값이 없음
참가자: S28_KDH
값 출처: $2 최종 선택
RAW 8.5V 일치: 없음
전수 후보 일치: 946.0 s
M15 4-4 시작: 946.0 s
가까운 후보: 946.0, 958.0
4번 물건 집기: 11.9 s / 예상 5~40 s / 시간 적합
참가자 특이사항: 참가자별 임계값 7.0, 후보 25개 중 22개 검증</xltc:text>
  </xltc:threadedComment>
  <xltc:threadedComment ref="AA117" dT="2026-08-29T20:18:33.089" personId="{5B662E2E-135B-4BED-903F-30CFA12D6CAD}" id="{0E9473E0-591D-46A6-BD17-057590BDDFBF}">
    <xltc:text>M16 4-4 종료의 대체 후보 946.0 s (현재 선택/추천 958.0 s)</xltc:text>
  </xltc:threadedComment>
  <xltc:threadedComment ref="AB117" dT="2026-08-29T20:18:33.089" personId="{5B662E2E-135B-4BED-903F-30CFA12D6CAD}" id="{06D11677-75EF-4C13-AE7B-740CD55042B8}">
    <xltc:text>M15 4-4 시작의 대체 후보 958.0 s (현재 선택/추천 946.0 s)</xltc:text>
  </xltc:threadedComment>
  <xltc:threadedComment ref="AD118" dT="2026-08-29T20:18:33.09" personId="{5B662E2E-135B-4BED-903F-30CFA12D6CAD}" id="{3FE08BB1-5E6D-4757-9586-7A44BBBFC21E}">
    <xltc:text>검토 구분: 전수 후보에는 있으나 RAW 8.5V에는 일치값이 없음
참가자: S28_KDH
값 출처: $2 최종 선택
RAW 8.5V 일치: 없음
전수 후보 일치: 1191.4 s
M18 5 종료: 1191.4 s
가까운 후보: 1191.4
5번 코스: 188.9 s / 예상 130~230 s / 시간 적합
참가자 특이사항: 참가자별 임계값 7.0, 후보 25개 중 22개 검증</xltc:text>
  </xltc:threadedComment>
  <xltc:threadedComment ref="AG117" dT="2026-08-29T20:18:33.09" personId="{5B662E2E-135B-4BED-903F-30CFA12D6CAD}" id="{93729A72-2D2D-494C-B7F2-D6D799AEFE20}">
    <xltc:text>M22 7 종료의 대체 후보 1265.3 s (현재 선택/추천 1278.3 s)</xltc:text>
  </xltc:threadedComment>
  <xltc:threadedComment ref="AH117" dT="2026-08-29T20:18:33.09" personId="{5B662E2E-135B-4BED-903F-30CFA12D6CAD}" id="{E6B488E3-B613-4D05-9161-A343C7CCF5F9}">
    <xltc:text>M21 7 시작의 대체 후보 1278.3 s (현재 선택/추천 1265.3 s)</xltc:text>
  </xltc:threadedComment>
  <xltc:threadedComment ref="L121" dT="2026-08-29T20:18:33.093" personId="{5B662E2E-135B-4BED-903F-30CFA12D6CAD}" id="{738266A3-1262-48BF-8723-464971F4F8DA}">
    <xltc:text>M06 3-1 종료의 대체 후보 652.5 s (현재 선택/추천 666.7 s)</xltc:text>
  </xltc:threadedComment>
  <xltc:threadedComment ref="M121" dT="2026-08-29T20:18:33.093" personId="{5B662E2E-135B-4BED-903F-30CFA12D6CAD}" id="{0A14E420-A000-4D07-9883-12C4254FCC20}">
    <xltc:text>M05 3-1 시작의 대체 후보 666.7 s (현재 선택/추천 652.5 s)</xltc:text>
  </xltc:threadedComment>
  <xltc:threadedComment ref="N121" dT="2026-08-29T20:18:33.093" personId="{5B662E2E-135B-4BED-903F-30CFA12D6CAD}" id="{1C613B87-9C6B-4A49-8AB4-247BD8F5197E}">
    <xltc:text>M08 3-2 종료의 대체 후보 682.4 s (현재 선택/추천 695.8 s)</xltc:text>
  </xltc:threadedComment>
  <xltc:threadedComment ref="O121" dT="2026-08-29T20:18:33.093" personId="{5B662E2E-135B-4BED-903F-30CFA12D6CAD}" id="{E6EA13D0-BC06-4506-8766-68DA73D0CF84}">
    <xltc:text>M07 3-2 시작의 대체 후보 695.8 s (현재 선택/추천 682.4 s)</xltc:text>
  </xltc:threadedComment>
  <xltc:threadedComment ref="Q121" dT="2026-08-29T20:18:33.094" personId="{5B662E2E-135B-4BED-903F-30CFA12D6CAD}" id="{B1DFCD3F-B8C7-4082-B03B-6929511E0DCC}">
    <xltc:text>M11 4-2 시작의 대체 후보 781.2 s (현재 선택/추천 790.8 s)</xltc:text>
  </xltc:threadedComment>
  <xltc:threadedComment ref="R121" dT="2026-08-29T20:18:33.094" personId="{5B662E2E-135B-4BED-903F-30CFA12D6CAD}" id="{94BFE33E-FFD4-4AD4-9C0B-239C5FFDA3E9}">
    <xltc:text>M10 4-1 종료의 대체 후보 790.8 s (현재 선택/추천 781.2 s)</xltc:text>
  </xltc:threadedComment>
  <xltc:threadedComment ref="S121" dT="2026-08-29T20:18:33.094" personId="{5B662E2E-135B-4BED-903F-30CFA12D6CAD}" id="{2AE86C36-3B2A-461F-8F22-53BA336D1022}">
    <xltc:text>M13 4-3 시작의 대체 후보 837.3 s (현재 선택/추천 848.7 s)</xltc:text>
  </xltc:threadedComment>
  <xltc:threadedComment ref="T121" dT="2026-08-29T20:18:33.094" personId="{5B662E2E-135B-4BED-903F-30CFA12D6CAD}" id="{38F30C35-4312-4F6C-85AA-8123BB2DD21C}">
    <xltc:text>M12 4-2 종료의 대체 후보 848.7 s (현재 선택/추천 837.3 s)</xltc:text>
  </xltc:threadedComment>
  <xltc:threadedComment ref="V121" dT="2026-08-29T20:18:33.094" personId="{5B662E2E-135B-4BED-903F-30CFA12D6CAD}" id="{387DEC30-4B78-43B4-B313-16EC3BB6298A}">
    <xltc:text>M16 4-4 종료의 대체 후보 914.5 s (현재 선택/추천 927.2 s)</xltc:text>
  </xltc:threadedComment>
  <xltc:threadedComment ref="W121" dT="2026-08-29T20:18:33.095" personId="{5B662E2E-135B-4BED-903F-30CFA12D6CAD}" id="{D76CB909-54AE-4B13-B828-4E3DF488EA45}">
    <xltc:text>M15 4-4 시작의 대체 후보 927.2 s (현재 선택/추천 914.5 s)</xltc:text>
  </xltc:threadedComment>
  <xltc:threadedComment ref="Y122" dT="2026-08-29T20:18:33.095" personId="{5B662E2E-135B-4BED-903F-30CFA12D6CAD}" id="{684AF0BF-5C98-4C69-8BF3-6B392DF65A37}">
    <xltc:text>검토 구분: 선택값이 RAW 8.5V 및 전수 후보와 ±2초 이내에서 일치하지 않음 / 같은 경계에 가까운 대체 후보가 둘 이상 있음
참가자: S29_LHS
값 출처: $2 최종 선택
RAW 8.5V 일치: 없음
전수 후보 일치: 없음
M17 5 시작: 972.3 s
가까운 후보: 969.7, 975.0
5번 코스: 186.2 s / 예상 130~230 s / 시간 적합
참가자 특이사항: 약 970/975초 이중 마커를 1개로 병합</xltc:text>
  </xltc:threadedComment>
  <xltc:threadedComment ref="Z121" dT="2026-08-29T20:18:33.095" personId="{5B662E2E-135B-4BED-903F-30CFA12D6CAD}" id="{3A6D9316-13E6-4078-8AD9-B57991E95DCC}">
    <xltc:text>M17 5 시작의 대체 후보 975.0 s (현재 선택/추천 972.3 s)</xltc:text>
  </xltc:threadedComment>
  <xltc:threadedComment ref="AD121" dT="2026-08-29T20:18:33.096" personId="{5B662E2E-135B-4BED-903F-30CFA12D6CAD}" id="{05EB4062-7104-48A3-9241-ACCBF9A4BED5}">
    <xltc:text>M22 7 종료의 대체 후보 1236.9 s (현재 선택/추천 1251.6 s)</xltc:text>
  </xltc:threadedComment>
  <xltc:threadedComment ref="AE121" dT="2026-08-29T20:18:33.096" personId="{5B662E2E-135B-4BED-903F-30CFA12D6CAD}" id="{C881FB92-5F68-42D5-8F7C-98054D285D85}">
    <xltc:text>M21 7 시작의 대체 후보 1251.6 s (현재 선택/추천 1236.9 s)</xltc:text>
  </xltc:threadedComment>
  <xltc:threadedComment ref="H125" dT="2026-08-29T20:18:33.097" personId="{5B662E2E-135B-4BED-903F-30CFA12D6CAD}" id="{5FA62731-068F-4E52-98A4-3DF049045568}">
    <xltc:text>M01 1 시작의 대체 후보 -1.7 s (현재 선택/추천 6.5 s)</xltc:text>
  </xltc:threadedComment>
  <xltc:threadedComment ref="I126" dT="2026-08-29T20:18:33.097" personId="{5B662E2E-135B-4BED-903F-30CFA12D6CAD}" id="{20045E7A-5655-463A-AA0B-6950DD74D453}">
    <xltc:text>검토 구분: 전수 후보에는 있으나 RAW 8.5V에는 일치값이 없음
참가자: S30_SJE
값 출처: $2 최종 선택
RAW 8.5V 일치: 없음
전수 후보 일치: 5.5 s
M01 1 시작: 6.5 s
가까운 후보: 5.5, -1.7
1번 호흡: 185.7 s / 예상 150~240 s / 시간 적합
참가자 특이사항: BIOPAC RSP 포화/클리핑으로 자동 마커 5개만 검출; 레이더 3대와 결합해 수동 보정</xltc:text>
  </xltc:threadedComment>
  <xltc:threadedComment ref="J126" dT="2026-08-29T20:18:33.098" personId="{5B662E2E-135B-4BED-903F-30CFA12D6CAD}" id="{07F3156F-A6CC-4596-A259-71F190FA8067}">
    <xltc:text>검토 구분: 선택값이 RAW 8.5V 및 전수 후보와 ±2초 이내에서 일치하지 않음
참가자: S30_SJE
값 출처: $2 최종 선택
RAW 8.5V 일치: 없음
전수 후보 일치: 없음
M02 1 종료: 192.2 s
가까운 후보: 없음
1번 호흡: 185.7 s / 예상 150~240 s / 시간 적합
참가자 특이사항: BIOPAC RSP 포화/클리핑으로 자동 마커 5개만 검출; 레이더 3대와 결합해 수동 보정</xltc:text>
  </xltc:threadedComment>
  <xltc:threadedComment ref="K126" dT="2026-08-29T20:18:33.098" personId="{5B662E2E-135B-4BED-903F-30CFA12D6CAD}" id="{3FDA2062-2DD9-4B7A-BC02-8D74B2A7D060}">
    <xltc:text>검토 구분: 선택값이 RAW 8.5V 및 전수 후보와 ±2초 이내에서 일치하지 않음
참가자: S30_SJE
값 출처: $2 최종 선택
RAW 8.5V 일치: 없음
전수 후보 일치: 없음
M03 2 시작: 237.3 s
가까운 후보: 243.9
2번 호흡: 382.9 s / 예상 240~450 s / 시간 적합
참가자 특이사항: BIOPAC RSP 포화/클리핑으로 자동 마커 5개만 검출; 레이더 3대와 결합해 수동 보정</xltc:text>
  </xltc:threadedComment>
  <xltc:threadedComment ref="N126" dT="2026-08-29T20:18:33.098" personId="{5B662E2E-135B-4BED-903F-30CFA12D6CAD}" id="{F16592FE-5699-4C3B-936C-AA9B12DEBC3C}">
    <xltc:text>검토 구분: 선택값이 RAW 8.5V 및 전수 후보와 ±2초 이내에서 일치하지 않음
참가자: S30_SJE
값 출처: $2 최종 선택
RAW 8.5V 일치: 없음
전수 후보 일치: 없음
M04 2 종료: 620.1 s
가까운 후보: 615.9
2번 호흡: 382.9 s / 예상 240~450 s / 시간 적합
참가자 특이사항: BIOPAC RSP 포화/클리핑으로 자동 마커 5개만 검출; 레이더 3대와 결합해 수동 보정</xltc:text>
  </xltc:threadedComment>
  <xltc:threadedComment ref="O126" dT="2026-08-29T20:18:33.098" personId="{5B662E2E-135B-4BED-903F-30CFA12D6CAD}" id="{9C26CF1A-0AA5-41B1-A3B0-5D11252B8F96}">
    <xltc:text>검토 구분: 선택값이 RAW 8.5V 및 전수 후보와 ±2초 이내에서 일치하지 않음
참가자: S30_SJE
값 출처: $2 최종 선택
RAW 8.5V 일치: 없음
전수 후보 일치: 없음
M05 3-1 시작: 661.8 s
가까운 후보: 없음
3번 픽업-1: 14.6 s / 예상 5~90 s / 시간 적합
참가자 특이사항: BIOPAC RSP 포화/클리핑으로 자동 마커 5개만 검출; 레이더 3대와 결합해 수동 보정</xltc:text>
  </xltc:threadedComment>
  <xltc:threadedComment ref="Q125" dT="2026-08-29T20:18:33.098" personId="{5B662E2E-135B-4BED-903F-30CFA12D6CAD}" id="{E33A8AF5-EA17-49FA-8DD9-D60AB418D84B}">
    <xltc:text>M06 3-1 종료의 대체 후보 687.4 s (현재 선택/추천 676.4 s)</xltc:text>
  </xltc:threadedComment>
  <xltc:threadedComment ref="T126" dT="2026-08-29T20:18:33.099" personId="{5B662E2E-135B-4BED-903F-30CFA12D6CAD}" id="{8087FB66-0C7D-4EAC-819A-A7A1D7E928CF}">
    <xltc:text>검토 구분: 선택값이 RAW 8.5V 및 전수 후보와 ±2초 이내에서 일치하지 않음
참가자: S30_SJE
값 출처: $2 최종 선택
RAW 8.5V 일치: 없음
전수 후보 일치: 없음
M07 3-2 시작: 730.0 s
가까운 후보: 없음
3번 픽업-2: 11.2 s / 예상 5~90 s / 시간 적합
참가자 특이사항: BIOPAC RSP 포화/클리핑으로 자동 마커 5개만 검출; 레이더 3대와 결합해 수동 보정</xltc:text>
  </xltc:threadedComment>
  <xltc:threadedComment ref="U126" dT="2026-08-29T20:18:33.099" personId="{5B662E2E-135B-4BED-903F-30CFA12D6CAD}" id="{F9F43BC9-CF8F-407C-A62F-166BFF193ABD}">
    <xltc:text>검토 구분: 선택값이 RAW 8.5V 및 전수 후보와 ±2초 이내에서 일치하지 않음
참가자: S30_SJE
값 출처: $2 최종 선택
RAW 8.5V 일치: 없음
전수 후보 일치: 없음
M08 3-2 종료: 741.3 s
가까운 후보: 없음
3번 픽업-2: 11.2 s / 예상 5~90 s / 시간 적합
참가자 특이사항: BIOPAC RSP 포화/클리핑으로 자동 마커 5개만 검출; 레이더 3대와 결합해 수동 보정</xltc:text>
  </xltc:threadedComment>
  <xltc:threadedComment ref="V126" dT="2026-08-29T20:18:33.099" personId="{5B662E2E-135B-4BED-903F-30CFA12D6CAD}" id="{001EE774-1CEA-472F-A0DC-42D282DF5E58}">
    <xltc:text>검토 구분: 선택값이 RAW 8.5V 및 전수 후보와 ±2초 이내에서 일치하지 않음 / 4번 낙상-즉시 지속시간이 예상 범위를 벗어나거나 경계가 누락됨
참가자: S30_SJE
값 출처: $2 최종 선택
RAW 8.5V 일치: 없음
전수 후보 일치: 없음
M09 4-1 시작: 755.0 s
가까운 후보: 없음
4번 낙상-즉시: 36.1 s / 예상 5~30 s / 시간 확인 필요
참가자 특이사항: BIOPAC RSP 포화/클리핑으로 자동 마커 5개만 검출; 레이더 3대와 결합해 수동 보정</xltc:text>
  </xltc:threadedComment>
  <xltc:threadedComment ref="W125" dT="2026-08-29T20:18:33.099" personId="{5B662E2E-135B-4BED-903F-30CFA12D6CAD}" id="{881F0BE3-27C0-4EE4-B123-B3D8003BE58E}">
    <xltc:text>M10 4-1 종료의 대체 후보 781.2 s (현재 선택/추천 791.1 s)</xltc:text>
  </xltc:threadedComment>
  <xltc:threadedComment ref="X126" dT="2026-08-29T20:18:33.099" personId="{5B662E2E-135B-4BED-903F-30CFA12D6CAD}" id="{44516B53-B2C2-43F0-A64B-52E3AF01ABA8}">
    <xltc:text>검토 구분: 전수 후보에는 있으나 RAW 8.5V에는 일치값이 없음 / 4번 낙상-즉시 지속시간이 예상 범위를 벗어나거나 경계가 누락됨
참가자: S30_SJE
값 출처: $2 최종 선택
RAW 8.5V 일치: 없음
전수 후보 일치: 791.7 s
M10 4-1 종료: 791.1 s
가까운 후보: 791.7, 781.2, 801.2
4번 낙상-즉시: 36.1 s / 예상 5~30 s / 시간 확인 필요
참가자 특이사항: BIOPAC RSP 포화/클리핑으로 자동 마커 5개만 검출; 레이더 3대와 결합해 수동 보정</xltc:text>
  </xltc:threadedComment>
  <xltc:threadedComment ref="X125" dT="2026-08-29T20:18:33.099" personId="{5B662E2E-135B-4BED-903F-30CFA12D6CAD}" id="{5359EF11-2121-48D0-A1A6-ED980824E7BE}">
    <xltc:text>M11 4-2 시작의 대체 후보 791.7 s (현재 선택/추천 800.7 s)</xltc:text>
  </xltc:threadedComment>
  <xltc:threadedComment ref="Y125" dT="2026-08-29T20:18:33.099" personId="{5B662E2E-135B-4BED-903F-30CFA12D6CAD}" id="{1CFE9EF1-59D0-47DA-931B-4630EE97BE7D}">
    <xltc:text>M10 4-1 종료의 대체 후보 801.2 s (현재 선택/추천 791.1 s)</xltc:text>
  </xltc:threadedComment>
  <xltc:threadedComment ref="Z125" dT="2026-08-29T20:18:33.1" personId="{5B662E2E-135B-4BED-903F-30CFA12D6CAD}" id="{0437DA91-7D1D-46F5-B714-339956253A4E}">
    <xltc:text>M12 4-2 종료의 대체 후보 840.3 s (현재 선택/추천 844.1 s)
M13 4-3 시작의 대체 후보 840.3 s (현재 선택/추천 853.6 s)</xltc:text>
  </xltc:threadedComment>
  <xltc:threadedComment ref="AA126" dT="2026-08-29T20:18:33.1" personId="{5B662E2E-135B-4BED-903F-30CFA12D6CAD}" id="{FEF5F309-ECBF-4546-A845-8F1303CB5F81}">
    <xltc:text>검토 구분: 같은 경계에 가까운 대체 후보가 둘 이상 있음
참가자: S30_SJE
값 출처: $2 최종 선택
RAW 8.5V 일치: 844.5 s
전수 후보 일치: 844.5 s
M12 4-2 종료: 844.1 s
가까운 후보: 844.5, 840.3, 854.1
4번 낙상-30초 유지: 43.4 s / 예상 25~75 s / 시간 적합
참가자 특이사항: BIOPAC RSP 포화/클리핑으로 자동 마커 5개만 검출; 레이더 3대와 결합해 수동 보정</xltc:text>
  </xltc:threadedComment>
  <xltc:threadedComment ref="AA125" dT="2026-08-29T20:18:33.1" personId="{5B662E2E-135B-4BED-903F-30CFA12D6CAD}" id="{46C41024-0C24-4C64-814F-8E6D51E6329A}">
    <xltc:text>M13 4-3 시작의 대체 후보 844.5 s (현재 선택/추천 853.6 s)</xltc:text>
  </xltc:threadedComment>
  <xltc:threadedComment ref="AB126" dT="2026-08-29T20:18:33.1" personId="{5B662E2E-135B-4BED-903F-30CFA12D6CAD}" id="{3F6BFFB0-12DD-4332-99B3-3A2C0A041035}">
    <xltc:text>검토 구분: 전수 후보에는 있으나 RAW 8.5V에는 일치값이 없음
참가자: S30_SJE
값 출처: $2 최종 선택
RAW 8.5V 일치: 없음
전수 후보 일치: 854.1 s
M13 4-3 시작: 853.6 s
가까운 후보: 854.1, 844.5, 840.3
4번 낙상-천천히: 43.1 s / 예상 25~90 s / 시간 적합
참가자 특이사항: BIOPAC RSP 포화/클리핑으로 자동 마커 5개만 검출; 레이더 3대와 결합해 수동 보정</xltc:text>
  </xltc:threadedComment>
  <xltc:threadedComment ref="AB125" dT="2026-08-29T20:18:33.1" personId="{5B662E2E-135B-4BED-903F-30CFA12D6CAD}" id="{31DB7C1F-9248-4BA2-BE4C-A1941F2B4F41}">
    <xltc:text>M12 4-2 종료의 대체 후보 854.1 s (현재 선택/추천 844.1 s)</xltc:text>
  </xltc:threadedComment>
  <xltc:threadedComment ref="AC126" dT="2026-08-29T20:18:33.101" personId="{5B662E2E-135B-4BED-903F-30CFA12D6CAD}" id="{D6AE0426-D813-4EDF-8AA2-17AAED9B93F7}">
    <xltc:text>검토 구분: 전수 후보에는 있으나 RAW 8.5V에는 일치값이 없음
참가자: S30_SJE
값 출처: $2 최종 선택
RAW 8.5V 일치: 없음
전수 후보 일치: 895.5 s
M14 4-3 종료: 896.7 s
가까운 후보: 895.5
4번 낙상-천천히: 43.1 s / 예상 25~90 s / 시간 적합
참가자 특이사항: BIOPAC RSP 포화/클리핑으로 자동 마커 5개만 검출; 레이더 3대와 결합해 수동 보정</xltc:text>
  </xltc:threadedComment>
  <xltc:threadedComment ref="AD126" dT="2026-08-29T20:18:33.101" personId="{5B662E2E-135B-4BED-903F-30CFA12D6CAD}" id="{5F866CAD-B37C-45CE-9C76-F112B602ED3F}">
    <xltc:text>검토 구분: 전수 후보에는 있으나 RAW 8.5V에는 일치값이 없음 / 4번 물건 집기 지속시간이 예상 범위를 벗어나거나 경계가 누락됨
참가자: S30_SJE
값 출처: $2 최종 선택
RAW 8.5V 일치: 없음
전수 후보 일치: 912.3 s
M15 4-4 시작: 911.8 s
가까운 후보: 912.3, 921.2
4번 물건 집기: 57.1 s / 예상 5~40 s / 시간 확인 필요
참가자 특이사항: BIOPAC RSP 포화/클리핑으로 자동 마커 5개만 검출; 레이더 3대와 결합해 수동 보정</xltc:text>
  </xltc:threadedComment>
  <xltc:threadedComment ref="AE125" dT="2026-08-29T20:18:33.101" personId="{5B662E2E-135B-4BED-903F-30CFA12D6CAD}" id="{F4AB7B94-971C-471D-B387-6B2638CBEE0E}">
    <xltc:text>M15 4-4 시작의 대체 후보 921.2 s (현재 선택/추천 911.8 s)</xltc:text>
  </xltc:threadedComment>
  <xltc:threadedComment ref="AF126" dT="2026-08-29T20:18:33.101" personId="{5B662E2E-135B-4BED-903F-30CFA12D6CAD}" id="{232C2922-8740-4AF0-A8A5-880A06B0D2D3}">
    <xltc:text>검토 구분: 전수 후보에는 있으나 RAW 8.5V에는 일치값이 없음 / 4번 물건 집기 지속시간이 예상 범위를 벗어나거나 경계가 누락됨
참가자: S30_SJE
값 출처: $2 최종 선택
RAW 8.5V 일치: 없음
전수 후보 일치: 970.7 s
M16 4-4 종료: 968.9 s
가까운 후보: 970.7
4번 물건 집기: 57.1 s / 예상 5~40 s / 시간 확인 필요
참가자 특이사항: BIOPAC RSP 포화/클리핑으로 자동 마커 5개만 검출; 레이더 3대와 결합해 수동 보정</xltc:text>
  </xltc:threadedComment>
  <xltc:threadedComment ref="AG126" dT="2026-08-29T20:18:33.101" personId="{5B662E2E-135B-4BED-903F-30CFA12D6CAD}" id="{1CDDAD9D-46AA-4C1B-8599-8855F0DDA05B}">
    <xltc:text>검토 구분: 선택값이 RAW 8.5V 및 전수 후보와 ±2초 이내에서 일치하지 않음
참가자: S30_SJE
값 출처: $2 최종 선택
RAW 8.5V 일치: 없음
전수 후보 일치: 없음
M17 5 시작: 974.4 s
가까운 후보: 970.7
5번 코스: 184.4 s / 예상 130~230 s / 시간 적합
참가자 특이사항: BIOPAC RSP 포화/클리핑으로 자동 마커 5개만 검출; 레이더 3대와 결합해 수동 보정</xltc:text>
  </xltc:threadedComment>
  <xltc:threadedComment ref="AH126" dT="2026-08-29T20:18:33.102" personId="{5B662E2E-135B-4BED-903F-30CFA12D6CAD}" id="{4C86BBF1-2DD7-4B3C-9753-B3A11C126F37}">
    <xltc:text>검토 구분: 전수 후보에는 있으나 RAW 8.5V에는 일치값이 없음
참가자: S30_SJE
값 출처: $2 최종 선택
RAW 8.5V 일치: 없음
전수 후보 일치: 1159.4 s
M18 5 종료: 1158.8 s
가까운 후보: 1159.4
5번 코스: 184.4 s / 예상 130~230 s / 시간 적합
참가자 특이사항: BIOPAC RSP 포화/클리핑으로 자동 마커 5개만 검출; 레이더 3대와 결합해 수동 보정</xltc:text>
  </xltc:threadedComment>
  <xltc:threadedComment ref="AI126" dT="2026-08-29T20:18:33.102" personId="{5B662E2E-135B-4BED-903F-30CFA12D6CAD}" id="{4488E3CB-1CE5-4C6D-9C02-4AB94FF51433}">
    <xltc:text>검토 구분: 선택값이 RAW 8.5V 및 전수 후보와 ±2초 이내에서 일치하지 않음
참가자: S30_SJE
값 출처: $2 최종 선택
RAW 8.5V 일치: 없음
전수 후보 일치: 없음
M19 6 시작: 1175.4 s
가까운 후보: 없음
6번 왕복: 44.3 s / 예상 5~70 s / 시간 적합
참가자 특이사항: BIOPAC RSP 포화/클리핑으로 자동 마커 5개만 검출; 레이더 3대와 결합해 수동 보정</xltc:text>
  </xltc:threadedComment>
  <xltc:threadedComment ref="AL126" dT="2026-08-29T20:18:33.102" personId="{5B662E2E-135B-4BED-903F-30CFA12D6CAD}" id="{6B145CEB-2879-4954-9ACE-0B7CCA3DC0B5}">
    <xltc:text>검토 구분: 선택값이 RAW 8.5V 및 전수 후보와 ±2초 이내에서 일치하지 않음
참가자: S30_SJE
값 출처: $2 최종 선택
RAW 8.5V 일치: 없음
전수 후보 일치: 없음
M20 6 종료: 1219.6 s
가까운 후보: 1212.3
6번 왕복: 44.3 s / 예상 5~70 s / 시간 적합
참가자 특이사항: BIOPAC RSP 포화/클리핑으로 자동 마커 5개만 검출; 레이더 3대와 결합해 수동 보정</xltc:text>
  </xltc:threadedComment>
  <xltc:threadedComment ref="AM126" dT="2026-08-29T20:18:33.102" personId="{5B662E2E-135B-4BED-903F-30CFA12D6CAD}" id="{78EE7B69-0116-446A-BEB5-27EEED207B0C}">
    <xltc:text>검토 구분: 전수 후보에는 있으나 RAW 8.5V에는 일치값이 없음
참가자: S30_SJE
값 출처: $2 최종 선택
RAW 8.5V 일치: 없음
전수 후보 일치: 1244.4 s
M21 7 시작: 1243.9 s
가까운 후보: 1244.4, 1254.8
7번 자유: 10.4 s / 예상 5~70 s / 시간 적합
참가자 특이사항: BIOPAC RSP 포화/클리핑으로 자동 마커 5개만 검출; 레이더 3대와 결합해 수동 보정</xltc:text>
  </xltc:threadedComment>
  <xltc:threadedComment ref="AM125" dT="2026-08-29T20:18:33.102" personId="{5B662E2E-135B-4BED-903F-30CFA12D6CAD}" id="{ECE5BA63-7E14-443F-B8C8-454EE831B6E4}">
    <xltc:text>M22 7 종료의 대체 후보 1244.4 s (현재 선택/추천 1254.3 s)</xltc:text>
  </xltc:threadedComment>
  <xltc:threadedComment ref="AN125" dT="2026-08-29T20:18:33.103" personId="{5B662E2E-135B-4BED-903F-30CFA12D6CAD}" id="{CCCDA1FB-B240-4214-A626-14C85A623143}">
    <xltc:text>M21 7 시작의 대체 후보 1254.8 s (현재 선택/추천 1243.9 s)</xltc:text>
  </xltc:threadedComment>
</xltc:ThreadedComments>
</file>

<file path=xl/worksheets/_rels/sheet7.xml.rels><?xml version="1.0" encoding="utf-8"?><Relationships xmlns="http://schemas.openxmlformats.org/package/2006/relationships"><Relationship Type="http://schemas.openxmlformats.org/officeDocument/2006/relationships/comments" Target="/xl/comments1.xml" Id="R13c43ac43e7d419a" /><Relationship Type="http://schemas.openxmlformats.org/officeDocument/2006/relationships/vmlDrawing" Target="/xl/drawings/vmldrawing.vml" Id="Rd439480365444e49" /><Relationship Type="http://schemas.microsoft.com/office/2017/10/relationships/threadedComment" Target="/xl/threadedcomments/threadedcomment.xml" Id="Rc9627e27543049b0" /></Relationships>
</file>

<file path=xl/worksheets/sheet1.xml><?xml version="1.0" encoding="utf-8"?>
<x:worksheet xmlns:x="http://schemas.openxmlformats.org/spreadsheetml/2006/main">
  <x:sheetFormatPr defaultRowHeight="16.5"/>
  <x:cols>
    <x:col min="1" max="1" width="9.875" customWidth="1"/>
    <x:col min="9" max="9" width="67.875" customWidth="1"/>
    <x:col min="12" max="12" width="18.125" customWidth="1"/>
    <x:col min="13" max="13" width="28.25" customWidth="1"/>
    <x:col min="14" max="15" width="11" customWidth="1"/>
    <x:col min="16" max="16" width="11.25" customWidth="1"/>
    <x:col min="17" max="17" width="36.75" customWidth="1"/>
  </x:cols>
  <x:sheetData>
    <x:row r="1" ht="17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12" t="s">
        <x:v>9</x:v>
      </x:c>
      <x:c r="K1" s="12" t="s">
        <x:v>10</x:v>
      </x:c>
      <x:c r="L1" s="12" t="s">
        <x:v>11</x:v>
      </x:c>
      <x:c r="M1" s="13" t="s">
        <x:v>12</x:v>
      </x:c>
      <x:c r="N1" s="14" t="s">
        <x:v>13</x:v>
      </x:c>
      <x:c r="O1" s="14" t="s">
        <x:v>14</x:v>
      </x:c>
      <x:c r="P1" s="14" t="s">
        <x:v>15</x:v>
      </x:c>
    </x:row>
    <x:row r="2" ht="66.75">
      <x:c r="A2" s="20">
        <x:v>46223</x:v>
      </x:c>
      <x:c r="B2" s="3" t="s">
        <x:v>16</x:v>
      </x:c>
      <x:c r="C2" s="3" t="s">
        <x:v>17</x:v>
      </x:c>
      <x:c r="D2" s="3">
        <x:v>1</x:v>
      </x:c>
      <x:c r="E2" s="3">
        <x:v>168</x:v>
      </x:c>
      <x:c r="F2" s="3">
        <x:v>108</x:v>
      </x:c>
      <x:c r="G2" s="3" t="s">
        <x:v>18</x:v>
      </x:c>
      <x:c r="H2" s="3" t="s">
        <x:v>19</x:v>
      </x:c>
      <x:c r="I2" s="10" t="str">
        <x:v>전체적으로 바이오팩 착용에 문제가 있어 보인다.
-&gt; BIOPAC 신호가 10~-10을 벗어나 clipping이 발생
UWB 신호 가이드 래퍼런스가 깔끔하지 않아 조금 엇나감
[$2 싱크] 자동 검출 마커 14개로 초기 프로토콜 경계가 부족함 — 수동 검토 필요</x:v>
      </x:c>
      <x:c r="J2" s="6"/>
      <x:c r="K2" s="6"/>
      <x:c r="L2" s="6"/>
      <x:c r="M2" s="6"/>
      <x:c r="N2" s="6"/>
      <x:c r="O2" s="6"/>
      <x:c r="P2" s="6"/>
    </x:row>
    <x:row r="3" ht="33.75">
      <x:c r="A3" s="21"/>
      <x:c r="B3" s="4" t="s">
        <x:v>20</x:v>
      </x:c>
      <x:c r="C3" s="4" t="s">
        <x:v>21</x:v>
      </x:c>
      <x:c r="D3" s="4">
        <x:v>2</x:v>
      </x:c>
      <x:c r="E3" s="4">
        <x:v>183</x:v>
      </x:c>
      <x:c r="F3" s="4">
        <x:v>72</x:v>
      </x:c>
      <x:c r="G3" s="4" t="s">
        <x:v>18</x:v>
      </x:c>
      <x:c r="H3" s="4" t="s">
        <x:v>19</x:v>
      </x:c>
      <x:c r="I3" s="11" t="s">
        <x:v>22</x:v>
      </x:c>
      <x:c r="J3" s="16" t="s">
        <x:v>23</x:v>
      </x:c>
      <x:c r="K3" s="16" t="s">
        <x:v>24</x:v>
      </x:c>
      <x:c r="L3" s="16" t="s">
        <x:v>25</x:v>
      </x:c>
      <x:c r="M3" s="16" t="s">
        <x:v>26</x:v>
      </x:c>
      <x:c r="N3" s="16" t="s">
        <x:v>27</x:v>
      </x:c>
      <x:c r="O3" s="16" t="s">
        <x:v>28</x:v>
      </x:c>
      <x:c r="P3" s="16" t="s">
        <x:v>29</x:v>
      </x:c>
    </x:row>
    <x:row r="4">
      <x:c r="A4" s="22">
        <x:v>46224</x:v>
      </x:c>
      <x:c r="B4" s="6" t="s">
        <x:v>30</x:v>
      </x:c>
      <x:c r="C4" s="6" t="s">
        <x:v>31</x:v>
      </x:c>
      <x:c r="D4" s="6">
        <x:v>3</x:v>
      </x:c>
      <x:c r="E4" s="6">
        <x:v>183</x:v>
      </x:c>
      <x:c r="F4" s="6">
        <x:v>80</x:v>
      </x:c>
      <x:c r="G4" s="6" t="s">
        <x:v>32</x:v>
      </x:c>
      <x:c r="H4" s="6" t="s">
        <x:v>19</x:v>
      </x:c>
      <x:c r="I4" s="8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38</x:v>
      </x:c>
      <x:c r="O4" s="6" t="s">
        <x:v>39</x:v>
      </x:c>
      <x:c r="P4" s="6" t="s">
        <x:v>40</x:v>
      </x:c>
    </x:row>
    <x:row r="5" ht="66">
      <x:c r="A5" s="23"/>
      <x:c r="B5" s="1" t="s">
        <x:v>41</x:v>
      </x:c>
      <x:c r="C5" s="1" t="s">
        <x:v>42</x:v>
      </x:c>
      <x:c r="D5" s="1">
        <x:v>4</x:v>
      </x:c>
      <x:c r="E5" s="1"/>
      <x:c r="F5" s="1"/>
      <x:c r="G5" s="1"/>
      <x:c r="H5" s="1" t="s">
        <x:v>19</x:v>
      </x:c>
      <x:c r="I5" s="15" t="str">
        <x:v>지그재그에서 많은 retry가 있음. 
자유동작 못쓸수도 있음
낙상 시나리오에 물건 집는 시나리오 추가함. (유지)
낙상 1번 시나리오, 넘어지고 바로 안나감
[$2 싱크] 후반부 장시간 마커 공백(약 1,230~1,680초) — 수동 검토 필요</x:v>
      </x:c>
      <x:c r="J5" s="1"/>
      <x:c r="K5" s="1"/>
      <x:c r="L5" s="1"/>
      <x:c r="M5" s="1"/>
      <x:c r="N5" s="1"/>
      <x:c r="O5" s="1"/>
      <x:c r="P5" s="1"/>
    </x:row>
    <x:row r="6">
      <x:c r="A6" s="23"/>
      <x:c r="B6" s="1" t="s">
        <x:v>43</x:v>
      </x:c>
      <x:c r="C6" s="1" t="s">
        <x:v>44</x:v>
      </x:c>
      <x:c r="D6" s="1">
        <x:v>5</x:v>
      </x:c>
      <x:c r="E6" s="1"/>
      <x:c r="F6" s="1"/>
      <x:c r="G6" s="1" t="s">
        <x:v>45</x:v>
      </x:c>
      <x:c r="H6" s="1" t="s">
        <x:v>19</x:v>
      </x:c>
      <x:c r="I6" s="9" t="s">
        <x:v>46</x:v>
      </x:c>
      <x:c r="J6" s="1" t="str">
        <x:v>15~210</x:v>
      </x:c>
      <x:c r="K6" s="1" t="str">
        <x:v>241~612</x:v>
      </x:c>
      <x:c r="L6" s="1" t="str">
        <x:v>620~656 / 784~820</x:v>
      </x:c>
      <x:c r="M6" s="1" t="str">
        <x:v>931~947/963~1008/1022~1068/1072~1089</x:v>
      </x:c>
      <x:c r="N6" s="1" t="str">
        <x:v>1201~1389</x:v>
      </x:c>
      <x:c r="O6" s="1" t="str">
        <x:v>1438~1466</x:v>
      </x:c>
      <x:c r="P6" s="1" t="str">
        <x:v>1498~1509</x:v>
      </x:c>
    </x:row>
    <x:row r="7" ht="33">
      <x:c r="A7" s="23"/>
      <x:c r="B7" s="1" t="s">
        <x:v>47</x:v>
      </x:c>
      <x:c r="C7" s="1" t="s">
        <x:v>48</x:v>
      </x:c>
      <x:c r="D7" s="1">
        <x:v>6</x:v>
      </x:c>
      <x:c r="E7" s="1"/>
      <x:c r="F7" s="1"/>
      <x:c r="G7" s="1"/>
      <x:c r="H7" s="1" t="s">
        <x:v>19</x:v>
      </x:c>
      <x:c r="I7" s="15" t="s">
        <x:v>49</x:v>
      </x:c>
      <x:c r="J7" s="1" t="str">
        <x:v>22~214</x:v>
      </x:c>
      <x:c r="K7" s="1" t="str">
        <x:v>264~638</x:v>
      </x:c>
      <x:c r="L7" s="1" t="str">
        <x:v>748~763 / 778~792</x:v>
      </x:c>
      <x:c r="M7" s="1" t="str">
        <x:v>919~934/947~994/1010~1059/1075~1086</x:v>
      </x:c>
      <x:c r="N7" s="1" t="str">
        <x:v>1161~1346</x:v>
      </x:c>
      <x:c r="O7" s="1" t="str">
        <x:v>1395~1424</x:v>
      </x:c>
      <x:c r="P7" s="1" t="str">
        <x:v>1458~1471</x:v>
      </x:c>
    </x:row>
    <x:row r="8" ht="17.25">
      <x:c r="A8" s="24"/>
      <x:c r="B8" s="4" t="s">
        <x:v>50</x:v>
      </x:c>
      <x:c r="C8" s="4" t="s">
        <x:v>51</x:v>
      </x:c>
      <x:c r="D8" s="4">
        <x:v>7</x:v>
      </x:c>
      <x:c r="E8" s="4"/>
      <x:c r="F8" s="4"/>
      <x:c r="G8" s="4"/>
      <x:c r="H8" s="4" t="s">
        <x:v>19</x:v>
      </x:c>
      <x:c r="I8" s="7" t="s">
        <x:v>52</x:v>
      </x:c>
      <x:c r="J8" s="4" t="str">
        <x:v>17~214</x:v>
      </x:c>
      <x:c r="K8" s="4" t="str">
        <x:v>276~647</x:v>
      </x:c>
      <x:c r="L8" s="4" t="str">
        <x:v>766~785 / 799~816</x:v>
      </x:c>
      <x:c r="M8" s="4" t="str">
        <x:v>906~922/934~979/988~1035/1047~1057</x:v>
      </x:c>
      <x:c r="N8" s="4" t="str">
        <x:v>1134~1320</x:v>
      </x:c>
      <x:c r="O8" s="4" t="str">
        <x:v>1377~1401</x:v>
      </x:c>
      <x:c r="P8" s="4" t="str">
        <x:v>1427~1440</x:v>
      </x:c>
    </x:row>
    <x:row r="9">
      <x:c r="A9" s="22">
        <x:v>46225</x:v>
      </x:c>
      <x:c r="B9" s="17" t="s">
        <x:v>53</x:v>
      </x:c>
      <x:c r="C9" s="17" t="s">
        <x:v>54</x:v>
      </x:c>
      <x:c r="D9" s="17">
        <x:v>8</x:v>
      </x:c>
      <x:c r="E9" s="17"/>
      <x:c r="F9" s="17"/>
      <x:c r="G9" s="17"/>
      <x:c r="H9" s="17" t="s">
        <x:v>19</x:v>
      </x:c>
      <x:c r="I9" s="18" t="s">
        <x:v>55</x:v>
      </x:c>
      <x:c r="J9" s="17" t="str">
        <x:v>24~220</x:v>
      </x:c>
      <x:c r="K9" s="17" t="str">
        <x:v>260~646</x:v>
      </x:c>
      <x:c r="L9" s="17" t="str">
        <x:v>698~708 / 722~733</x:v>
      </x:c>
      <x:c r="M9" s="17" t="str">
        <x:v>809~822/832~876/886~933/948~969</x:v>
      </x:c>
      <x:c r="N9" s="17" t="str">
        <x:v>1021~1207</x:v>
      </x:c>
      <x:c r="O9" s="17" t="str">
        <x:v>1226~1248</x:v>
      </x:c>
      <x:c r="P9" s="17" t="str">
        <x:v>1274~1286</x:v>
      </x:c>
    </x:row>
    <x:row r="10">
      <x:c r="A10" s="23"/>
      <x:c r="B10" s="1" t="s">
        <x:v>56</x:v>
      </x:c>
      <x:c r="C10" s="1" t="s">
        <x:v>57</x:v>
      </x:c>
      <x:c r="D10" s="1">
        <x:v>9</x:v>
      </x:c>
      <x:c r="E10" s="1"/>
      <x:c r="F10" s="1"/>
      <x:c r="G10" s="1"/>
      <x:c r="H10" s="1" t="s">
        <x:v>19</x:v>
      </x:c>
      <x:c r="I10" s="9"/>
      <x:c r="J10" s="1" t="str">
        <x:v>17~210</x:v>
      </x:c>
      <x:c r="K10" s="1" t="str">
        <x:v>272~647</x:v>
      </x:c>
      <x:c r="L10" s="1" t="str">
        <x:v>782~803 / 826~841</x:v>
      </x:c>
      <x:c r="M10" s="1" t="str">
        <x:v>952~970/988~1036/1049~1099/1122~1135</x:v>
      </x:c>
      <x:c r="N10" s="1" t="str">
        <x:v>1207~1395</x:v>
      </x:c>
      <x:c r="O10" s="1" t="str">
        <x:v>1445~1473</x:v>
      </x:c>
      <x:c r="P10" s="1" t="str">
        <x:v>1499~1511</x:v>
      </x:c>
    </x:row>
    <x:row r="11" ht="33.75">
      <x:c r="A11" s="24"/>
      <x:c r="B11" s="4" t="s">
        <x:v>58</x:v>
      </x:c>
      <x:c r="C11" s="4" t="s">
        <x:v>59</x:v>
      </x:c>
      <x:c r="D11" s="4">
        <x:v>10</x:v>
      </x:c>
      <x:c r="E11" s="4"/>
      <x:c r="F11" s="4"/>
      <x:c r="G11" s="4"/>
      <x:c r="H11" s="4" t="s">
        <x:v>19</x:v>
      </x:c>
      <x:c r="I11" s="11" t="s">
        <x:v>60</x:v>
      </x:c>
      <x:c r="J11" s="4" t="str">
        <x:v>26~212</x:v>
      </x:c>
      <x:c r="K11" s="4" t="str">
        <x:v>245~626</x:v>
      </x:c>
      <x:c r="L11" s="4" t="str">
        <x:v>653~666 / 685~701</x:v>
      </x:c>
      <x:c r="M11" s="4" t="str">
        <x:v>752~765/778~824/835~878/882~911</x:v>
      </x:c>
      <x:c r="N11" s="4" t="str">
        <x:v>935~1118</x:v>
      </x:c>
      <x:c r="O11" s="4" t="str">
        <x:v>1135~1158</x:v>
      </x:c>
      <x:c r="P11" s="4" t="str">
        <x:v>1174~1187</x:v>
      </x:c>
    </x:row>
    <x:row r="12">
      <x:c r="A12" s="5">
        <x:v>46226</x:v>
      </x:c>
      <x:c r="B12" s="6" t="s">
        <x:v>61</x:v>
      </x:c>
      <x:c r="C12" s="6" t="s">
        <x:v>62</x:v>
      </x:c>
      <x:c r="D12" s="6">
        <x:v>11</x:v>
      </x:c>
      <x:c r="E12" s="6"/>
      <x:c r="F12" s="6"/>
      <x:c r="G12" s="6"/>
      <x:c r="H12" s="6" t="s">
        <x:v>63</x:v>
      </x:c>
      <x:c r="I12" s="8" t="str">
        <x:v>낙상시나리오 1번째꺼 재촬영
[$2 싱크] 후반 마커 다수 누락/과검출 — 수동 검토 필요</x:v>
      </x:c>
      <x:c r="J12" s="6"/>
      <x:c r="K12" s="6"/>
      <x:c r="L12" s="6"/>
      <x:c r="M12" s="6"/>
      <x:c r="N12" s="6"/>
      <x:c r="O12" s="6"/>
      <x:c r="P12" s="6"/>
      <x:c r="Q12" t="s">
        <x:v>64</x:v>
      </x:c>
    </x:row>
    <x:row r="13">
      <x:c r="A13" s="25">
        <x:v>46230</x:v>
      </x:c>
      <x:c r="B13" s="1" t="s">
        <x:v>65</x:v>
      </x:c>
      <x:c r="C13" s="1" t="s">
        <x:v>66</x:v>
      </x:c>
      <x:c r="D13" s="1">
        <x:v>12</x:v>
      </x:c>
      <x:c r="E13" s="1"/>
      <x:c r="F13" s="1"/>
      <x:c r="G13" s="1"/>
      <x:c r="H13" s="6" t="s">
        <x:v>63</x:v>
      </x:c>
      <x:c r="I13" s="9" t="str">
        <x:v>[$2 싱크] RSP 마커 누락 및 자동 offset이 탐색 경계(-12초)에 도달 — 수동 검토 필요</x:v>
      </x:c>
      <x:c r="J13" s="1"/>
      <x:c r="K13" s="1"/>
      <x:c r="L13" s="1"/>
      <x:c r="M13" s="1"/>
      <x:c r="N13" s="1"/>
      <x:c r="O13" s="1"/>
      <x:c r="P13" s="1"/>
    </x:row>
    <x:row r="14">
      <x:c r="A14" s="26"/>
      <x:c r="B14" s="1" t="s">
        <x:v>41</x:v>
      </x:c>
      <x:c r="C14" s="1" t="s">
        <x:v>42</x:v>
      </x:c>
      <x:c r="D14" s="1">
        <x:v>13</x:v>
      </x:c>
      <x:c r="E14" s="1"/>
      <x:c r="F14" s="1"/>
      <x:c r="G14" s="1"/>
      <x:c r="H14" s="6" t="s">
        <x:v>63</x:v>
      </x:c>
      <x:c r="I14" s="9" t="s">
        <x:v>67</x:v>
      </x:c>
      <x:c r="J14" s="1" t="str">
        <x:v>12~205</x:v>
      </x:c>
      <x:c r="K14" s="1" t="str">
        <x:v>228~597</x:v>
      </x:c>
      <x:c r="L14" s="1" t="str">
        <x:v>643~657 / 676~685</x:v>
      </x:c>
      <x:c r="M14" s="1" t="str">
        <x:v>699~743/758~796/813~865/874~886</x:v>
      </x:c>
      <x:c r="N14" s="1" t="str">
        <x:v>920~1110</x:v>
      </x:c>
      <x:c r="O14" s="1" t="str">
        <x:v>1129~1153</x:v>
      </x:c>
      <x:c r="P14" s="1" t="str">
        <x:v>1160~1179</x:v>
      </x:c>
    </x:row>
    <x:row r="15">
      <x:c r="A15" s="19">
        <x:v>46231</x:v>
      </x:c>
      <x:c r="B15" s="1" t="s">
        <x:v>53</x:v>
      </x:c>
      <x:c r="C15" s="1" t="s">
        <x:v>54</x:v>
      </x:c>
      <x:c r="D15" s="1">
        <x:v>14</x:v>
      </x:c>
      <x:c r="E15" s="1"/>
      <x:c r="F15" s="1"/>
      <x:c r="G15" s="1"/>
      <x:c r="H15" s="6" t="s">
        <x:v>63</x:v>
      </x:c>
      <x:c r="I15" s="9"/>
      <x:c r="J15" s="1" t="str">
        <x:v>14~209</x:v>
      </x:c>
      <x:c r="K15" s="1" t="str">
        <x:v>234~607</x:v>
      </x:c>
      <x:c r="L15" s="1" t="str">
        <x:v>636~649 / 668~679</x:v>
      </x:c>
      <x:c r="M15" s="1" t="str">
        <x:v>729~741/750~791/802~845/861~868</x:v>
      </x:c>
      <x:c r="N15" s="1" t="str">
        <x:v>892~1077</x:v>
      </x:c>
      <x:c r="O15" s="1" t="str">
        <x:v>1089~1110</x:v>
      </x:c>
      <x:c r="P15" s="1" t="str">
        <x:v>1124~1135</x:v>
      </x:c>
    </x:row>
    <x:row r="16">
      <x:c r="A16" s="1"/>
      <x:c r="B16" s="1" t="s">
        <x:v>58</x:v>
      </x:c>
      <x:c r="C16" s="1" t="s">
        <x:v>59</x:v>
      </x:c>
      <x:c r="D16" s="1">
        <x:v>15</x:v>
      </x:c>
      <x:c r="E16" s="1"/>
      <x:c r="F16" s="1"/>
      <x:c r="G16" s="1"/>
      <x:c r="H16" s="6" t="s">
        <x:v>63</x:v>
      </x:c>
      <x:c r="I16" s="9" t="s">
        <x:v>68</x:v>
      </x:c>
      <x:c r="J16" s="1" t="str">
        <x:v>6~199</x:v>
      </x:c>
      <x:c r="K16" s="1" t="str">
        <x:v>234~599</x:v>
      </x:c>
      <x:c r="L16" s="1" t="str">
        <x:v>631~642 / 658~674</x:v>
      </x:c>
      <x:c r="M16" s="1" t="str">
        <x:v>708~725/733~782/791~836/849~871</x:v>
      </x:c>
      <x:c r="N16" s="1" t="str">
        <x:v>889~1077</x:v>
      </x:c>
      <x:c r="O16" s="1" t="str">
        <x:v>1094~1120</x:v>
      </x:c>
      <x:c r="P16" s="1" t="str">
        <x:v>1135~1148</x:v>
      </x:c>
    </x:row>
    <x:row r="17">
      <x:c r="A17" s="19">
        <x:v>46232</x:v>
      </x:c>
      <x:c r="B17" s="1" t="s">
        <x:v>69</x:v>
      </x:c>
      <x:c r="C17" s="1" t="s">
        <x:v>70</x:v>
      </x:c>
      <x:c r="D17" s="1">
        <x:v>16</x:v>
      </x:c>
      <x:c r="E17" s="1"/>
      <x:c r="F17" s="1"/>
      <x:c r="G17" s="1"/>
      <x:c r="H17" s="6" t="s">
        <x:v>63</x:v>
      </x:c>
      <x:c r="I17" s="9" t="s">
        <x:v>71</x:v>
      </x:c>
      <x:c r="J17" s="1" t="str">
        <x:v>13~206</x:v>
      </x:c>
      <x:c r="K17" s="1" t="str">
        <x:v>282~759</x:v>
      </x:c>
      <x:c r="L17" s="1" t="str">
        <x:v>771~781 / 800~814</x:v>
      </x:c>
      <x:c r="M17" s="1" t="str">
        <x:v>929~945/956~1004/1017~1062/1078~1089</x:v>
      </x:c>
      <x:c r="N17" s="1" t="str">
        <x:v>1179~1372</x:v>
      </x:c>
      <x:c r="O17" s="1" t="str">
        <x:v>1425~1456</x:v>
      </x:c>
      <x:c r="P17" s="1" t="str">
        <x:v>1486~1506</x:v>
      </x:c>
    </x:row>
    <x:row r="18">
      <x:c r="A18" s="1"/>
      <x:c r="B18" s="1" t="s">
        <x:v>72</x:v>
      </x:c>
      <x:c r="C18" s="1" t="s">
        <x:v>73</x:v>
      </x:c>
      <x:c r="D18" s="1">
        <x:v>17</x:v>
      </x:c>
      <x:c r="E18" s="1"/>
      <x:c r="F18" s="1"/>
      <x:c r="G18" s="1"/>
      <x:c r="H18" s="6" t="s">
        <x:v>63</x:v>
      </x:c>
      <x:c r="I18" s="9"/>
      <x:c r="J18" s="1" t="str">
        <x:v>16~210</x:v>
      </x:c>
      <x:c r="K18" s="1" t="str">
        <x:v>233~604</x:v>
      </x:c>
      <x:c r="L18" s="1" t="str">
        <x:v>663~677 / 693~705</x:v>
      </x:c>
      <x:c r="M18" s="1" t="str">
        <x:v>756~771/782~828/843~892/911~924</x:v>
      </x:c>
      <x:c r="N18" s="1" t="str">
        <x:v>961~1149</x:v>
      </x:c>
      <x:c r="O18" s="1" t="str">
        <x:v>1189~1214</x:v>
      </x:c>
      <x:c r="P18" s="1" t="str">
        <x:v>1240~1254</x:v>
      </x:c>
    </x:row>
    <x:row r="19">
      <x:c r="A19" s="1"/>
      <x:c r="B19" s="1" t="s">
        <x:v>69</x:v>
      </x:c>
      <x:c r="C19" s="1"/>
      <x:c r="D19" s="1">
        <x:v>18</x:v>
      </x:c>
      <x:c r="E19" s="1"/>
      <x:c r="F19" s="1"/>
      <x:c r="G19" s="1"/>
      <x:c r="H19" s="6" t="s">
        <x:v>63</x:v>
      </x:c>
      <x:c r="I19" s="9"/>
      <x:c r="J19" s="1" t="str">
        <x:v>15~212</x:v>
      </x:c>
      <x:c r="K19" s="1" t="str">
        <x:v>231~604</x:v>
      </x:c>
      <x:c r="L19" s="1" t="str">
        <x:v>638~653 / 670~681</x:v>
      </x:c>
      <x:c r="M19" s="1" t="str">
        <x:v>723~737/747~792/802~848/863~874</x:v>
      </x:c>
      <x:c r="N19" s="1" t="str">
        <x:v>902~1086</x:v>
      </x:c>
      <x:c r="O19" s="1" t="str">
        <x:v>1103~1128</x:v>
      </x:c>
      <x:c r="P19" s="1" t="str">
        <x:v>1140~1151</x:v>
      </x:c>
    </x:row>
    <x:row r="20">
      <x:c r="A20" s="19">
        <x:v>46233</x:v>
      </x:c>
      <x:c r="B20" s="1"/>
      <x:c r="C20" s="1" t="s">
        <x:v>74</x:v>
      </x:c>
      <x:c r="D20" s="1">
        <x:v>19</x:v>
      </x:c>
      <x:c r="E20" s="1"/>
      <x:c r="F20" s="1"/>
      <x:c r="G20" s="1"/>
      <x:c r="H20" s="6" t="s">
        <x:v>63</x:v>
      </x:c>
      <x:c r="I20" s="9" t="s">
        <x:v>75</x:v>
      </x:c>
      <x:c r="J20" s="1" t="str">
        <x:v>20~216</x:v>
      </x:c>
      <x:c r="K20" s="1" t="str">
        <x:v>272~662</x:v>
      </x:c>
      <x:c r="L20" s="1" t="str">
        <x:v>764~784 / 799~816</x:v>
      </x:c>
      <x:c r="M20" s="1" t="str">
        <x:v>927~954/962~1010/1024~1076/1096~1107</x:v>
      </x:c>
      <x:c r="N20" s="1" t="str">
        <x:v>1188~1372</x:v>
      </x:c>
      <x:c r="O20" s="1" t="str">
        <x:v>1430~1455</x:v>
      </x:c>
      <x:c r="P20" s="1" t="str">
        <x:v>1486~1507</x:v>
      </x:c>
    </x:row>
    <x:row r="21">
      <x:c r="A21" s="1"/>
      <x:c r="B21" s="1" t="s">
        <x:v>76</x:v>
      </x:c>
      <x:c r="C21" s="1"/>
      <x:c r="D21" s="1">
        <x:v>20</x:v>
      </x:c>
      <x:c r="E21" s="1"/>
      <x:c r="F21" s="1"/>
      <x:c r="G21" s="1"/>
      <x:c r="H21" s="6" t="s">
        <x:v>63</x:v>
      </x:c>
      <x:c r="I21" s="9"/>
      <x:c r="J21" s="1" t="str">
        <x:v>11~208</x:v>
      </x:c>
      <x:c r="K21" s="1" t="str">
        <x:v>230~601</x:v>
      </x:c>
      <x:c r="L21" s="1" t="str">
        <x:v>649~662 / 681~693</x:v>
      </x:c>
      <x:c r="M21" s="1" t="str">
        <x:v>756~771/789~837/848~891/895~927</x:v>
      </x:c>
      <x:c r="N21" s="1" t="str">
        <x:v>966~1155</x:v>
      </x:c>
      <x:c r="O21" s="1" t="str">
        <x:v>1179~1203</x:v>
      </x:c>
      <x:c r="P21" s="1" t="str">
        <x:v>1225~1234</x:v>
      </x:c>
    </x:row>
    <x:row r="22">
      <x:c r="A22" s="19">
        <x:v>46234</x:v>
      </x:c>
      <x:c r="B22" s="1" t="s">
        <x:v>30</x:v>
      </x:c>
      <x:c r="C22" s="1" t="s">
        <x:v>31</x:v>
      </x:c>
      <x:c r="D22" s="1">
        <x:v>21</x:v>
      </x:c>
      <x:c r="E22" s="1"/>
      <x:c r="F22" s="1"/>
      <x:c r="G22" s="1"/>
      <x:c r="H22" s="6" t="s">
        <x:v>77</x:v>
      </x:c>
      <x:c r="I22" s="9" t="s">
        <x:v>78</x:v>
      </x:c>
      <x:c r="J22" s="1" t="str">
        <x:v>20~214</x:v>
      </x:c>
      <x:c r="K22" s="1" t="str">
        <x:v>235~612</x:v>
      </x:c>
      <x:c r="L22" s="1" t="str">
        <x:v>655~668 / 688~699</x:v>
      </x:c>
      <x:c r="M22" s="1" t="str">
        <x:v>794~808/816~863/875~921/938~971</x:v>
      </x:c>
      <x:c r="N22" s="1" t="str">
        <x:v>1013~1209</x:v>
      </x:c>
      <x:c r="O22" s="1" t="str">
        <x:v>1248~1271</x:v>
      </x:c>
      <x:c r="P22" s="1" t="str">
        <x:v>1307~1317</x:v>
      </x:c>
    </x:row>
    <x:row r="23">
      <x:c r="A23" s="1"/>
      <x:c r="B23" s="1" t="s">
        <x:v>79</x:v>
      </x:c>
      <x:c r="C23" s="1" t="s">
        <x:v>80</x:v>
      </x:c>
      <x:c r="D23" s="1">
        <x:v>22</x:v>
      </x:c>
      <x:c r="E23" s="1"/>
      <x:c r="F23" s="1"/>
      <x:c r="G23" s="1"/>
      <x:c r="H23" s="6" t="s">
        <x:v>77</x:v>
      </x:c>
      <x:c r="I23" s="9" t="str">
        <x:v>[$2 싱크] RSP 초반 마커와 낙상 4번째 종료 마커가 불명확 — 수동 검토 필요</x:v>
      </x:c>
      <x:c r="J23" s="1"/>
      <x:c r="K23" s="1"/>
      <x:c r="L23" s="1"/>
      <x:c r="M23" s="1"/>
      <x:c r="N23" s="1"/>
      <x:c r="O23" s="1"/>
      <x:c r="P23" s="1"/>
    </x:row>
    <x:row r="24">
      <x:c r="A24" s="19">
        <x:v>46237</x:v>
      </x:c>
      <x:c r="B24" s="1" t="s">
        <x:v>50</x:v>
      </x:c>
      <x:c r="C24" s="1" t="s">
        <x:v>51</x:v>
      </x:c>
      <x:c r="D24" s="1">
        <x:v>23</x:v>
      </x:c>
      <x:c r="E24" s="1"/>
      <x:c r="F24" s="1"/>
      <x:c r="G24" s="1"/>
      <x:c r="H24" s="6" t="s">
        <x:v>77</x:v>
      </x:c>
      <x:c r="I24" s="9"/>
      <x:c r="J24" s="1" t="str">
        <x:v>17~213</x:v>
      </x:c>
      <x:c r="K24" s="1" t="str">
        <x:v>230~604</x:v>
      </x:c>
      <x:c r="L24" s="1" t="str">
        <x:v>660~671 / 691~703</x:v>
      </x:c>
      <x:c r="M24" s="1" t="str">
        <x:v>756~762/778~820/831~881/900~908</x:v>
      </x:c>
      <x:c r="N24" s="1" t="str">
        <x:v>947~1130</x:v>
      </x:c>
      <x:c r="O24" s="1" t="str">
        <x:v>1147~1171</x:v>
      </x:c>
      <x:c r="P24" s="1" t="str">
        <x:v>1194~1211</x:v>
      </x:c>
    </x:row>
    <x:row r="25" ht="49.5">
      <x:c r="A25" s="1"/>
      <x:c r="B25" s="1" t="s">
        <x:v>81</x:v>
      </x:c>
      <x:c r="C25" s="1" t="s">
        <x:v>82</x:v>
      </x:c>
      <x:c r="D25" s="1">
        <x:v>24</x:v>
      </x:c>
      <x:c r="E25" s="1"/>
      <x:c r="F25" s="1"/>
      <x:c r="G25" s="1"/>
      <x:c r="H25" s="6" t="s">
        <x:v>77</x:v>
      </x:c>
      <x:c r="I25" s="15" t="str">
        <x:v>1번 실험 끝나고, 핸드폰 두러 잠시 이동함
낙상 넘어지는거 좀 느림
발차기 3번 함 -&gt; 왜지
[$2 싱크] 원본 누락: Drive/로컬 모두 UWB datafloat 없음(BIOPAC만 존재) — 싱크 불가</x:v>
      </x:c>
      <x:c r="J25" s="1"/>
      <x:c r="K25" s="1"/>
      <x:c r="L25" s="1"/>
      <x:c r="M25" s="1"/>
      <x:c r="N25" s="1"/>
      <x:c r="O25" s="1"/>
      <x:c r="P25" s="1"/>
    </x:row>
    <x:row r="26" ht="33">
      <x:c r="A26" s="19">
        <x:v>46238</x:v>
      </x:c>
      <x:c r="B26" s="1" t="s">
        <x:v>83</x:v>
      </x:c>
      <x:c r="C26" s="1" t="s">
        <x:v>84</x:v>
      </x:c>
      <x:c r="D26" s="1">
        <x:v>25</x:v>
      </x:c>
      <x:c r="E26" s="1"/>
      <x:c r="F26" s="1"/>
      <x:c r="G26" s="1"/>
      <x:c r="H26" s="6" t="s">
        <x:v>77</x:v>
      </x:c>
      <x:c r="I26" s="15" t="s">
        <x:v>85</x:v>
      </x:c>
      <x:c r="J26" s="1" t="str">
        <x:v>19~217</x:v>
      </x:c>
      <x:c r="K26" s="1" t="str">
        <x:v>237~612</x:v>
      </x:c>
      <x:c r="L26" s="1" t="str">
        <x:v>701~723 / 740~749</x:v>
      </x:c>
      <x:c r="M26" s="1" t="str">
        <x:v>849~864/875~924/934~989/1008~1022</x:v>
      </x:c>
      <x:c r="N26" s="1" t="str">
        <x:v>1094~1284</x:v>
      </x:c>
      <x:c r="O26" s="1" t="str">
        <x:v>1319~1345</x:v>
      </x:c>
      <x:c r="P26" s="1" t="str">
        <x:v>1373~1387</x:v>
      </x:c>
    </x:row>
    <x:row r="27">
      <x:c r="A27" s="1"/>
      <x:c r="B27" s="1" t="s">
        <x:v>47</x:v>
      </x:c>
      <x:c r="C27" s="1" t="s">
        <x:v>48</x:v>
      </x:c>
      <x:c r="D27" s="1">
        <x:v>26</x:v>
      </x:c>
      <x:c r="E27" s="1"/>
      <x:c r="F27" s="1"/>
      <x:c r="G27" s="1"/>
      <x:c r="H27" s="6" t="s">
        <x:v>77</x:v>
      </x:c>
      <x:c r="I27" s="9" t="s">
        <x:v>86</x:v>
      </x:c>
      <x:c r="J27" s="1" t="str">
        <x:v>13~207</x:v>
      </x:c>
      <x:c r="K27" s="1" t="str">
        <x:v>257~633</x:v>
      </x:c>
      <x:c r="L27" s="1" t="str">
        <x:v>687~700 / 719~731</x:v>
      </x:c>
      <x:c r="M27" s="1" t="str">
        <x:v>788~805/818~865/874~923/945~958</x:v>
      </x:c>
      <x:c r="N27" s="1" t="str">
        <x:v>1022~1214</x:v>
      </x:c>
      <x:c r="O27" s="1" t="str">
        <x:v>1231~1257</x:v>
      </x:c>
      <x:c r="P27" s="1" t="str">
        <x:v>1278~1291</x:v>
      </x:c>
    </x:row>
    <x:row r="28">
      <x:c r="A28" s="1"/>
      <x:c r="B28" s="1" t="s">
        <x:v>56</x:v>
      </x:c>
      <x:c r="C28" s="1" t="s">
        <x:v>57</x:v>
      </x:c>
      <x:c r="D28" s="1">
        <x:v>27</x:v>
      </x:c>
      <x:c r="E28" s="1"/>
      <x:c r="F28" s="1"/>
      <x:c r="G28" s="1"/>
      <x:c r="H28" s="6" t="s">
        <x:v>77</x:v>
      </x:c>
      <x:c r="I28" s="9"/>
      <x:c r="J28" s="1" t="str">
        <x:v>6~198</x:v>
      </x:c>
      <x:c r="K28" s="1" t="str">
        <x:v>221~597</x:v>
      </x:c>
      <x:c r="L28" s="1" t="str">
        <x:v>649~664 / 682~696</x:v>
      </x:c>
      <x:c r="M28" s="1" t="str">
        <x:v>754~767/780~826/838~889/910~922</x:v>
      </x:c>
      <x:c r="N28" s="1" t="str">
        <x:v>972~1160</x:v>
      </x:c>
      <x:c r="O28" s="1" t="str">
        <x:v>1183~1205</x:v>
      </x:c>
      <x:c r="P28" s="1" t="str">
        <x:v>1225~1236</x:v>
      </x:c>
    </x:row>
    <x:row r="29">
      <x:c r="A29" s="19">
        <x:v>46239</x:v>
      </x:c>
      <x:c r="B29" s="1" t="s">
        <x:v>65</x:v>
      </x:c>
      <x:c r="C29" s="1" t="s">
        <x:v>66</x:v>
      </x:c>
      <x:c r="D29" s="1">
        <x:v>28</x:v>
      </x:c>
      <x:c r="E29" s="1"/>
      <x:c r="F29" s="1"/>
      <x:c r="G29" s="1"/>
      <x:c r="H29" s="6" t="s">
        <x:v>77</x:v>
      </x:c>
      <x:c r="I29" s="9" t="s">
        <x:v>87</x:v>
      </x:c>
      <x:c r="J29" s="1" t="str">
        <x:v>14~208</x:v>
      </x:c>
      <x:c r="K29" s="1" t="str">
        <x:v>239~616</x:v>
      </x:c>
      <x:c r="L29" s="1" t="str">
        <x:v>674~691 / 710~725</x:v>
      </x:c>
      <x:c r="M29" s="1" t="str">
        <x:v>789~804/818~866/881~928/946~958</x:v>
      </x:c>
      <x:c r="N29" s="1" t="str">
        <x:v>1002~1191</x:v>
      </x:c>
      <x:c r="O29" s="1" t="str">
        <x:v>1214~1240</x:v>
      </x:c>
      <x:c r="P29" s="1" t="str">
        <x:v>1265~1278</x:v>
      </x:c>
    </x:row>
    <x:row r="30">
      <x:c r="A30" s="1"/>
      <x:c r="B30" s="1" t="s">
        <x:v>43</x:v>
      </x:c>
      <x:c r="C30" s="1" t="s">
        <x:v>44</x:v>
      </x:c>
      <x:c r="D30" s="1">
        <x:v>29</x:v>
      </x:c>
      <x:c r="E30" s="1"/>
      <x:c r="F30" s="1"/>
      <x:c r="G30" s="1"/>
      <x:c r="H30" s="6" t="s">
        <x:v>77</x:v>
      </x:c>
      <x:c r="I30" s="9" t="str">
        <x:v>첫번째 시나리오 마커 일찍 끝냄
[$2 싱크] 약 970/975초 이중 마커를 1개로 병합</x:v>
      </x:c>
      <x:c r="J30" s="1" t="str">
        <x:v>18~210</x:v>
      </x:c>
      <x:c r="K30" s="1" t="str">
        <x:v>232~607</x:v>
      </x:c>
      <x:c r="L30" s="1" t="str">
        <x:v>652~667 / 682~696</x:v>
      </x:c>
      <x:c r="M30" s="1" t="str">
        <x:v>764~781/791~837/849~897/914~927</x:v>
      </x:c>
      <x:c r="N30" s="1" t="str">
        <x:v>972~1159</x:v>
      </x:c>
      <x:c r="O30" s="1" t="str">
        <x:v>1187~1210</x:v>
      </x:c>
      <x:c r="P30" s="1" t="str">
        <x:v>1237~1252</x:v>
      </x:c>
    </x:row>
    <x:row r="31">
      <x:c r="A31" s="19">
        <x:v>46240</x:v>
      </x:c>
      <x:c r="B31" s="1" t="s">
        <x:v>61</x:v>
      </x:c>
      <x:c r="C31" s="1" t="s">
        <x:v>62</x:v>
      </x:c>
      <x:c r="D31" s="1">
        <x:v>30</x:v>
      </x:c>
      <x:c r="E31" s="1"/>
      <x:c r="F31" s="1"/>
      <x:c r="G31" s="1"/>
      <x:c r="H31" s="6" t="s">
        <x:v>77</x:v>
      </x:c>
      <x:c r="I31" s="9" t="str">
        <x:v>[$2 싱크] BIOPAC RSP 포화/클리핑으로 자동 마커 5개만 검출; 레이더 3대와 결합해 수동 보정</x:v>
      </x:c>
      <x:c r="J31" s="1" t="str">
        <x:v>6~192</x:v>
      </x:c>
      <x:c r="K31" s="1" t="str">
        <x:v>237~620</x:v>
      </x:c>
      <x:c r="L31" s="1" t="str">
        <x:v>662~676 / 730~741</x:v>
      </x:c>
      <x:c r="M31" s="1" t="str">
        <x:v>755~791/801~844/854~897/912~969</x:v>
      </x:c>
      <x:c r="N31" s="1" t="str">
        <x:v>974~1159</x:v>
      </x:c>
      <x:c r="O31" s="1" t="str">
        <x:v>1175~1220</x:v>
      </x:c>
      <x:c r="P31" s="1" t="str">
        <x:v>1244~1254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9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9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9"/>
      <x:c r="J34" s="1"/>
      <x:c r="K34" s="1"/>
      <x:c r="L34" s="1"/>
      <x:c r="M34" s="1"/>
      <x:c r="N34" s="1"/>
      <x:c r="O34" s="1"/>
      <x:c r="P34" s="1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</x:row>
  </x:sheetData>
  <x:mergeCells>
    <x:mergeCell ref="A2:A3"/>
    <x:mergeCell ref="A4:A8"/>
    <x:mergeCell ref="A9:A11"/>
    <x:mergeCell ref="A13:A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0" hidden="0" customWidth="1"/>
    <x:col min="10" max="10" width="58" hidden="0" customWidth="1"/>
  </x:cols>
  <x:sheetData>
    <x:row r="1" ht="34" customHeight="1">
      <x:c r="A1" s="30" t="str">
        <x:v>UWB-BIOPAC 싱크 MATLAB 재검증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4" customHeight="1">
      <x:c r="A2" s="31" t="str">
        <x:v>sync_tool_S02.m과 동일한 8.5V 마커 검출·4초 병합·±12초 offset 탐색 결과를 Python 원시 결과와 비교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34" t="str">
        <x:v>검증 대상</x:v>
      </x:c>
      <x:c r="B4" s="34"/>
      <x:c r="C4" s="32" t="n">
        <x:v>30</x:v>
      </x:c>
      <x:c r="D4" s="34" t="str">
        <x:v>최종 수동 검토 대상</x:v>
      </x:c>
      <x:c r="E4" s="32" t="n">
        <x:v>6</x:v>
      </x:c>
    </x:row>
    <x:row r="5">
      <x:c r="A5" s="34" t="str">
        <x:v>MATLAB-Python 완전 일치</x:v>
      </x:c>
      <x:c r="B5" s="34"/>
      <x:c r="C5" s="32" t="n">
        <x:v>29</x:v>
      </x:c>
      <x:c r="D5" s="34" t="str">
        <x:v>MATLAB 임계값</x:v>
      </x:c>
      <x:c r="E5" s="32" t="str">
        <x:v>8.5 V</x:v>
      </x:c>
    </x:row>
    <x:row r="6">
      <x:c r="A6" s="34" t="str">
        <x:v>원본 누락</x:v>
      </x:c>
      <x:c r="B6" s="34"/>
      <x:c r="C6" s="32" t="n">
        <x:v>1</x:v>
      </x:c>
      <x:c r="D6" s="34" t="str">
        <x:v>offset 탐색 범위</x:v>
      </x:c>
      <x:c r="E6" s="32" t="str">
        <x:v>-12~+12 s</x:v>
      </x:c>
    </x:row>
    <x:row r="8" ht="30" customHeight="1">
      <x:c r="A8" s="38" t="str">
        <x:v>번호</x:v>
      </x:c>
      <x:c r="B8" s="38" t="str">
        <x:v>참가자</x:v>
      </x:c>
      <x:c r="C8" s="38" t="str">
        <x:v>MATLAB 상태</x:v>
      </x:c>
      <x:c r="D8" s="38" t="str">
        <x:v>MATLAB 마커 수</x:v>
      </x:c>
      <x:c r="E8" s="38" t="str">
        <x:v>MATLAB offset(s)</x:v>
      </x:c>
      <x:c r="F8" s="38" t="str">
        <x:v>Python 마커 수</x:v>
      </x:c>
      <x:c r="G8" s="38" t="str">
        <x:v>Python offset(s)</x:v>
      </x:c>
      <x:c r="H8" s="38" t="str">
        <x:v>원시 계산 비교</x:v>
      </x:c>
      <x:c r="I8" s="38" t="str">
        <x:v>최종 처리 상태</x:v>
      </x:c>
      <x:c r="J8" s="38" t="str">
        <x:v>비고</x:v>
      </x:c>
    </x:row>
    <x:row r="9" ht="15" hidden="0" customHeight="1">
      <x:c r="A9" s="42" t="n">
        <x:v>1</x:v>
      </x:c>
      <x:c r="B9" s="42" t="str">
        <x:v>S01_CMS</x:v>
      </x:c>
      <x:c r="C9" s="42" t="str">
        <x:v>OK</x:v>
      </x:c>
      <x:c r="D9" s="42" t="n">
        <x:v>14</x:v>
      </x:c>
      <x:c r="E9" s="43" t="n">
        <x:v>-2.1999999999999993</x:v>
      </x:c>
      <x:c r="F9" s="43" t="n">
        <x:v>14</x:v>
      </x:c>
      <x:c r="G9" s="43" t="n">
        <x:v>-2.200000000000035</x:v>
      </x:c>
      <x:c r="H9" s="42" t="str">
        <x:v>MATLAB-Python 완전 일치</x:v>
      </x:c>
      <x:c r="I9" s="42" t="str">
        <x:v>수동 검토 필요</x:v>
      </x:c>
      <x:c r="J9" s="44" t="str">
        <x:v>자동 검출 마커 14개로 초기 프로토콜 경계가 부족함 — 수동 검토 필요</x:v>
      </x:c>
    </x:row>
    <x:row r="10" ht="15" hidden="0" customHeight="1">
      <x:c r="A10" s="39" t="n">
        <x:v>2</x:v>
      </x:c>
      <x:c r="B10" s="39" t="str">
        <x:v>S02_RJS</x:v>
      </x:c>
      <x:c r="C10" s="39" t="str">
        <x:v>OK</x:v>
      </x:c>
      <x:c r="D10" s="39" t="n">
        <x:v>13</x:v>
      </x:c>
      <x:c r="E10" s="41" t="n">
        <x:v>6.199999999999999</x:v>
      </x:c>
      <x:c r="F10" s="41" t="n">
        <x:v>13</x:v>
      </x:c>
      <x:c r="G10" s="41" t="n">
        <x:v>6.199999999999935</x:v>
      </x:c>
      <x:c r="H10" s="39" t="str">
        <x:v>MATLAB-Python 완전 일치</x:v>
      </x:c>
      <x:c r="I10" s="39" t="str">
        <x:v>기존 엑셀값 유지</x:v>
      </x:c>
      <x:c r="J10" s="40" t="str"/>
    </x:row>
    <x:row r="11" ht="15" hidden="0" customHeight="1">
      <x:c r="A11" s="39" t="n">
        <x:v>3</x:v>
      </x:c>
      <x:c r="B11" s="39" t="str">
        <x:v>S03_PSJ</x:v>
      </x:c>
      <x:c r="C11" s="39" t="str">
        <x:v>OK</x:v>
      </x:c>
      <x:c r="D11" s="39" t="n">
        <x:v>22</x:v>
      </x:c>
      <x:c r="E11" s="41" t="n">
        <x:v>-1.8999999999999986</x:v>
      </x:c>
      <x:c r="F11" s="41" t="n">
        <x:v>22</x:v>
      </x:c>
      <x:c r="G11" s="41" t="n">
        <x:v>-1.9000000000000359</x:v>
      </x:c>
      <x:c r="H11" s="39" t="str">
        <x:v>MATLAB-Python 완전 일치</x:v>
      </x:c>
      <x:c r="I11" s="39" t="str">
        <x:v>기존 엑셀값 유지</x:v>
      </x:c>
      <x:c r="J11" s="40" t="str"/>
    </x:row>
    <x:row r="12" ht="15" hidden="0" customHeight="1">
      <x:c r="A12" s="42" t="n">
        <x:v>4</x:v>
      </x:c>
      <x:c r="B12" s="42" t="str">
        <x:v>S04_KTW</x:v>
      </x:c>
      <x:c r="C12" s="42" t="str">
        <x:v>OK</x:v>
      </x:c>
      <x:c r="D12" s="42" t="n">
        <x:v>27</x:v>
      </x:c>
      <x:c r="E12" s="43" t="n">
        <x:v>0.5</x:v>
      </x:c>
      <x:c r="F12" s="43" t="n">
        <x:v>27</x:v>
      </x:c>
      <x:c r="G12" s="43" t="n">
        <x:v>0.4999999999999556</x:v>
      </x:c>
      <x:c r="H12" s="42" t="str">
        <x:v>MATLAB-Python 완전 일치</x:v>
      </x:c>
      <x:c r="I12" s="42" t="str">
        <x:v>수동 검토 필요</x:v>
      </x:c>
      <x:c r="J12" s="44" t="str">
        <x:v>후반부 장시간 마커 공백(약 1,230~1,680초) — 수동 검토 필요</x:v>
      </x:c>
    </x:row>
    <x:row r="13" ht="15" hidden="0" customHeight="1">
      <x:c r="A13" s="39" t="n">
        <x:v>5</x:v>
      </x:c>
      <x:c r="B13" s="39" t="str">
        <x:v>S05_LHS</x:v>
      </x:c>
      <x:c r="C13" s="39" t="str">
        <x:v>OK</x:v>
      </x:c>
      <x:c r="D13" s="39" t="n">
        <x:v>26</x:v>
      </x:c>
      <x:c r="E13" s="41" t="n">
        <x:v>3.6999999999999993</x:v>
      </x:c>
      <x:c r="F13" s="41" t="n">
        <x:v>26</x:v>
      </x:c>
      <x:c r="G13" s="41" t="n">
        <x:v>3.6999999999999442</x:v>
      </x:c>
      <x:c r="H13" s="39" t="str">
        <x:v>MATLAB-Python 완전 일치</x:v>
      </x:c>
      <x:c r="I13" s="39" t="str">
        <x:v>수동 보정 후 확정</x:v>
      </x:c>
      <x:c r="J13" s="40" t="str">
        <x:v>자동 후보를 RSP 돌출·레이더 움직임·실험 순서로 수동 보정</x:v>
      </x:c>
    </x:row>
    <x:row r="14" ht="15" hidden="0" customHeight="1">
      <x:c r="A14" s="39" t="n">
        <x:v>6</x:v>
      </x:c>
      <x:c r="B14" s="39" t="str">
        <x:v>S06_LDW</x:v>
      </x:c>
      <x:c r="C14" s="39" t="str">
        <x:v>OK</x:v>
      </x:c>
      <x:c r="D14" s="39" t="n">
        <x:v>24</x:v>
      </x:c>
      <x:c r="E14" s="41" t="n">
        <x:v>-10.6</x:v>
      </x:c>
      <x:c r="F14" s="41" t="n">
        <x:v>24</x:v>
      </x:c>
      <x:c r="G14" s="41" t="n">
        <x:v>-10.600000000000005</x:v>
      </x:c>
      <x:c r="H14" s="39" t="str">
        <x:v>MATLAB-Python 완전 일치</x:v>
      </x:c>
      <x:c r="I14" s="39" t="str">
        <x:v>수동 보정 후 확정</x:v>
      </x:c>
      <x:c r="J14" s="40" t="str">
        <x:v>자동 후보를 RSP 돌출·레이더 움직임·실험 순서로 수동 보정</x:v>
      </x:c>
    </x:row>
    <x:row r="15" ht="15" hidden="0" customHeight="1">
      <x:c r="A15" s="39" t="n">
        <x:v>7</x:v>
      </x:c>
      <x:c r="B15" s="39" t="str">
        <x:v>S07_KDM</x:v>
      </x:c>
      <x:c r="C15" s="39" t="str">
        <x:v>OK</x:v>
      </x:c>
      <x:c r="D15" s="39" t="n">
        <x:v>18</x:v>
      </x:c>
      <x:c r="E15" s="41" t="n">
        <x:v>-7.7</x:v>
      </x:c>
      <x:c r="F15" s="41" t="n">
        <x:v>18</x:v>
      </x:c>
      <x:c r="G15" s="41" t="n">
        <x:v>-7.700000000000015</x:v>
      </x:c>
      <x:c r="H15" s="39" t="str">
        <x:v>MATLAB-Python 완전 일치</x:v>
      </x:c>
      <x:c r="I15" s="39" t="str">
        <x:v>확정</x:v>
      </x:c>
      <x:c r="J15" s="40" t="str">
        <x:v>참가자별 임계값 7.5, 후보 24개 중 22개 검증</x:v>
      </x:c>
    </x:row>
    <x:row r="16" ht="15" hidden="0" customHeight="1">
      <x:c r="A16" s="39" t="n">
        <x:v>8</x:v>
      </x:c>
      <x:c r="B16" s="39" t="str">
        <x:v>S08_MDO</x:v>
      </x:c>
      <x:c r="C16" s="39" t="str">
        <x:v>OK</x:v>
      </x:c>
      <x:c r="D16" s="39" t="n">
        <x:v>16</x:v>
      </x:c>
      <x:c r="E16" s="41" t="n">
        <x:v>4.8</x:v>
      </x:c>
      <x:c r="F16" s="41" t="n">
        <x:v>16</x:v>
      </x:c>
      <x:c r="G16" s="41" t="n">
        <x:v>4.79999999999994</x:v>
      </x:c>
      <x:c r="H16" s="39" t="str">
        <x:v>MATLAB-Python 완전 일치</x:v>
      </x:c>
      <x:c r="I16" s="39" t="str">
        <x:v>확정</x:v>
      </x:c>
      <x:c r="J16" s="40" t="str">
        <x:v>참가자별 임계값 7.0, 후보 24개 중 22개 검증</x:v>
      </x:c>
    </x:row>
    <x:row r="17" ht="15" hidden="0" customHeight="1">
      <x:c r="A17" s="39" t="n">
        <x:v>9</x:v>
      </x:c>
      <x:c r="B17" s="39" t="str">
        <x:v>S09_HDH</x:v>
      </x:c>
      <x:c r="C17" s="39" t="str">
        <x:v>OK</x:v>
      </x:c>
      <x:c r="D17" s="39" t="n">
        <x:v>21</x:v>
      </x:c>
      <x:c r="E17" s="41" t="n">
        <x:v>-7.3999999999999995</x:v>
      </x:c>
      <x:c r="F17" s="41" t="n">
        <x:v>21</x:v>
      </x:c>
      <x:c r="G17" s="41" t="n">
        <x:v>-7.400000000000016</x:v>
      </x:c>
      <x:c r="H17" s="39" t="str">
        <x:v>MATLAB-Python 완전 일치</x:v>
      </x:c>
      <x:c r="I17" s="39" t="str">
        <x:v>확정</x:v>
      </x:c>
      <x:c r="J17" s="40" t="str">
        <x:v>참가자별 임계값 7.5, 후보 31개 중 22개 검증</x:v>
      </x:c>
    </x:row>
    <x:row r="18" ht="15" hidden="0" customHeight="1">
      <x:c r="A18" s="39" t="n">
        <x:v>10</x:v>
      </x:c>
      <x:c r="B18" s="39" t="str">
        <x:v>S10_JKH</x:v>
      </x:c>
      <x:c r="C18" s="39" t="str">
        <x:v>OK</x:v>
      </x:c>
      <x:c r="D18" s="39" t="n">
        <x:v>24</x:v>
      </x:c>
      <x:c r="E18" s="41" t="n">
        <x:v>11.9</x:v>
      </x:c>
      <x:c r="F18" s="41" t="n">
        <x:v>24</x:v>
      </x:c>
      <x:c r="G18" s="41" t="n">
        <x:v>11.899999999999913</x:v>
      </x:c>
      <x:c r="H18" s="39" t="str">
        <x:v>MATLAB-Python 완전 일치</x:v>
      </x:c>
      <x:c r="I18" s="39" t="str">
        <x:v>확정</x:v>
      </x:c>
      <x:c r="J18" s="40" t="str">
        <x:v>참가자별 임계값 8.0, 후보 26개 중 22개 검증</x:v>
      </x:c>
    </x:row>
    <x:row r="19" ht="15" hidden="0" customHeight="1">
      <x:c r="A19" s="42" t="n">
        <x:v>11</x:v>
      </x:c>
      <x:c r="B19" s="42" t="str">
        <x:v>S11_SJE</x:v>
      </x:c>
      <x:c r="C19" s="42" t="str">
        <x:v>OK</x:v>
      </x:c>
      <x:c r="D19" s="42" t="n">
        <x:v>9</x:v>
      </x:c>
      <x:c r="E19" s="43" t="n">
        <x:v>-5.1</x:v>
      </x:c>
      <x:c r="F19" s="43" t="n">
        <x:v>9</x:v>
      </x:c>
      <x:c r="G19" s="43" t="n">
        <x:v>-5.1000000000000245</x:v>
      </x:c>
      <x:c r="H19" s="42" t="str">
        <x:v>MATLAB-Python 완전 일치</x:v>
      </x:c>
      <x:c r="I19" s="42" t="str">
        <x:v>수동 검토 필요</x:v>
      </x:c>
      <x:c r="J19" s="44" t="str">
        <x:v>후반 마커 다수 누락/과검출 — 수동 검토 필요</x:v>
      </x:c>
    </x:row>
    <x:row r="20" ht="15" hidden="0" customHeight="1">
      <x:c r="A20" s="42" t="n">
        <x:v>12</x:v>
      </x:c>
      <x:c r="B20" s="42" t="str">
        <x:v>S12_KDH</x:v>
      </x:c>
      <x:c r="C20" s="42" t="str">
        <x:v>OK</x:v>
      </x:c>
      <x:c r="D20" s="42" t="n">
        <x:v>7</x:v>
      </x:c>
      <x:c r="E20" s="43" t="n">
        <x:v>-6.8</x:v>
      </x:c>
      <x:c r="F20" s="43" t="n">
        <x:v>7</x:v>
      </x:c>
      <x:c r="G20" s="43" t="n">
        <x:v>-6.8000000000000185</x:v>
      </x:c>
      <x:c r="H20" s="42" t="str">
        <x:v>MATLAB-Python 완전 일치</x:v>
      </x:c>
      <x:c r="I20" s="42" t="str">
        <x:v>수동 검토 필요</x:v>
      </x:c>
      <x:c r="J20" s="44" t="str">
        <x:v>RSP 마커 누락 및 자동 offset이 탐색 경계(-12초)에 도달 — 수동 검토 필요</x:v>
      </x:c>
    </x:row>
    <x:row r="21" ht="15" hidden="0" customHeight="1">
      <x:c r="A21" s="39" t="n">
        <x:v>13</x:v>
      </x:c>
      <x:c r="B21" s="39" t="str">
        <x:v>S13_KTW</x:v>
      </x:c>
      <x:c r="C21" s="39" t="str">
        <x:v>OK</x:v>
      </x:c>
      <x:c r="D21" s="39" t="n">
        <x:v>48</x:v>
      </x:c>
      <x:c r="E21" s="41" t="n">
        <x:v>-0.5999999999999996</x:v>
      </x:c>
      <x:c r="F21" s="41" t="n">
        <x:v>48</x:v>
      </x:c>
      <x:c r="G21" s="41" t="n">
        <x:v>-0.6000000000000405</x:v>
      </x:c>
      <x:c r="H21" s="39" t="str">
        <x:v>MATLAB-Python 완전 일치</x:v>
      </x:c>
      <x:c r="I21" s="39" t="str">
        <x:v>수동 보정 후 확정</x:v>
      </x:c>
      <x:c r="J21" s="40" t="str">
        <x:v>자동 후보를 RSP 돌출·레이더 움직임·실험 순서로 수동 보정</x:v>
      </x:c>
    </x:row>
    <x:row r="22" ht="15" hidden="0" customHeight="1">
      <x:c r="A22" s="39" t="n">
        <x:v>14</x:v>
      </x:c>
      <x:c r="B22" s="39" t="str">
        <x:v>S14_MDO</x:v>
      </x:c>
      <x:c r="C22" s="39" t="str">
        <x:v>OK</x:v>
      </x:c>
      <x:c r="D22" s="39" t="n">
        <x:v>16</x:v>
      </x:c>
      <x:c r="E22" s="41" t="n">
        <x:v>8.1</x:v>
      </x:c>
      <x:c r="F22" s="41" t="n">
        <x:v>16</x:v>
      </x:c>
      <x:c r="G22" s="41" t="n">
        <x:v>8.09999999999993</x:v>
      </x:c>
      <x:c r="H22" s="39" t="str">
        <x:v>MATLAB-Python 완전 일치</x:v>
      </x:c>
      <x:c r="I22" s="39" t="str">
        <x:v>확정</x:v>
      </x:c>
      <x:c r="J22" s="40" t="str">
        <x:v>참가자별 임계값 6.5, 후보 24개 중 22개 검증</x:v>
      </x:c>
    </x:row>
    <x:row r="23" ht="15" hidden="0" customHeight="1">
      <x:c r="A23" s="39" t="n">
        <x:v>15</x:v>
      </x:c>
      <x:c r="B23" s="39" t="str">
        <x:v>S15_JKH</x:v>
      </x:c>
      <x:c r="C23" s="39" t="str">
        <x:v>OK</x:v>
      </x:c>
      <x:c r="D23" s="39" t="n">
        <x:v>25</x:v>
      </x:c>
      <x:c r="E23" s="41" t="n">
        <x:v>12</x:v>
      </x:c>
      <x:c r="F23" s="41" t="n">
        <x:v>25</x:v>
      </x:c>
      <x:c r="G23" s="41" t="n">
        <x:v>11.999999999999915</x:v>
      </x:c>
      <x:c r="H23" s="39" t="str">
        <x:v>MATLAB-Python 완전 일치</x:v>
      </x:c>
      <x:c r="I23" s="39" t="str">
        <x:v>확정</x:v>
      </x:c>
      <x:c r="J23" s="40" t="str">
        <x:v>참가자별 임계값 8.0, 후보 29개 중 22개 검증</x:v>
      </x:c>
    </x:row>
    <x:row r="24" ht="15" hidden="0" customHeight="1">
      <x:c r="A24" s="39" t="n">
        <x:v>16</x:v>
      </x:c>
      <x:c r="B24" s="39" t="str">
        <x:v>S16_LJH</x:v>
      </x:c>
      <x:c r="C24" s="39" t="str">
        <x:v>OK</x:v>
      </x:c>
      <x:c r="D24" s="39" t="n">
        <x:v>21</x:v>
      </x:c>
      <x:c r="E24" s="41" t="n">
        <x:v>1.8999999999999986</x:v>
      </x:c>
      <x:c r="F24" s="41" t="n">
        <x:v>21</x:v>
      </x:c>
      <x:c r="G24" s="41" t="n">
        <x:v>1.8999999999999506</x:v>
      </x:c>
      <x:c r="H24" s="39" t="str">
        <x:v>MATLAB-Python 완전 일치</x:v>
      </x:c>
      <x:c r="I24" s="39" t="str">
        <x:v>확정</x:v>
      </x:c>
      <x:c r="J24" s="40" t="str">
        <x:v>참가자별 임계값 8.0, 후보 28개 중 22개 검증</x:v>
      </x:c>
    </x:row>
    <x:row r="25" ht="15" hidden="0" customHeight="1">
      <x:c r="A25" s="39" t="n">
        <x:v>17</x:v>
      </x:c>
      <x:c r="B25" s="39" t="str">
        <x:v>S17_RJS</x:v>
      </x:c>
      <x:c r="C25" s="39" t="str">
        <x:v>OK</x:v>
      </x:c>
      <x:c r="D25" s="39" t="n">
        <x:v>15</x:v>
      </x:c>
      <x:c r="E25" s="41" t="n">
        <x:v>-3.6999999999999993</x:v>
      </x:c>
      <x:c r="F25" s="41" t="n">
        <x:v>15</x:v>
      </x:c>
      <x:c r="G25" s="41" t="n">
        <x:v>-3.7000000000000295</x:v>
      </x:c>
      <x:c r="H25" s="39" t="str">
        <x:v>MATLAB-Python 완전 일치</x:v>
      </x:c>
      <x:c r="I25" s="39" t="str">
        <x:v>확정</x:v>
      </x:c>
      <x:c r="J25" s="40" t="str">
        <x:v>참가자별 임계값 7.0, 후보 24개 중 22개 검증</x:v>
      </x:c>
    </x:row>
    <x:row r="26" ht="15" hidden="0" customHeight="1">
      <x:c r="A26" s="39" t="n">
        <x:v>18</x:v>
      </x:c>
      <x:c r="B26" s="39" t="str">
        <x:v>S18_LJH</x:v>
      </x:c>
      <x:c r="C26" s="39" t="str">
        <x:v>OK</x:v>
      </x:c>
      <x:c r="D26" s="39" t="n">
        <x:v>22</x:v>
      </x:c>
      <x:c r="E26" s="41" t="n">
        <x:v>-0.1999999999999993</x:v>
      </x:c>
      <x:c r="F26" s="41" t="n">
        <x:v>22</x:v>
      </x:c>
      <x:c r="G26" s="41" t="n">
        <x:v>-0.20000000000004192</x:v>
      </x:c>
      <x:c r="H26" s="39" t="str">
        <x:v>MATLAB-Python 완전 일치</x:v>
      </x:c>
      <x:c r="I26" s="39" t="str">
        <x:v>확정</x:v>
      </x:c>
      <x:c r="J26" s="40" t="str">
        <x:v>참가자별 임계값 7.0, 후보 24개 중 22개 검증</x:v>
      </x:c>
    </x:row>
    <x:row r="27" ht="15" hidden="0" customHeight="1">
      <x:c r="A27" s="39" t="n">
        <x:v>19</x:v>
      </x:c>
      <x:c r="B27" s="39" t="str">
        <x:v>S19_CHW</x:v>
      </x:c>
      <x:c r="C27" s="39" t="str">
        <x:v>OK</x:v>
      </x:c>
      <x:c r="D27" s="39" t="n">
        <x:v>19</x:v>
      </x:c>
      <x:c r="E27" s="41" t="n">
        <x:v>-1.5999999999999996</x:v>
      </x:c>
      <x:c r="F27" s="41" t="n">
        <x:v>19</x:v>
      </x:c>
      <x:c r="G27" s="41" t="n">
        <x:v>-1.600000000000037</x:v>
      </x:c>
      <x:c r="H27" s="39" t="str">
        <x:v>MATLAB-Python 완전 일치</x:v>
      </x:c>
      <x:c r="I27" s="39" t="str">
        <x:v>확정</x:v>
      </x:c>
      <x:c r="J27" s="40" t="str">
        <x:v>참가자별 임계값 7.0, 후보 25개 중 22개 검증</x:v>
      </x:c>
    </x:row>
    <x:row r="28" ht="15" hidden="0" customHeight="1">
      <x:c r="A28" s="39" t="n">
        <x:v>20</x:v>
      </x:c>
      <x:c r="B28" s="39" t="str">
        <x:v>S20_YSE</x:v>
      </x:c>
      <x:c r="C28" s="39" t="str">
        <x:v>OK</x:v>
      </x:c>
      <x:c r="D28" s="39" t="n">
        <x:v>20</x:v>
      </x:c>
      <x:c r="E28" s="41" t="n">
        <x:v>3.799999999999999</x:v>
      </x:c>
      <x:c r="F28" s="41" t="n">
        <x:v>20</x:v>
      </x:c>
      <x:c r="G28" s="41" t="n">
        <x:v>3.799999999999944</x:v>
      </x:c>
      <x:c r="H28" s="39" t="str">
        <x:v>MATLAB-Python 완전 일치</x:v>
      </x:c>
      <x:c r="I28" s="39" t="str">
        <x:v>확정</x:v>
      </x:c>
      <x:c r="J28" s="40" t="str">
        <x:v>참가자별 임계값 6.5, 후보 25개 중 22개 검증</x:v>
      </x:c>
    </x:row>
    <x:row r="29" ht="15" hidden="0" customHeight="1">
      <x:c r="A29" s="39" t="n">
        <x:v>21</x:v>
      </x:c>
      <x:c r="B29" s="39" t="str">
        <x:v>S21_PSJ</x:v>
      </x:c>
      <x:c r="C29" s="39" t="str">
        <x:v>OK</x:v>
      </x:c>
      <x:c r="D29" s="39" t="n">
        <x:v>21</x:v>
      </x:c>
      <x:c r="E29" s="41" t="n">
        <x:v>-2.799999999999999</x:v>
      </x:c>
      <x:c r="F29" s="41" t="n">
        <x:v>21</x:v>
      </x:c>
      <x:c r="G29" s="41" t="n">
        <x:v>-2.8000000000000327</x:v>
      </x:c>
      <x:c r="H29" s="39" t="str">
        <x:v>MATLAB-Python 완전 일치</x:v>
      </x:c>
      <x:c r="I29" s="39" t="str">
        <x:v>확정</x:v>
      </x:c>
      <x:c r="J29" s="40" t="str">
        <x:v>참가자별 임계값 7.5, 후보 25개 중 22개 검증</x:v>
      </x:c>
    </x:row>
    <x:row r="30" ht="15" hidden="0" customHeight="1">
      <x:c r="A30" s="42" t="n">
        <x:v>22</x:v>
      </x:c>
      <x:c r="B30" s="42" t="str">
        <x:v>S22_KJH</x:v>
      </x:c>
      <x:c r="C30" s="42" t="str">
        <x:v>OK</x:v>
      </x:c>
      <x:c r="D30" s="42" t="n">
        <x:v>18</x:v>
      </x:c>
      <x:c r="E30" s="43" t="n">
        <x:v>-3.1999999999999993</x:v>
      </x:c>
      <x:c r="F30" s="43" t="n">
        <x:v>18</x:v>
      </x:c>
      <x:c r="G30" s="43" t="n">
        <x:v>-3.2000000000000313</x:v>
      </x:c>
      <x:c r="H30" s="42" t="str">
        <x:v>MATLAB-Python 완전 일치</x:v>
      </x:c>
      <x:c r="I30" s="42" t="str">
        <x:v>수동 검토 필요</x:v>
      </x:c>
      <x:c r="J30" s="44" t="str">
        <x:v>RSP 초반 마커와 낙상 4번째 종료 마커가 불명확 — 수동 검토 필요</x:v>
      </x:c>
    </x:row>
    <x:row r="31" ht="15" hidden="0" customHeight="1">
      <x:c r="A31" s="39" t="n">
        <x:v>23</x:v>
      </x:c>
      <x:c r="B31" s="39" t="str">
        <x:v>S23_KDM</x:v>
      </x:c>
      <x:c r="C31" s="39" t="str">
        <x:v>OK</x:v>
      </x:c>
      <x:c r="D31" s="39" t="n">
        <x:v>23</x:v>
      </x:c>
      <x:c r="E31" s="41" t="n">
        <x:v>-0.1999999999999993</x:v>
      </x:c>
      <x:c r="F31" s="41" t="n">
        <x:v>23</x:v>
      </x:c>
      <x:c r="G31" s="41" t="n">
        <x:v>-0.20000000000004192</x:v>
      </x:c>
      <x:c r="H31" s="39" t="str">
        <x:v>MATLAB-Python 완전 일치</x:v>
      </x:c>
      <x:c r="I31" s="39" t="str">
        <x:v>확정</x:v>
      </x:c>
      <x:c r="J31" s="40" t="str">
        <x:v>참가자별 임계값 8.0, 후보 32개 중 22개 검증</x:v>
      </x:c>
    </x:row>
    <x:row r="32" ht="15" hidden="0" customHeight="1">
      <x:c r="A32" s="45" t="n">
        <x:v>24</x:v>
      </x:c>
      <x:c r="B32" s="45" t="str">
        <x:v>S24_KHJ</x:v>
      </x:c>
      <x:c r="C32" s="45" t="str">
        <x:v>FAILED</x:v>
      </x:c>
      <x:c r="D32" s="45" t="str"/>
      <x:c r="E32" s="46" t="str"/>
      <x:c r="F32" s="46" t="str"/>
      <x:c r="G32" s="46" t="str"/>
      <x:c r="H32" s="45" t="str">
        <x:v>원본 누락</x:v>
      </x:c>
      <x:c r="I32" s="45" t="str">
        <x:v>수동 검토 필요</x:v>
      </x:c>
      <x:c r="J32" s="47" t="str">
        <x:v>원본 누락: Drive/로컬 모두 UWB datafloat 없음(BIOPAC만 존재) — 싱크 불가</x:v>
      </x:c>
    </x:row>
    <x:row r="33" ht="15" hidden="0" customHeight="1">
      <x:c r="A33" s="39" t="n">
        <x:v>25</x:v>
      </x:c>
      <x:c r="B33" s="39" t="str">
        <x:v>S25_GEC</x:v>
      </x:c>
      <x:c r="C33" s="39" t="str">
        <x:v>OK</x:v>
      </x:c>
      <x:c r="D33" s="39" t="n">
        <x:v>27</x:v>
      </x:c>
      <x:c r="E33" s="41" t="n">
        <x:v>-2.5</x:v>
      </x:c>
      <x:c r="F33" s="41" t="n">
        <x:v>27</x:v>
      </x:c>
      <x:c r="G33" s="41" t="n">
        <x:v>-2.5000000000000338</x:v>
      </x:c>
      <x:c r="H33" s="39" t="str">
        <x:v>MATLAB-Python 완전 일치</x:v>
      </x:c>
      <x:c r="I33" s="39" t="str">
        <x:v>수동 보정 후 확정</x:v>
      </x:c>
      <x:c r="J33" s="40" t="str">
        <x:v>자동 후보를 RSP 돌출·레이더 움직임·실험 순서로 수동 보정</x:v>
      </x:c>
    </x:row>
    <x:row r="34" ht="15" hidden="0" customHeight="1">
      <x:c r="A34" s="39" t="n">
        <x:v>26</x:v>
      </x:c>
      <x:c r="B34" s="39" t="str">
        <x:v>S26_LDW</x:v>
      </x:c>
      <x:c r="C34" s="39" t="str">
        <x:v>OK</x:v>
      </x:c>
      <x:c r="D34" s="39" t="n">
        <x:v>22</x:v>
      </x:c>
      <x:c r="E34" s="41" t="n">
        <x:v>-0.09999999999999964</x:v>
      </x:c>
      <x:c r="F34" s="41" t="n">
        <x:v>22</x:v>
      </x:c>
      <x:c r="G34" s="41" t="n">
        <x:v>-0.10000000000004228</x:v>
      </x:c>
      <x:c r="H34" s="39" t="str">
        <x:v>MATLAB-Python 완전 일치</x:v>
      </x:c>
      <x:c r="I34" s="39" t="str">
        <x:v>확정</x:v>
      </x:c>
      <x:c r="J34" s="40" t="str">
        <x:v>참가자별 임계값 8.0, 후보 24개 중 22개 검증</x:v>
      </x:c>
    </x:row>
    <x:row r="35" ht="15" hidden="0" customHeight="1">
      <x:c r="A35" s="39" t="n">
        <x:v>27</x:v>
      </x:c>
      <x:c r="B35" s="39" t="str">
        <x:v>S27_HDH</x:v>
      </x:c>
      <x:c r="C35" s="39" t="str">
        <x:v>OK</x:v>
      </x:c>
      <x:c r="D35" s="39" t="n">
        <x:v>22</x:v>
      </x:c>
      <x:c r="E35" s="41" t="n">
        <x:v>3.6999999999999993</x:v>
      </x:c>
      <x:c r="F35" s="41" t="n">
        <x:v>22</x:v>
      </x:c>
      <x:c r="G35" s="41" t="n">
        <x:v>3.6999999999999442</x:v>
      </x:c>
      <x:c r="H35" s="39" t="str">
        <x:v>MATLAB-Python 완전 일치</x:v>
      </x:c>
      <x:c r="I35" s="39" t="str">
        <x:v>수동 보정 후 확정</x:v>
      </x:c>
      <x:c r="J35" s="40" t="str">
        <x:v>자동 후보를 RSP 돌출·레이더 움직임·실험 순서로 수동 보정</x:v>
      </x:c>
    </x:row>
    <x:row r="36" ht="15" hidden="0" customHeight="1">
      <x:c r="A36" s="39" t="n">
        <x:v>28</x:v>
      </x:c>
      <x:c r="B36" s="39" t="str">
        <x:v>S28_KDH</x:v>
      </x:c>
      <x:c r="C36" s="39" t="str">
        <x:v>OK</x:v>
      </x:c>
      <x:c r="D36" s="39" t="n">
        <x:v>18</x:v>
      </x:c>
      <x:c r="E36" s="41" t="n">
        <x:v>3.299999999999999</x:v>
      </x:c>
      <x:c r="F36" s="41" t="n">
        <x:v>18</x:v>
      </x:c>
      <x:c r="G36" s="41" t="n">
        <x:v>3.2999999999999456</x:v>
      </x:c>
      <x:c r="H36" s="39" t="str">
        <x:v>MATLAB-Python 완전 일치</x:v>
      </x:c>
      <x:c r="I36" s="39" t="str">
        <x:v>확정</x:v>
      </x:c>
      <x:c r="J36" s="40" t="str">
        <x:v>참가자별 임계값 7.0, 후보 25개 중 22개 검증</x:v>
      </x:c>
    </x:row>
    <x:row r="37" ht="15" hidden="0" customHeight="1">
      <x:c r="A37" s="39" t="n">
        <x:v>29</x:v>
      </x:c>
      <x:c r="B37" s="39" t="str">
        <x:v>S29_LHS</x:v>
      </x:c>
      <x:c r="C37" s="39" t="str">
        <x:v>OK</x:v>
      </x:c>
      <x:c r="D37" s="39" t="n">
        <x:v>23</x:v>
      </x:c>
      <x:c r="E37" s="41" t="n">
        <x:v>0.6999999999999993</x:v>
      </x:c>
      <x:c r="F37" s="41" t="n">
        <x:v>23</x:v>
      </x:c>
      <x:c r="G37" s="41" t="n">
        <x:v>0.6999999999999549</x:v>
      </x:c>
      <x:c r="H37" s="39" t="str">
        <x:v>MATLAB-Python 완전 일치</x:v>
      </x:c>
      <x:c r="I37" s="39" t="str">
        <x:v>수동 보정 후 확정</x:v>
      </x:c>
      <x:c r="J37" s="40" t="str">
        <x:v>약 970/975초 이중 마커를 1개로 병합</x:v>
      </x:c>
    </x:row>
    <x:row r="38" ht="26.399999618530273" hidden="0" customHeight="1">
      <x:c r="A38" s="39" t="n">
        <x:v>30</x:v>
      </x:c>
      <x:c r="B38" s="39" t="str">
        <x:v>S30_SJE</x:v>
      </x:c>
      <x:c r="C38" s="39" t="str">
        <x:v>OK</x:v>
      </x:c>
      <x:c r="D38" s="39" t="n">
        <x:v>5</x:v>
      </x:c>
      <x:c r="E38" s="41" t="n">
        <x:v>11.6</x:v>
      </x:c>
      <x:c r="F38" s="41" t="n">
        <x:v>5</x:v>
      </x:c>
      <x:c r="G38" s="41" t="n">
        <x:v>11.599999999999916</x:v>
      </x:c>
      <x:c r="H38" s="39" t="str">
        <x:v>MATLAB-Python 완전 일치</x:v>
      </x:c>
      <x:c r="I38" s="39" t="str">
        <x:v>수동 보정 후 확정</x:v>
      </x:c>
      <x:c r="J38" s="40" t="str">
        <x:v>BIOPAC RSP 포화/클리핑으로 자동 마커 5개만 검출; 레이더 3대와 결합해 수동 보정</x:v>
      </x:c>
    </x:row>
  </x:sheetData>
  <x:mergeCells>
    <x:mergeCell ref="A1:J1"/>
    <x:mergeCell ref="A2:J2"/>
    <x:mergeCell ref="A4:B4"/>
    <x:mergeCell ref="A5:B5"/>
    <x:mergeCell ref="A6:B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11" hidden="0" customWidth="1"/>
    <x:col min="5" max="5" width="12" hidden="0" customWidth="1"/>
    <x:col min="6" max="6" width="11" hidden="0" customWidth="1"/>
    <x:col min="7" max="7" width="13" hidden="0" customWidth="1"/>
    <x:col min="8" max="8" width="14" hidden="0" customWidth="1"/>
    <x:col min="9" max="9" width="10" hidden="0" customWidth="1"/>
    <x:col min="10" max="10" width="12" hidden="0" customWidth="1"/>
    <x:col min="11" max="11" width="18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20" hidden="0" customWidth="1"/>
    <x:col min="17" max="17" width="52" hidden="0" customWidth="1"/>
  </x:cols>
  <x:sheetData>
    <x:row r="1" ht="30" customHeight="1">
      <x:c r="A1" s="49" t="str">
        <x:v>UWB–BIOPAC 마커 전수검사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2" ht="30" customHeight="1">
      <x:c r="A2" s="52" t="str">
        <x:v>원본 시트는 보존하고, S01~S03=20개 / S04 이후=22개 규칙과 PPT 시간 범위로 raw·후보·최종 선택을 대조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</x:row>
    <x:row r="4">
      <x:c r="A4" s="55" t="str">
        <x:v>검사 대상</x:v>
      </x:c>
      <x:c r="B4" s="60" t="n">
        <x:f>COUNTA(B10:B39)</x:f>
        <x:v>30</x:v>
      </x:c>
    </x:row>
    <x:row r="5">
      <x:c r="A5" s="55" t="str">
        <x:v>예상 개수 미만 RAW</x:v>
      </x:c>
      <x:c r="B5" s="60" t="n">
        <x:f>COUNTIF(F10:F39,"&lt;0")</x:f>
        <x:v>17</x:v>
      </x:c>
    </x:row>
    <x:row r="6">
      <x:c r="A6" s="55" t="str">
        <x:v>후보군/불일치 검토</x:v>
      </x:c>
      <x:c r="B6" s="60" t="n">
        <x:f>COUNTIF(P10:P39,"&lt;&gt;자동 점검 통과")</x:f>
        <x:v>20</x:v>
      </x:c>
    </x:row>
    <x:row r="7">
      <x:c r="A7" s="55" t="str">
        <x:v>자동 점검 통과</x:v>
      </x:c>
      <x:c r="B7" s="60" t="n">
        <x:f>COUNTIF(P10:P39,"자동 점검 통과")</x:f>
        <x:v>10</x:v>
      </x:c>
    </x:row>
    <x:row r="9" ht="32" customHeight="1">
      <x:c r="A9" s="65" t="str">
        <x:v>번호</x:v>
      </x:c>
      <x:c r="B9" s="65" t="str">
        <x:v>참가자</x:v>
      </x:c>
      <x:c r="C9" s="65" t="str">
        <x:v>프로토콜 기준</x:v>
      </x:c>
      <x:c r="D9" s="65" t="str">
        <x:v>기대 마커</x:v>
      </x:c>
      <x:c r="E9" s="65" t="str">
        <x:v>RAW 8.5V 수</x:v>
      </x:c>
      <x:c r="F9" s="65" t="str">
        <x:v>RAW-기대</x:v>
      </x:c>
      <x:c r="G9" s="65" t="str">
        <x:v>RAW offset(s)</x:v>
      </x:c>
      <x:c r="H9" s="65" t="str">
        <x:v>후보 임계값(V)</x:v>
      </x:c>
      <x:c r="I9" s="65" t="str">
        <x:v>후보 수</x:v>
      </x:c>
      <x:c r="J9" s="65" t="str">
        <x:v>현재 선택 수</x:v>
      </x:c>
      <x:c r="K9" s="65" t="str">
        <x:v>선택 출처</x:v>
      </x:c>
      <x:c r="L9" s="65" t="str">
        <x:v>후보 일치 수</x:v>
      </x:c>
      <x:c r="M9" s="65" t="str">
        <x:v>RAW 일치 수</x:v>
      </x:c>
      <x:c r="N9" s="65" t="str">
        <x:v>대체 후보 경계</x:v>
      </x:c>
      <x:c r="O9" s="65" t="str">
        <x:v>시간 이슈</x:v>
      </x:c>
      <x:c r="P9" s="65" t="str">
        <x:v>종합 판정</x:v>
      </x:c>
      <x:c r="Q9" s="65" t="str">
        <x:v>특이사항</x:v>
      </x:c>
    </x:row>
    <x:row r="10" ht="24" customHeight="1">
      <x:c r="A10" s="73" t="n">
        <x:v>1</x:v>
      </x:c>
      <x:c r="B10" s="67" t="str">
        <x:v>S01_CMS</x:v>
      </x:c>
      <x:c r="C10" s="67" t="str">
        <x:v>초기 20개(낙상 3구간)</x:v>
      </x:c>
      <x:c r="D10" s="73" t="n">
        <x:v>20</x:v>
      </x:c>
      <x:c r="E10" s="73" t="n">
        <x:v>14</x:v>
      </x:c>
      <x:c r="F10" s="73" t="n">
        <x:f>E10-D10</x:f>
        <x:v>-6</x:v>
      </x:c>
      <x:c r="G10" s="70" t="n">
        <x:v>-2.1999999999999993</x:v>
      </x:c>
      <x:c r="H10" s="70" t="n">
        <x:v>5.5</x:v>
      </x:c>
      <x:c r="I10" s="70" t="n">
        <x:v>15</x:v>
      </x:c>
      <x:c r="J10" s="70" t="n">
        <x:v>0</x:v>
      </x:c>
      <x:c r="K10" s="67" t="str">
        <x:v>없음</x:v>
      </x:c>
      <x:c r="L10" s="67" t="n">
        <x:v>0</x:v>
      </x:c>
      <x:c r="M10" s="67" t="n">
        <x:v>0</x:v>
      </x:c>
      <x:c r="N10" s="67" t="n">
        <x:v>0</x:v>
      </x:c>
      <x:c r="O10" s="67" t="n">
        <x:v>0</x:v>
      </x:c>
      <x:c r="P10" s="79" t="str">
        <x:v>후보군 검토 필요</x:v>
      </x:c>
      <x:c r="Q10" s="76" t="str">
        <x:v>자동 검출 마커 14개로 초기 프로토콜 경계가 부족함 — 수동 검토 필요</x:v>
      </x:c>
    </x:row>
    <x:row r="11" ht="24" customHeight="1">
      <x:c r="A11" s="74" t="n">
        <x:v>2</x:v>
      </x:c>
      <x:c r="B11" s="68" t="str">
        <x:v>S02_RJS</x:v>
      </x:c>
      <x:c r="C11" s="68" t="str">
        <x:v>초기 20개(낙상 3구간)</x:v>
      </x:c>
      <x:c r="D11" s="74" t="n">
        <x:v>20</x:v>
      </x:c>
      <x:c r="E11" s="74" t="n">
        <x:v>13</x:v>
      </x:c>
      <x:c r="F11" s="74" t="n">
        <x:f>E11-D11</x:f>
        <x:v>-7</x:v>
      </x:c>
      <x:c r="G11" s="71" t="n">
        <x:v>6.199999999999999</x:v>
      </x:c>
      <x:c r="H11" s="71" t="n">
        <x:v>7</x:v>
      </x:c>
      <x:c r="I11" s="71" t="n">
        <x:v>31</x:v>
      </x:c>
      <x:c r="J11" s="71" t="n">
        <x:v>20</x:v>
      </x:c>
      <x:c r="K11" s="68" t="str">
        <x:v>기존 엑셀값</x:v>
      </x:c>
      <x:c r="L11" s="68" t="n">
        <x:v>5</x:v>
      </x:c>
      <x:c r="M11" s="68" t="n">
        <x:v>1</x:v>
      </x:c>
      <x:c r="N11" s="68" t="n">
        <x:v>0</x:v>
      </x:c>
      <x:c r="O11" s="68" t="n">
        <x:v>1</x:v>
      </x:c>
      <x:c r="P11" s="80" t="str">
        <x:v>수동값/원시 불일치</x:v>
      </x:c>
      <x:c r="Q11" s="77" t="str"/>
    </x:row>
    <x:row r="12" ht="24" customHeight="1">
      <x:c r="A12" s="74" t="n">
        <x:v>3</x:v>
      </x:c>
      <x:c r="B12" s="68" t="str">
        <x:v>S03_PSJ</x:v>
      </x:c>
      <x:c r="C12" s="68" t="str">
        <x:v>초기 20개(낙상 3구간)</x:v>
      </x:c>
      <x:c r="D12" s="74" t="n">
        <x:v>20</x:v>
      </x:c>
      <x:c r="E12" s="74" t="n">
        <x:v>22</x:v>
      </x:c>
      <x:c r="F12" s="74" t="n">
        <x:f>E12-D12</x:f>
        <x:v>2</x:v>
      </x:c>
      <x:c r="G12" s="71" t="n">
        <x:v>-1.8999999999999986</x:v>
      </x:c>
      <x:c r="H12" s="71" t="n">
        <x:v>8.5</x:v>
      </x:c>
      <x:c r="I12" s="71" t="n">
        <x:v>22</x:v>
      </x:c>
      <x:c r="J12" s="71" t="n">
        <x:v>17</x:v>
      </x:c>
      <x:c r="K12" s="68" t="str">
        <x:v>기존 엑셀값</x:v>
      </x:c>
      <x:c r="L12" s="68" t="n">
        <x:v>6</x:v>
      </x:c>
      <x:c r="M12" s="68" t="n">
        <x:v>6</x:v>
      </x:c>
      <x:c r="N12" s="68" t="n">
        <x:v>1</x:v>
      </x:c>
      <x:c r="O12" s="68" t="n">
        <x:v>2</x:v>
      </x:c>
      <x:c r="P12" s="80" t="str">
        <x:v>선택 마커 수 불일치</x:v>
      </x:c>
      <x:c r="Q12" s="77" t="str"/>
    </x:row>
    <x:row r="13" ht="24" customHeight="1">
      <x:c r="A13" s="74" t="n">
        <x:v>4</x:v>
      </x:c>
      <x:c r="B13" s="68" t="str">
        <x:v>S04_KTW</x:v>
      </x:c>
      <x:c r="C13" s="68" t="str">
        <x:v>변경 22개(낙상 물건집기 포함)</x:v>
      </x:c>
      <x:c r="D13" s="74" t="n">
        <x:v>22</x:v>
      </x:c>
      <x:c r="E13" s="74" t="n">
        <x:v>27</x:v>
      </x:c>
      <x:c r="F13" s="74" t="n">
        <x:f>E13-D13</x:f>
        <x:v>5</x:v>
      </x:c>
      <x:c r="G13" s="71" t="n">
        <x:v>0.5</x:v>
      </x:c>
      <x:c r="H13" s="71" t="n">
        <x:v>9</x:v>
      </x:c>
      <x:c r="I13" s="71" t="n">
        <x:v>27</x:v>
      </x:c>
      <x:c r="J13" s="71" t="n">
        <x:v>0</x:v>
      </x:c>
      <x:c r="K13" s="68" t="str">
        <x:v>없음</x:v>
      </x:c>
      <x:c r="L13" s="68" t="n">
        <x:v>0</x:v>
      </x:c>
      <x:c r="M13" s="68" t="n">
        <x:v>0</x:v>
      </x:c>
      <x:c r="N13" s="68" t="n">
        <x:v>4</x:v>
      </x:c>
      <x:c r="O13" s="68" t="n">
        <x:v>5</x:v>
      </x:c>
      <x:c r="P13" s="81" t="str">
        <x:v>후보군 검토 필요</x:v>
      </x:c>
      <x:c r="Q13" s="77" t="str">
        <x:v>후반부 장시간 마커 공백(약 1,230~1,680초) — 수동 검토 필요</x:v>
      </x:c>
    </x:row>
    <x:row r="14" ht="24" customHeight="1">
      <x:c r="A14" s="74" t="n">
        <x:v>5</x:v>
      </x:c>
      <x:c r="B14" s="68" t="str">
        <x:v>S05_LHS</x:v>
      </x:c>
      <x:c r="C14" s="68" t="str">
        <x:v>변경 22개(낙상 물건집기 포함)</x:v>
      </x:c>
      <x:c r="D14" s="74" t="n">
        <x:v>22</x:v>
      </x:c>
      <x:c r="E14" s="74" t="n">
        <x:v>26</x:v>
      </x:c>
      <x:c r="F14" s="74" t="n">
        <x:f>E14-D14</x:f>
        <x:v>4</x:v>
      </x:c>
      <x:c r="G14" s="71" t="n">
        <x:v>3.6999999999999993</x:v>
      </x:c>
      <x:c r="H14" s="71" t="n">
        <x:v>9</x:v>
      </x:c>
      <x:c r="I14" s="71" t="n">
        <x:v>24</x:v>
      </x:c>
      <x:c r="J14" s="71" t="n">
        <x:v>22</x:v>
      </x:c>
      <x:c r="K14" s="68" t="str">
        <x:v>$2 최종 선택</x:v>
      </x:c>
      <x:c r="L14" s="68" t="n">
        <x:v>22</x:v>
      </x:c>
      <x:c r="M14" s="68" t="n">
        <x:v>17</x:v>
      </x:c>
      <x:c r="N14" s="68" t="n">
        <x:v>2</x:v>
      </x:c>
      <x:c r="O14" s="68" t="n">
        <x:v>0</x:v>
      </x:c>
      <x:c r="P14" s="82" t="str">
        <x:v>대체 후보 있음</x:v>
      </x:c>
      <x:c r="Q14" s="77" t="str">
        <x:v>자동 후보를 RSP 돌출·레이더 움직임·실험 순서로 수동 보정</x:v>
      </x:c>
    </x:row>
    <x:row r="15" ht="24" customHeight="1">
      <x:c r="A15" s="74" t="n">
        <x:v>6</x:v>
      </x:c>
      <x:c r="B15" s="68" t="str">
        <x:v>S06_LDW</x:v>
      </x:c>
      <x:c r="C15" s="68" t="str">
        <x:v>변경 22개(낙상 물건집기 포함)</x:v>
      </x:c>
      <x:c r="D15" s="74" t="n">
        <x:v>22</x:v>
      </x:c>
      <x:c r="E15" s="74" t="n">
        <x:v>24</x:v>
      </x:c>
      <x:c r="F15" s="74" t="n">
        <x:f>E15-D15</x:f>
        <x:v>2</x:v>
      </x:c>
      <x:c r="G15" s="71" t="n">
        <x:v>-10.6</x:v>
      </x:c>
      <x:c r="H15" s="71" t="n">
        <x:v>8.5</x:v>
      </x:c>
      <x:c r="I15" s="71" t="n">
        <x:v>24</x:v>
      </x:c>
      <x:c r="J15" s="71" t="n">
        <x:v>22</x:v>
      </x:c>
      <x:c r="K15" s="68" t="str">
        <x:v>$2 최종 선택</x:v>
      </x:c>
      <x:c r="L15" s="68" t="n">
        <x:v>16</x:v>
      </x:c>
      <x:c r="M15" s="68" t="n">
        <x:v>16</x:v>
      </x:c>
      <x:c r="N15" s="68" t="n">
        <x:v>2</x:v>
      </x:c>
      <x:c r="O15" s="68" t="n">
        <x:v>0</x:v>
      </x:c>
      <x:c r="P15" s="80" t="str">
        <x:v>수동값/원시 불일치</x:v>
      </x:c>
      <x:c r="Q15" s="77" t="str">
        <x:v>자동 후보를 RSP 돌출·레이더 움직임·실험 순서로 수동 보정</x:v>
      </x:c>
    </x:row>
    <x:row r="16" ht="24" customHeight="1">
      <x:c r="A16" s="74" t="n">
        <x:v>7</x:v>
      </x:c>
      <x:c r="B16" s="68" t="str">
        <x:v>S07_KDM</x:v>
      </x:c>
      <x:c r="C16" s="68" t="str">
        <x:v>변경 22개(낙상 물건집기 포함)</x:v>
      </x:c>
      <x:c r="D16" s="74" t="n">
        <x:v>22</x:v>
      </x:c>
      <x:c r="E16" s="74" t="n">
        <x:v>18</x:v>
      </x:c>
      <x:c r="F16" s="74" t="n">
        <x:f>E16-D16</x:f>
        <x:v>-4</x:v>
      </x:c>
      <x:c r="G16" s="71" t="n">
        <x:v>-7.7</x:v>
      </x:c>
      <x:c r="H16" s="71" t="n">
        <x:v>7.5</x:v>
      </x:c>
      <x:c r="I16" s="71" t="n">
        <x:v>24</x:v>
      </x:c>
      <x:c r="J16" s="71" t="n">
        <x:v>22</x:v>
      </x:c>
      <x:c r="K16" s="68" t="str">
        <x:v>$2 최종 선택</x:v>
      </x:c>
      <x:c r="L16" s="68" t="n">
        <x:v>22</x:v>
      </x:c>
      <x:c r="M16" s="68" t="n">
        <x:v>0</x:v>
      </x:c>
      <x:c r="N16" s="68" t="n">
        <x:v>0</x:v>
      </x:c>
      <x:c r="O16" s="68" t="n">
        <x:v>0</x:v>
      </x:c>
      <x:c r="P16" s="83" t="str">
        <x:v>자동 점검 통과</x:v>
      </x:c>
      <x:c r="Q16" s="77" t="str">
        <x:v>참가자별 임계값 7.5, 후보 24개 중 22개 검증</x:v>
      </x:c>
    </x:row>
    <x:row r="17" ht="24" customHeight="1">
      <x:c r="A17" s="74" t="n">
        <x:v>8</x:v>
      </x:c>
      <x:c r="B17" s="68" t="str">
        <x:v>S08_MDO</x:v>
      </x:c>
      <x:c r="C17" s="68" t="str">
        <x:v>변경 22개(낙상 물건집기 포함)</x:v>
      </x:c>
      <x:c r="D17" s="74" t="n">
        <x:v>22</x:v>
      </x:c>
      <x:c r="E17" s="74" t="n">
        <x:v>16</x:v>
      </x:c>
      <x:c r="F17" s="74" t="n">
        <x:f>E17-D17</x:f>
        <x:v>-6</x:v>
      </x:c>
      <x:c r="G17" s="71" t="n">
        <x:v>4.8</x:v>
      </x:c>
      <x:c r="H17" s="71" t="n">
        <x:v>7</x:v>
      </x:c>
      <x:c r="I17" s="71" t="n">
        <x:v>24</x:v>
      </x:c>
      <x:c r="J17" s="71" t="n">
        <x:v>22</x:v>
      </x:c>
      <x:c r="K17" s="68" t="str">
        <x:v>$2 최종 선택</x:v>
      </x:c>
      <x:c r="L17" s="68" t="n">
        <x:v>22</x:v>
      </x:c>
      <x:c r="M17" s="68" t="n">
        <x:v>16</x:v>
      </x:c>
      <x:c r="N17" s="68" t="n">
        <x:v>0</x:v>
      </x:c>
      <x:c r="O17" s="68" t="n">
        <x:v>0</x:v>
      </x:c>
      <x:c r="P17" s="83" t="str">
        <x:v>자동 점검 통과</x:v>
      </x:c>
      <x:c r="Q17" s="77" t="str">
        <x:v>참가자별 임계값 7.0, 후보 24개 중 22개 검증</x:v>
      </x:c>
    </x:row>
    <x:row r="18" ht="24" customHeight="1">
      <x:c r="A18" s="74" t="n">
        <x:v>9</x:v>
      </x:c>
      <x:c r="B18" s="68" t="str">
        <x:v>S09_HDH</x:v>
      </x:c>
      <x:c r="C18" s="68" t="str">
        <x:v>변경 22개(낙상 물건집기 포함)</x:v>
      </x:c>
      <x:c r="D18" s="74" t="n">
        <x:v>22</x:v>
      </x:c>
      <x:c r="E18" s="74" t="n">
        <x:v>21</x:v>
      </x:c>
      <x:c r="F18" s="74" t="n">
        <x:f>E18-D18</x:f>
        <x:v>-1</x:v>
      </x:c>
      <x:c r="G18" s="71" t="n">
        <x:v>-7.3999999999999995</x:v>
      </x:c>
      <x:c r="H18" s="71" t="n">
        <x:v>7.5</x:v>
      </x:c>
      <x:c r="I18" s="71" t="n">
        <x:v>31</x:v>
      </x:c>
      <x:c r="J18" s="71" t="n">
        <x:v>22</x:v>
      </x:c>
      <x:c r="K18" s="68" t="str">
        <x:v>$2 최종 선택</x:v>
      </x:c>
      <x:c r="L18" s="68" t="n">
        <x:v>22</x:v>
      </x:c>
      <x:c r="M18" s="68" t="n">
        <x:v>0</x:v>
      </x:c>
      <x:c r="N18" s="68" t="n">
        <x:v>0</x:v>
      </x:c>
      <x:c r="O18" s="68" t="n">
        <x:v>0</x:v>
      </x:c>
      <x:c r="P18" s="83" t="str">
        <x:v>자동 점검 통과</x:v>
      </x:c>
      <x:c r="Q18" s="77" t="str">
        <x:v>참가자별 임계값 7.5, 후보 31개 중 22개 검증</x:v>
      </x:c>
    </x:row>
    <x:row r="19" ht="24" customHeight="1">
      <x:c r="A19" s="74" t="n">
        <x:v>10</x:v>
      </x:c>
      <x:c r="B19" s="68" t="str">
        <x:v>S10_JKH</x:v>
      </x:c>
      <x:c r="C19" s="68" t="str">
        <x:v>변경 22개(낙상 물건집기 포함)</x:v>
      </x:c>
      <x:c r="D19" s="74" t="n">
        <x:v>22</x:v>
      </x:c>
      <x:c r="E19" s="74" t="n">
        <x:v>24</x:v>
      </x:c>
      <x:c r="F19" s="74" t="n">
        <x:f>E19-D19</x:f>
        <x:v>2</x:v>
      </x:c>
      <x:c r="G19" s="71" t="n">
        <x:v>11.9</x:v>
      </x:c>
      <x:c r="H19" s="71" t="n">
        <x:v>8</x:v>
      </x:c>
      <x:c r="I19" s="71" t="n">
        <x:v>26</x:v>
      </x:c>
      <x:c r="J19" s="71" t="n">
        <x:v>22</x:v>
      </x:c>
      <x:c r="K19" s="68" t="str">
        <x:v>$2 최종 선택</x:v>
      </x:c>
      <x:c r="L19" s="68" t="n">
        <x:v>22</x:v>
      </x:c>
      <x:c r="M19" s="68" t="n">
        <x:v>2</x:v>
      </x:c>
      <x:c r="N19" s="68" t="n">
        <x:v>3</x:v>
      </x:c>
      <x:c r="O19" s="68" t="n">
        <x:v>0</x:v>
      </x:c>
      <x:c r="P19" s="82" t="str">
        <x:v>대체 후보 있음</x:v>
      </x:c>
      <x:c r="Q19" s="77" t="str">
        <x:v>참가자별 임계값 8.0, 후보 26개 중 22개 검증</x:v>
      </x:c>
    </x:row>
    <x:row r="20" ht="24" customHeight="1">
      <x:c r="A20" s="74" t="n">
        <x:v>11</x:v>
      </x:c>
      <x:c r="B20" s="68" t="str">
        <x:v>S11_SJE</x:v>
      </x:c>
      <x:c r="C20" s="68" t="str">
        <x:v>변경 22개(낙상 물건집기 포함)</x:v>
      </x:c>
      <x:c r="D20" s="74" t="n">
        <x:v>22</x:v>
      </x:c>
      <x:c r="E20" s="74" t="n">
        <x:v>9</x:v>
      </x:c>
      <x:c r="F20" s="74" t="n">
        <x:f>E20-D20</x:f>
        <x:v>-13</x:v>
      </x:c>
      <x:c r="G20" s="71" t="n">
        <x:v>-5.1</x:v>
      </x:c>
      <x:c r="H20" s="71" t="n">
        <x:v>7</x:v>
      </x:c>
      <x:c r="I20" s="71" t="n">
        <x:v>27</x:v>
      </x:c>
      <x:c r="J20" s="71" t="n">
        <x:v>0</x:v>
      </x:c>
      <x:c r="K20" s="68" t="str">
        <x:v>없음</x:v>
      </x:c>
      <x:c r="L20" s="68" t="n">
        <x:v>0</x:v>
      </x:c>
      <x:c r="M20" s="68" t="n">
        <x:v>0</x:v>
      </x:c>
      <x:c r="N20" s="68" t="n">
        <x:v>4</x:v>
      </x:c>
      <x:c r="O20" s="68" t="n">
        <x:v>5</x:v>
      </x:c>
      <x:c r="P20" s="81" t="str">
        <x:v>후보군 검토 필요</x:v>
      </x:c>
      <x:c r="Q20" s="77" t="str">
        <x:v>후반 마커 다수 누락/과검출 — 수동 검토 필요</x:v>
      </x:c>
    </x:row>
    <x:row r="21" ht="24" customHeight="1">
      <x:c r="A21" s="74" t="n">
        <x:v>12</x:v>
      </x:c>
      <x:c r="B21" s="68" t="str">
        <x:v>S12_KDH</x:v>
      </x:c>
      <x:c r="C21" s="68" t="str">
        <x:v>변경 22개(낙상 물건집기 포함)</x:v>
      </x:c>
      <x:c r="D21" s="74" t="n">
        <x:v>22</x:v>
      </x:c>
      <x:c r="E21" s="74" t="n">
        <x:v>7</x:v>
      </x:c>
      <x:c r="F21" s="74" t="n">
        <x:f>E21-D21</x:f>
        <x:v>-15</x:v>
      </x:c>
      <x:c r="G21" s="71" t="n">
        <x:v>-6.8</x:v>
      </x:c>
      <x:c r="H21" s="71" t="n">
        <x:v>6</x:v>
      </x:c>
      <x:c r="I21" s="71" t="n">
        <x:v>28</x:v>
      </x:c>
      <x:c r="J21" s="71" t="n">
        <x:v>0</x:v>
      </x:c>
      <x:c r="K21" s="68" t="str">
        <x:v>없음</x:v>
      </x:c>
      <x:c r="L21" s="68" t="n">
        <x:v>0</x:v>
      </x:c>
      <x:c r="M21" s="68" t="n">
        <x:v>0</x:v>
      </x:c>
      <x:c r="N21" s="68" t="n">
        <x:v>0</x:v>
      </x:c>
      <x:c r="O21" s="68" t="n">
        <x:v>3</x:v>
      </x:c>
      <x:c r="P21" s="81" t="str">
        <x:v>후보군 검토 필요</x:v>
      </x:c>
      <x:c r="Q21" s="77" t="str">
        <x:v>RSP 마커 누락 및 자동 offset이 탐색 경계(-12초)에 도달 — 수동 검토 필요</x:v>
      </x:c>
    </x:row>
    <x:row r="22" ht="24" customHeight="1">
      <x:c r="A22" s="74" t="n">
        <x:v>13</x:v>
      </x:c>
      <x:c r="B22" s="68" t="str">
        <x:v>S13_KTW</x:v>
      </x:c>
      <x:c r="C22" s="68" t="str">
        <x:v>변경 22개(낙상 물건집기 포함)</x:v>
      </x:c>
      <x:c r="D22" s="74" t="n">
        <x:v>22</x:v>
      </x:c>
      <x:c r="E22" s="74" t="n">
        <x:v>48</x:v>
      </x:c>
      <x:c r="F22" s="74" t="n">
        <x:f>E22-D22</x:f>
        <x:v>26</x:v>
      </x:c>
      <x:c r="G22" s="71" t="n">
        <x:v>-0.5999999999999996</x:v>
      </x:c>
      <x:c r="H22" s="71" t="n">
        <x:v>9</x:v>
      </x:c>
      <x:c r="I22" s="71" t="n">
        <x:v>26</x:v>
      </x:c>
      <x:c r="J22" s="71" t="n">
        <x:v>22</x:v>
      </x:c>
      <x:c r="K22" s="68" t="str">
        <x:v>$2 최종 선택</x:v>
      </x:c>
      <x:c r="L22" s="68" t="n">
        <x:v>13</x:v>
      </x:c>
      <x:c r="M22" s="68" t="n">
        <x:v>16</x:v>
      </x:c>
      <x:c r="N22" s="68" t="n">
        <x:v>4</x:v>
      </x:c>
      <x:c r="O22" s="68" t="n">
        <x:v>1</x:v>
      </x:c>
      <x:c r="P22" s="80" t="str">
        <x:v>수동값/원시 불일치</x:v>
      </x:c>
      <x:c r="Q22" s="77" t="str">
        <x:v>자동 후보를 RSP 돌출·레이더 움직임·실험 순서로 수동 보정</x:v>
      </x:c>
    </x:row>
    <x:row r="23" ht="24" customHeight="1">
      <x:c r="A23" s="74" t="n">
        <x:v>14</x:v>
      </x:c>
      <x:c r="B23" s="68" t="str">
        <x:v>S14_MDO</x:v>
      </x:c>
      <x:c r="C23" s="68" t="str">
        <x:v>변경 22개(낙상 물건집기 포함)</x:v>
      </x:c>
      <x:c r="D23" s="74" t="n">
        <x:v>22</x:v>
      </x:c>
      <x:c r="E23" s="74" t="n">
        <x:v>16</x:v>
      </x:c>
      <x:c r="F23" s="74" t="n">
        <x:f>E23-D23</x:f>
        <x:v>-6</x:v>
      </x:c>
      <x:c r="G23" s="71" t="n">
        <x:v>8.1</x:v>
      </x:c>
      <x:c r="H23" s="71" t="n">
        <x:v>6.5</x:v>
      </x:c>
      <x:c r="I23" s="71" t="n">
        <x:v>24</x:v>
      </x:c>
      <x:c r="J23" s="71" t="n">
        <x:v>22</x:v>
      </x:c>
      <x:c r="K23" s="68" t="str">
        <x:v>$2 최종 선택</x:v>
      </x:c>
      <x:c r="L23" s="68" t="n">
        <x:v>22</x:v>
      </x:c>
      <x:c r="M23" s="68" t="n">
        <x:v>15</x:v>
      </x:c>
      <x:c r="N23" s="68" t="n">
        <x:v>1</x:v>
      </x:c>
      <x:c r="O23" s="68" t="n">
        <x:v>0</x:v>
      </x:c>
      <x:c r="P23" s="82" t="str">
        <x:v>대체 후보 있음</x:v>
      </x:c>
      <x:c r="Q23" s="77" t="str">
        <x:v>참가자별 임계값 6.5, 후보 24개 중 22개 검증</x:v>
      </x:c>
    </x:row>
    <x:row r="24" ht="24" customHeight="1">
      <x:c r="A24" s="74" t="n">
        <x:v>15</x:v>
      </x:c>
      <x:c r="B24" s="68" t="str">
        <x:v>S15_JKH</x:v>
      </x:c>
      <x:c r="C24" s="68" t="str">
        <x:v>변경 22개(낙상 물건집기 포함)</x:v>
      </x:c>
      <x:c r="D24" s="74" t="n">
        <x:v>22</x:v>
      </x:c>
      <x:c r="E24" s="74" t="n">
        <x:v>25</x:v>
      </x:c>
      <x:c r="F24" s="74" t="n">
        <x:f>E24-D24</x:f>
        <x:v>3</x:v>
      </x:c>
      <x:c r="G24" s="71" t="n">
        <x:v>12</x:v>
      </x:c>
      <x:c r="H24" s="71" t="n">
        <x:v>8</x:v>
      </x:c>
      <x:c r="I24" s="71" t="n">
        <x:v>29</x:v>
      </x:c>
      <x:c r="J24" s="71" t="n">
        <x:v>22</x:v>
      </x:c>
      <x:c r="K24" s="68" t="str">
        <x:v>$2 최종 선택</x:v>
      </x:c>
      <x:c r="L24" s="68" t="n">
        <x:v>22</x:v>
      </x:c>
      <x:c r="M24" s="68" t="n">
        <x:v>19</x:v>
      </x:c>
      <x:c r="N24" s="68" t="n">
        <x:v>2</x:v>
      </x:c>
      <x:c r="O24" s="68" t="n">
        <x:v>0</x:v>
      </x:c>
      <x:c r="P24" s="82" t="str">
        <x:v>대체 후보 있음</x:v>
      </x:c>
      <x:c r="Q24" s="77" t="str">
        <x:v>참가자별 임계값 8.0, 후보 29개 중 22개 검증</x:v>
      </x:c>
    </x:row>
    <x:row r="25" ht="24" customHeight="1">
      <x:c r="A25" s="74" t="n">
        <x:v>16</x:v>
      </x:c>
      <x:c r="B25" s="68" t="str">
        <x:v>S16_LJH</x:v>
      </x:c>
      <x:c r="C25" s="68" t="str">
        <x:v>변경 22개(낙상 물건집기 포함)</x:v>
      </x:c>
      <x:c r="D25" s="74" t="n">
        <x:v>22</x:v>
      </x:c>
      <x:c r="E25" s="74" t="n">
        <x:v>21</x:v>
      </x:c>
      <x:c r="F25" s="74" t="n">
        <x:f>E25-D25</x:f>
        <x:v>-1</x:v>
      </x:c>
      <x:c r="G25" s="71" t="n">
        <x:v>1.8999999999999986</x:v>
      </x:c>
      <x:c r="H25" s="71" t="n">
        <x:v>8</x:v>
      </x:c>
      <x:c r="I25" s="71" t="n">
        <x:v>28</x:v>
      </x:c>
      <x:c r="J25" s="71" t="n">
        <x:v>22</x:v>
      </x:c>
      <x:c r="K25" s="68" t="str">
        <x:v>$2 최종 선택</x:v>
      </x:c>
      <x:c r="L25" s="68" t="n">
        <x:v>22</x:v>
      </x:c>
      <x:c r="M25" s="68" t="n">
        <x:v>20</x:v>
      </x:c>
      <x:c r="N25" s="68" t="n">
        <x:v>0</x:v>
      </x:c>
      <x:c r="O25" s="68" t="n">
        <x:v>1</x:v>
      </x:c>
      <x:c r="P25" s="82" t="str">
        <x:v>시간 구간 확인 필요</x:v>
      </x:c>
      <x:c r="Q25" s="77" t="str">
        <x:v>참가자별 임계값 8.0, 후보 28개 중 22개 검증</x:v>
      </x:c>
    </x:row>
    <x:row r="26" ht="24" customHeight="1">
      <x:c r="A26" s="74" t="n">
        <x:v>17</x:v>
      </x:c>
      <x:c r="B26" s="68" t="str">
        <x:v>S17_RJS</x:v>
      </x:c>
      <x:c r="C26" s="68" t="str">
        <x:v>변경 22개(낙상 물건집기 포함)</x:v>
      </x:c>
      <x:c r="D26" s="74" t="n">
        <x:v>22</x:v>
      </x:c>
      <x:c r="E26" s="74" t="n">
        <x:v>15</x:v>
      </x:c>
      <x:c r="F26" s="74" t="n">
        <x:f>E26-D26</x:f>
        <x:v>-7</x:v>
      </x:c>
      <x:c r="G26" s="71" t="n">
        <x:v>-3.6999999999999993</x:v>
      </x:c>
      <x:c r="H26" s="71" t="n">
        <x:v>7</x:v>
      </x:c>
      <x:c r="I26" s="71" t="n">
        <x:v>24</x:v>
      </x:c>
      <x:c r="J26" s="71" t="n">
        <x:v>22</x:v>
      </x:c>
      <x:c r="K26" s="68" t="str">
        <x:v>$2 최종 선택</x:v>
      </x:c>
      <x:c r="L26" s="68" t="n">
        <x:v>22</x:v>
      </x:c>
      <x:c r="M26" s="68" t="n">
        <x:v>0</x:v>
      </x:c>
      <x:c r="N26" s="68" t="n">
        <x:v>0</x:v>
      </x:c>
      <x:c r="O26" s="68" t="n">
        <x:v>0</x:v>
      </x:c>
      <x:c r="P26" s="83" t="str">
        <x:v>자동 점검 통과</x:v>
      </x:c>
      <x:c r="Q26" s="77" t="str">
        <x:v>참가자별 임계값 7.0, 후보 24개 중 22개 검증</x:v>
      </x:c>
    </x:row>
    <x:row r="27" ht="24" customHeight="1">
      <x:c r="A27" s="74" t="n">
        <x:v>18</x:v>
      </x:c>
      <x:c r="B27" s="68" t="str">
        <x:v>S18_LJH</x:v>
      </x:c>
      <x:c r="C27" s="68" t="str">
        <x:v>변경 22개(낙상 물건집기 포함)</x:v>
      </x:c>
      <x:c r="D27" s="74" t="n">
        <x:v>22</x:v>
      </x:c>
      <x:c r="E27" s="74" t="n">
        <x:v>22</x:v>
      </x:c>
      <x:c r="F27" s="74" t="n">
        <x:f>E27-D27</x:f>
        <x:v>0</x:v>
      </x:c>
      <x:c r="G27" s="71" t="n">
        <x:v>-0.1999999999999993</x:v>
      </x:c>
      <x:c r="H27" s="71" t="n">
        <x:v>7</x:v>
      </x:c>
      <x:c r="I27" s="71" t="n">
        <x:v>24</x:v>
      </x:c>
      <x:c r="J27" s="71" t="n">
        <x:v>22</x:v>
      </x:c>
      <x:c r="K27" s="68" t="str">
        <x:v>$2 최종 선택</x:v>
      </x:c>
      <x:c r="L27" s="68" t="n">
        <x:v>22</x:v>
      </x:c>
      <x:c r="M27" s="68" t="n">
        <x:v>22</x:v>
      </x:c>
      <x:c r="N27" s="68" t="n">
        <x:v>0</x:v>
      </x:c>
      <x:c r="O27" s="68" t="n">
        <x:v>0</x:v>
      </x:c>
      <x:c r="P27" s="83" t="str">
        <x:v>자동 점검 통과</x:v>
      </x:c>
      <x:c r="Q27" s="77" t="str">
        <x:v>참가자별 임계값 7.0, 후보 24개 중 22개 검증</x:v>
      </x:c>
    </x:row>
    <x:row r="28" ht="24" customHeight="1">
      <x:c r="A28" s="74" t="n">
        <x:v>19</x:v>
      </x:c>
      <x:c r="B28" s="68" t="str">
        <x:v>S19_CHW</x:v>
      </x:c>
      <x:c r="C28" s="68" t="str">
        <x:v>변경 22개(낙상 물건집기 포함)</x:v>
      </x:c>
      <x:c r="D28" s="74" t="n">
        <x:v>22</x:v>
      </x:c>
      <x:c r="E28" s="74" t="n">
        <x:v>19</x:v>
      </x:c>
      <x:c r="F28" s="74" t="n">
        <x:f>E28-D28</x:f>
        <x:v>-3</x:v>
      </x:c>
      <x:c r="G28" s="71" t="n">
        <x:v>-1.5999999999999996</x:v>
      </x:c>
      <x:c r="H28" s="71" t="n">
        <x:v>7</x:v>
      </x:c>
      <x:c r="I28" s="71" t="n">
        <x:v>25</x:v>
      </x:c>
      <x:c r="J28" s="71" t="n">
        <x:v>22</x:v>
      </x:c>
      <x:c r="K28" s="68" t="str">
        <x:v>$2 최종 선택</x:v>
      </x:c>
      <x:c r="L28" s="68" t="n">
        <x:v>22</x:v>
      </x:c>
      <x:c r="M28" s="68" t="n">
        <x:v>6</x:v>
      </x:c>
      <x:c r="N28" s="68" t="n">
        <x:v>0</x:v>
      </x:c>
      <x:c r="O28" s="68" t="n">
        <x:v>0</x:v>
      </x:c>
      <x:c r="P28" s="83" t="str">
        <x:v>자동 점검 통과</x:v>
      </x:c>
      <x:c r="Q28" s="77" t="str">
        <x:v>참가자별 임계값 7.0, 후보 25개 중 22개 검증</x:v>
      </x:c>
    </x:row>
    <x:row r="29" ht="24" customHeight="1">
      <x:c r="A29" s="74" t="n">
        <x:v>20</x:v>
      </x:c>
      <x:c r="B29" s="68" t="str">
        <x:v>S20_YSE</x:v>
      </x:c>
      <x:c r="C29" s="68" t="str">
        <x:v>변경 22개(낙상 물건집기 포함)</x:v>
      </x:c>
      <x:c r="D29" s="74" t="n">
        <x:v>22</x:v>
      </x:c>
      <x:c r="E29" s="74" t="n">
        <x:v>20</x:v>
      </x:c>
      <x:c r="F29" s="74" t="n">
        <x:f>E29-D29</x:f>
        <x:v>-2</x:v>
      </x:c>
      <x:c r="G29" s="71" t="n">
        <x:v>3.799999999999999</x:v>
      </x:c>
      <x:c r="H29" s="71" t="n">
        <x:v>6.5</x:v>
      </x:c>
      <x:c r="I29" s="71" t="n">
        <x:v>25</x:v>
      </x:c>
      <x:c r="J29" s="71" t="n">
        <x:v>22</x:v>
      </x:c>
      <x:c r="K29" s="68" t="str">
        <x:v>$2 최종 선택</x:v>
      </x:c>
      <x:c r="L29" s="68" t="n">
        <x:v>22</x:v>
      </x:c>
      <x:c r="M29" s="68" t="n">
        <x:v>4</x:v>
      </x:c>
      <x:c r="N29" s="68" t="n">
        <x:v>3</x:v>
      </x:c>
      <x:c r="O29" s="68" t="n">
        <x:v>0</x:v>
      </x:c>
      <x:c r="P29" s="82" t="str">
        <x:v>대체 후보 있음</x:v>
      </x:c>
      <x:c r="Q29" s="77" t="str">
        <x:v>참가자별 임계값 6.5, 후보 25개 중 22개 검증</x:v>
      </x:c>
    </x:row>
    <x:row r="30" ht="24" customHeight="1">
      <x:c r="A30" s="74" t="n">
        <x:v>21</x:v>
      </x:c>
      <x:c r="B30" s="68" t="str">
        <x:v>S21_PSJ</x:v>
      </x:c>
      <x:c r="C30" s="68" t="str">
        <x:v>변경 22개(낙상 물건집기 포함)</x:v>
      </x:c>
      <x:c r="D30" s="74" t="n">
        <x:v>22</x:v>
      </x:c>
      <x:c r="E30" s="74" t="n">
        <x:v>21</x:v>
      </x:c>
      <x:c r="F30" s="74" t="n">
        <x:f>E30-D30</x:f>
        <x:v>-1</x:v>
      </x:c>
      <x:c r="G30" s="71" t="n">
        <x:v>-2.799999999999999</x:v>
      </x:c>
      <x:c r="H30" s="71" t="n">
        <x:v>7.5</x:v>
      </x:c>
      <x:c r="I30" s="71" t="n">
        <x:v>25</x:v>
      </x:c>
      <x:c r="J30" s="71" t="n">
        <x:v>22</x:v>
      </x:c>
      <x:c r="K30" s="68" t="str">
        <x:v>$2 최종 선택</x:v>
      </x:c>
      <x:c r="L30" s="68" t="n">
        <x:v>22</x:v>
      </x:c>
      <x:c r="M30" s="68" t="n">
        <x:v>20</x:v>
      </x:c>
      <x:c r="N30" s="68" t="n">
        <x:v>0</x:v>
      </x:c>
      <x:c r="O30" s="68" t="n">
        <x:v>0</x:v>
      </x:c>
      <x:c r="P30" s="83" t="str">
        <x:v>자동 점검 통과</x:v>
      </x:c>
      <x:c r="Q30" s="77" t="str">
        <x:v>참가자별 임계값 7.5, 후보 25개 중 22개 검증</x:v>
      </x:c>
    </x:row>
    <x:row r="31" ht="24" customHeight="1">
      <x:c r="A31" s="74" t="n">
        <x:v>22</x:v>
      </x:c>
      <x:c r="B31" s="68" t="str">
        <x:v>S22_KJH</x:v>
      </x:c>
      <x:c r="C31" s="68" t="str">
        <x:v>변경 22개(낙상 물건집기 포함)</x:v>
      </x:c>
      <x:c r="D31" s="74" t="n">
        <x:v>22</x:v>
      </x:c>
      <x:c r="E31" s="74" t="n">
        <x:v>18</x:v>
      </x:c>
      <x:c r="F31" s="74" t="n">
        <x:f>E31-D31</x:f>
        <x:v>-4</x:v>
      </x:c>
      <x:c r="G31" s="71" t="n">
        <x:v>-3.1999999999999993</x:v>
      </x:c>
      <x:c r="H31" s="71" t="n">
        <x:v>4.5</x:v>
      </x:c>
      <x:c r="I31" s="71" t="n">
        <x:v>24</x:v>
      </x:c>
      <x:c r="J31" s="71" t="n">
        <x:v>0</x:v>
      </x:c>
      <x:c r="K31" s="68" t="str">
        <x:v>없음</x:v>
      </x:c>
      <x:c r="L31" s="68" t="n">
        <x:v>0</x:v>
      </x:c>
      <x:c r="M31" s="68" t="n">
        <x:v>0</x:v>
      </x:c>
      <x:c r="N31" s="68" t="n">
        <x:v>3</x:v>
      </x:c>
      <x:c r="O31" s="68" t="n">
        <x:v>2</x:v>
      </x:c>
      <x:c r="P31" s="81" t="str">
        <x:v>후보군 검토 필요</x:v>
      </x:c>
      <x:c r="Q31" s="77" t="str">
        <x:v>RSP 초반 마커와 낙상 4번째 종료 마커가 불명확 — 수동 검토 필요</x:v>
      </x:c>
    </x:row>
    <x:row r="32" ht="24" customHeight="1">
      <x:c r="A32" s="74" t="n">
        <x:v>23</x:v>
      </x:c>
      <x:c r="B32" s="68" t="str">
        <x:v>S23_KDM</x:v>
      </x:c>
      <x:c r="C32" s="68" t="str">
        <x:v>변경 22개(낙상 물건집기 포함)</x:v>
      </x:c>
      <x:c r="D32" s="74" t="n">
        <x:v>22</x:v>
      </x:c>
      <x:c r="E32" s="74" t="n">
        <x:v>23</x:v>
      </x:c>
      <x:c r="F32" s="74" t="n">
        <x:f>E32-D32</x:f>
        <x:v>1</x:v>
      </x:c>
      <x:c r="G32" s="71" t="n">
        <x:v>-0.1999999999999993</x:v>
      </x:c>
      <x:c r="H32" s="71" t="n">
        <x:v>8</x:v>
      </x:c>
      <x:c r="I32" s="71" t="n">
        <x:v>32</x:v>
      </x:c>
      <x:c r="J32" s="71" t="n">
        <x:v>22</x:v>
      </x:c>
      <x:c r="K32" s="68" t="str">
        <x:v>$2 최종 선택</x:v>
      </x:c>
      <x:c r="L32" s="68" t="n">
        <x:v>22</x:v>
      </x:c>
      <x:c r="M32" s="68" t="n">
        <x:v>3</x:v>
      </x:c>
      <x:c r="N32" s="68" t="n">
        <x:v>0</x:v>
      </x:c>
      <x:c r="O32" s="68" t="n">
        <x:v>0</x:v>
      </x:c>
      <x:c r="P32" s="83" t="str">
        <x:v>자동 점검 통과</x:v>
      </x:c>
      <x:c r="Q32" s="77" t="str">
        <x:v>참가자별 임계값 8.0, 후보 32개 중 22개 검증</x:v>
      </x:c>
    </x:row>
    <x:row r="33" ht="24" customHeight="1">
      <x:c r="A33" s="74" t="n">
        <x:v>24</x:v>
      </x:c>
      <x:c r="B33" s="68" t="str">
        <x:v>S24_KHJ</x:v>
      </x:c>
      <x:c r="C33" s="68" t="str">
        <x:v>변경 22개(낙상 물건집기 포함)</x:v>
      </x:c>
      <x:c r="D33" s="74" t="n">
        <x:v>22</x:v>
      </x:c>
      <x:c r="E33" s="74" t="n">
        <x:v>3</x:v>
      </x:c>
      <x:c r="F33" s="74" t="n">
        <x:f>E33-D33</x:f>
        <x:v>-19</x:v>
      </x:c>
      <x:c r="G33" s="71"/>
      <x:c r="H33" s="71" t="n">
        <x:v>7.5</x:v>
      </x:c>
      <x:c r="I33" s="71" t="n">
        <x:v>27</x:v>
      </x:c>
      <x:c r="J33" s="71" t="n">
        <x:v>0</x:v>
      </x:c>
      <x:c r="K33" s="68" t="str">
        <x:v>없음</x:v>
      </x:c>
      <x:c r="L33" s="68" t="n">
        <x:v>0</x:v>
      </x:c>
      <x:c r="M33" s="68" t="n">
        <x:v>0</x:v>
      </x:c>
      <x:c r="N33" s="68" t="n">
        <x:v>0</x:v>
      </x:c>
      <x:c r="O33" s="68" t="n">
        <x:v>0</x:v>
      </x:c>
      <x:c r="P33" s="80" t="str">
        <x:v>원본 누락</x:v>
      </x:c>
      <x:c r="Q33" s="77" t="str">
        <x:v>원본 누락: Drive/로컬 모두 UWB datafloat 없음(BIOPAC만 존재) — 싱크 불가</x:v>
      </x:c>
    </x:row>
    <x:row r="34" ht="24" customHeight="1">
      <x:c r="A34" s="74" t="n">
        <x:v>25</x:v>
      </x:c>
      <x:c r="B34" s="68" t="str">
        <x:v>S25_GEC</x:v>
      </x:c>
      <x:c r="C34" s="68" t="str">
        <x:v>변경 22개(낙상 물건집기 포함)</x:v>
      </x:c>
      <x:c r="D34" s="74" t="n">
        <x:v>22</x:v>
      </x:c>
      <x:c r="E34" s="74" t="n">
        <x:v>27</x:v>
      </x:c>
      <x:c r="F34" s="74" t="n">
        <x:f>E34-D34</x:f>
        <x:v>5</x:v>
      </x:c>
      <x:c r="G34" s="71" t="n">
        <x:v>-2.5</x:v>
      </x:c>
      <x:c r="H34" s="71" t="n">
        <x:v>8.5</x:v>
      </x:c>
      <x:c r="I34" s="71" t="n">
        <x:v>27</x:v>
      </x:c>
      <x:c r="J34" s="71" t="n">
        <x:v>22</x:v>
      </x:c>
      <x:c r="K34" s="68" t="str">
        <x:v>$2 최종 선택</x:v>
      </x:c>
      <x:c r="L34" s="68" t="n">
        <x:v>22</x:v>
      </x:c>
      <x:c r="M34" s="68" t="n">
        <x:v>2</x:v>
      </x:c>
      <x:c r="N34" s="68" t="n">
        <x:v>2</x:v>
      </x:c>
      <x:c r="O34" s="68" t="n">
        <x:v>0</x:v>
      </x:c>
      <x:c r="P34" s="82" t="str">
        <x:v>대체 후보 있음</x:v>
      </x:c>
      <x:c r="Q34" s="77" t="str">
        <x:v>자동 후보를 RSP 돌출·레이더 움직임·실험 순서로 수동 보정</x:v>
      </x:c>
    </x:row>
    <x:row r="35" ht="24" customHeight="1">
      <x:c r="A35" s="74" t="n">
        <x:v>26</x:v>
      </x:c>
      <x:c r="B35" s="68" t="str">
        <x:v>S26_LDW</x:v>
      </x:c>
      <x:c r="C35" s="68" t="str">
        <x:v>변경 22개(낙상 물건집기 포함)</x:v>
      </x:c>
      <x:c r="D35" s="74" t="n">
        <x:v>22</x:v>
      </x:c>
      <x:c r="E35" s="74" t="n">
        <x:v>22</x:v>
      </x:c>
      <x:c r="F35" s="74" t="n">
        <x:f>E35-D35</x:f>
        <x:v>0</x:v>
      </x:c>
      <x:c r="G35" s="71" t="n">
        <x:v>-0.09999999999999964</x:v>
      </x:c>
      <x:c r="H35" s="71" t="n">
        <x:v>8</x:v>
      </x:c>
      <x:c r="I35" s="71" t="n">
        <x:v>24</x:v>
      </x:c>
      <x:c r="J35" s="71" t="n">
        <x:v>22</x:v>
      </x:c>
      <x:c r="K35" s="68" t="str">
        <x:v>$2 최종 선택</x:v>
      </x:c>
      <x:c r="L35" s="68" t="n">
        <x:v>22</x:v>
      </x:c>
      <x:c r="M35" s="68" t="n">
        <x:v>21</x:v>
      </x:c>
      <x:c r="N35" s="68" t="n">
        <x:v>0</x:v>
      </x:c>
      <x:c r="O35" s="68" t="n">
        <x:v>0</x:v>
      </x:c>
      <x:c r="P35" s="83" t="str">
        <x:v>자동 점검 통과</x:v>
      </x:c>
      <x:c r="Q35" s="77" t="str">
        <x:v>참가자별 임계값 8.0, 후보 24개 중 22개 검증</x:v>
      </x:c>
    </x:row>
    <x:row r="36" ht="24" customHeight="1">
      <x:c r="A36" s="74" t="n">
        <x:v>27</x:v>
      </x:c>
      <x:c r="B36" s="68" t="str">
        <x:v>S27_HDH</x:v>
      </x:c>
      <x:c r="C36" s="68" t="str">
        <x:v>변경 22개(낙상 물건집기 포함)</x:v>
      </x:c>
      <x:c r="D36" s="74" t="n">
        <x:v>22</x:v>
      </x:c>
      <x:c r="E36" s="74" t="n">
        <x:v>22</x:v>
      </x:c>
      <x:c r="F36" s="74" t="n">
        <x:f>E36-D36</x:f>
        <x:v>0</x:v>
      </x:c>
      <x:c r="G36" s="71" t="n">
        <x:v>3.6999999999999993</x:v>
      </x:c>
      <x:c r="H36" s="71" t="n">
        <x:v>8</x:v>
      </x:c>
      <x:c r="I36" s="71" t="n">
        <x:v>33</x:v>
      </x:c>
      <x:c r="J36" s="71" t="n">
        <x:v>22</x:v>
      </x:c>
      <x:c r="K36" s="68" t="str">
        <x:v>$2 최종 선택</x:v>
      </x:c>
      <x:c r="L36" s="68" t="n">
        <x:v>16</x:v>
      </x:c>
      <x:c r="M36" s="68" t="n">
        <x:v>8</x:v>
      </x:c>
      <x:c r="N36" s="68" t="n">
        <x:v>1</x:v>
      </x:c>
      <x:c r="O36" s="68" t="n">
        <x:v>0</x:v>
      </x:c>
      <x:c r="P36" s="80" t="str">
        <x:v>수동값/원시 불일치</x:v>
      </x:c>
      <x:c r="Q36" s="77" t="str">
        <x:v>자동 후보를 RSP 돌출·레이더 움직임·실험 순서로 수동 보정</x:v>
      </x:c>
    </x:row>
    <x:row r="37" ht="24" customHeight="1">
      <x:c r="A37" s="74" t="n">
        <x:v>28</x:v>
      </x:c>
      <x:c r="B37" s="68" t="str">
        <x:v>S28_KDH</x:v>
      </x:c>
      <x:c r="C37" s="68" t="str">
        <x:v>변경 22개(낙상 물건집기 포함)</x:v>
      </x:c>
      <x:c r="D37" s="74" t="n">
        <x:v>22</x:v>
      </x:c>
      <x:c r="E37" s="74" t="n">
        <x:v>18</x:v>
      </x:c>
      <x:c r="F37" s="74" t="n">
        <x:f>E37-D37</x:f>
        <x:v>-4</x:v>
      </x:c>
      <x:c r="G37" s="71" t="n">
        <x:v>3.299999999999999</x:v>
      </x:c>
      <x:c r="H37" s="71" t="n">
        <x:v>7</x:v>
      </x:c>
      <x:c r="I37" s="71" t="n">
        <x:v>25</x:v>
      </x:c>
      <x:c r="J37" s="71" t="n">
        <x:v>22</x:v>
      </x:c>
      <x:c r="K37" s="68" t="str">
        <x:v>$2 최종 선택</x:v>
      </x:c>
      <x:c r="L37" s="68" t="n">
        <x:v>22</x:v>
      </x:c>
      <x:c r="M37" s="68" t="n">
        <x:v>16</x:v>
      </x:c>
      <x:c r="N37" s="68" t="n">
        <x:v>0</x:v>
      </x:c>
      <x:c r="O37" s="68" t="n">
        <x:v>0</x:v>
      </x:c>
      <x:c r="P37" s="83" t="str">
        <x:v>자동 점검 통과</x:v>
      </x:c>
      <x:c r="Q37" s="77" t="str">
        <x:v>참가자별 임계값 7.0, 후보 25개 중 22개 검증</x:v>
      </x:c>
    </x:row>
    <x:row r="38" ht="24" customHeight="1">
      <x:c r="A38" s="74" t="n">
        <x:v>29</x:v>
      </x:c>
      <x:c r="B38" s="68" t="str">
        <x:v>S29_LHS</x:v>
      </x:c>
      <x:c r="C38" s="68" t="str">
        <x:v>변경 22개(낙상 물건집기 포함)</x:v>
      </x:c>
      <x:c r="D38" s="74" t="n">
        <x:v>22</x:v>
      </x:c>
      <x:c r="E38" s="74" t="n">
        <x:v>23</x:v>
      </x:c>
      <x:c r="F38" s="74" t="n">
        <x:f>E38-D38</x:f>
        <x:v>1</x:v>
      </x:c>
      <x:c r="G38" s="71" t="n">
        <x:v>0.6999999999999993</x:v>
      </x:c>
      <x:c r="H38" s="71" t="n">
        <x:v>8.5</x:v>
      </x:c>
      <x:c r="I38" s="71" t="n">
        <x:v>23</x:v>
      </x:c>
      <x:c r="J38" s="71" t="n">
        <x:v>22</x:v>
      </x:c>
      <x:c r="K38" s="68" t="str">
        <x:v>$2 최종 선택</x:v>
      </x:c>
      <x:c r="L38" s="68" t="n">
        <x:v>21</x:v>
      </x:c>
      <x:c r="M38" s="68" t="n">
        <x:v>21</x:v>
      </x:c>
      <x:c r="N38" s="68" t="n">
        <x:v>1</x:v>
      </x:c>
      <x:c r="O38" s="68" t="n">
        <x:v>0</x:v>
      </x:c>
      <x:c r="P38" s="80" t="str">
        <x:v>수동값/원시 불일치</x:v>
      </x:c>
      <x:c r="Q38" s="77" t="str">
        <x:v>약 970/975초 이중 마커를 1개로 병합</x:v>
      </x:c>
    </x:row>
    <x:row r="39" ht="24" customHeight="1">
      <x:c r="A39" s="75" t="n">
        <x:v>30</x:v>
      </x:c>
      <x:c r="B39" s="69" t="str">
        <x:v>S30_SJE</x:v>
      </x:c>
      <x:c r="C39" s="69" t="str">
        <x:v>변경 22개(낙상 물건집기 포함)</x:v>
      </x:c>
      <x:c r="D39" s="75" t="n">
        <x:v>22</x:v>
      </x:c>
      <x:c r="E39" s="75" t="n">
        <x:v>5</x:v>
      </x:c>
      <x:c r="F39" s="75" t="n">
        <x:f>E39-D39</x:f>
        <x:v>-17</x:v>
      </x:c>
      <x:c r="G39" s="72" t="n">
        <x:v>11.6</x:v>
      </x:c>
      <x:c r="H39" s="72" t="n">
        <x:v>5.5</x:v>
      </x:c>
      <x:c r="I39" s="72" t="n">
        <x:v>23</x:v>
      </x:c>
      <x:c r="J39" s="72" t="n">
        <x:v>22</x:v>
      </x:c>
      <x:c r="K39" s="69" t="str">
        <x:v>$2 최종 선택</x:v>
      </x:c>
      <x:c r="L39" s="69" t="n">
        <x:v>12</x:v>
      </x:c>
      <x:c r="M39" s="69" t="n">
        <x:v>4</x:v>
      </x:c>
      <x:c r="N39" s="69" t="n">
        <x:v>1</x:v>
      </x:c>
      <x:c r="O39" s="69" t="n">
        <x:v>2</x:v>
      </x:c>
      <x:c r="P39" s="84" t="str">
        <x:v>수동값/원시 불일치</x:v>
      </x:c>
      <x:c r="Q39" s="78" t="str">
        <x:v>BIOPAC RSP 포화/클리핑으로 자동 마커 5개만 검출; 레이더 3대와 결합해 수동 보정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0" hidden="0" customWidth="1"/>
    <x:col min="5" max="5" width="11" hidden="0" customWidth="1"/>
    <x:col min="6" max="6" width="2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</x:cols>
  <x:sheetData>
    <x:row r="1" ht="30" customHeight="1">
      <x:c r="A1" s="49" t="str">
        <x:v>RAW 8.5V 원시 마커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  <x:c r="BA1" s="49"/>
      <x:c r="BB1" s="49"/>
    </x:row>
    <x:row r="2" ht="30" customHeight="1">
      <x:c r="A2" s="52" t="str">
        <x:v>각 셀은 BIOPAC 원시시간의 마커 1개입니다. 초록=현재 선택값과 일치, 노랑=근접 후보, 회색=미선택. 레이더 시간은 BIOPAC 시간-offset입니다.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  <x:c r="AP2" s="52"/>
      <x:c r="AQ2" s="52"/>
      <x:c r="AR2" s="52"/>
      <x:c r="AS2" s="52"/>
      <x:c r="AT2" s="52"/>
      <x:c r="AU2" s="52"/>
      <x:c r="AV2" s="52"/>
      <x:c r="AW2" s="52"/>
      <x:c r="AX2" s="52"/>
      <x:c r="AY2" s="52"/>
      <x:c r="AZ2" s="52"/>
      <x:c r="BA2" s="52"/>
      <x:c r="BB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RAW 수</x:v>
      </x:c>
      <x:c r="E4" s="65" t="str">
        <x:v>offset(s)</x:v>
      </x:c>
      <x:c r="F4" s="65" t="str">
        <x:v>판정</x:v>
      </x:c>
      <x:c r="G4" s="65" t="str">
        <x:v>RAW 01 (s)</x:v>
      </x:c>
      <x:c r="H4" s="65" t="str">
        <x:v>RAW 02 (s)</x:v>
      </x:c>
      <x:c r="I4" s="65" t="str">
        <x:v>RAW 03 (s)</x:v>
      </x:c>
      <x:c r="J4" s="65" t="str">
        <x:v>RAW 04 (s)</x:v>
      </x:c>
      <x:c r="K4" s="65" t="str">
        <x:v>RAW 05 (s)</x:v>
      </x:c>
      <x:c r="L4" s="65" t="str">
        <x:v>RAW 06 (s)</x:v>
      </x:c>
      <x:c r="M4" s="65" t="str">
        <x:v>RAW 07 (s)</x:v>
      </x:c>
      <x:c r="N4" s="65" t="str">
        <x:v>RAW 08 (s)</x:v>
      </x:c>
      <x:c r="O4" s="65" t="str">
        <x:v>RAW 09 (s)</x:v>
      </x:c>
      <x:c r="P4" s="65" t="str">
        <x:v>RAW 10 (s)</x:v>
      </x:c>
      <x:c r="Q4" s="65" t="str">
        <x:v>RAW 11 (s)</x:v>
      </x:c>
      <x:c r="R4" s="65" t="str">
        <x:v>RAW 12 (s)</x:v>
      </x:c>
      <x:c r="S4" s="65" t="str">
        <x:v>RAW 13 (s)</x:v>
      </x:c>
      <x:c r="T4" s="65" t="str">
        <x:v>RAW 14 (s)</x:v>
      </x:c>
      <x:c r="U4" s="65" t="str">
        <x:v>RAW 15 (s)</x:v>
      </x:c>
      <x:c r="V4" s="65" t="str">
        <x:v>RAW 16 (s)</x:v>
      </x:c>
      <x:c r="W4" s="65" t="str">
        <x:v>RAW 17 (s)</x:v>
      </x:c>
      <x:c r="X4" s="65" t="str">
        <x:v>RAW 18 (s)</x:v>
      </x:c>
      <x:c r="Y4" s="65" t="str">
        <x:v>RAW 19 (s)</x:v>
      </x:c>
      <x:c r="Z4" s="65" t="str">
        <x:v>RAW 20 (s)</x:v>
      </x:c>
      <x:c r="AA4" s="65" t="str">
        <x:v>RAW 21 (s)</x:v>
      </x:c>
      <x:c r="AB4" s="65" t="str">
        <x:v>RAW 22 (s)</x:v>
      </x:c>
      <x:c r="AC4" s="65" t="str">
        <x:v>RAW 23 (s)</x:v>
      </x:c>
      <x:c r="AD4" s="65" t="str">
        <x:v>RAW 24 (s)</x:v>
      </x:c>
      <x:c r="AE4" s="65" t="str">
        <x:v>RAW 25 (s)</x:v>
      </x:c>
      <x:c r="AF4" s="65" t="str">
        <x:v>RAW 26 (s)</x:v>
      </x:c>
      <x:c r="AG4" s="65" t="str">
        <x:v>RAW 27 (s)</x:v>
      </x:c>
      <x:c r="AH4" s="65" t="str">
        <x:v>RAW 28 (s)</x:v>
      </x:c>
      <x:c r="AI4" s="65" t="str">
        <x:v>RAW 29 (s)</x:v>
      </x:c>
      <x:c r="AJ4" s="65" t="str">
        <x:v>RAW 30 (s)</x:v>
      </x:c>
      <x:c r="AK4" s="65" t="str">
        <x:v>RAW 31 (s)</x:v>
      </x:c>
      <x:c r="AL4" s="65" t="str">
        <x:v>RAW 32 (s)</x:v>
      </x:c>
      <x:c r="AM4" s="65" t="str">
        <x:v>RAW 33 (s)</x:v>
      </x:c>
      <x:c r="AN4" s="65" t="str">
        <x:v>RAW 34 (s)</x:v>
      </x:c>
      <x:c r="AO4" s="65" t="str">
        <x:v>RAW 35 (s)</x:v>
      </x:c>
      <x:c r="AP4" s="65" t="str">
        <x:v>RAW 36 (s)</x:v>
      </x:c>
      <x:c r="AQ4" s="65" t="str">
        <x:v>RAW 37 (s)</x:v>
      </x:c>
      <x:c r="AR4" s="65" t="str">
        <x:v>RAW 38 (s)</x:v>
      </x:c>
      <x:c r="AS4" s="65" t="str">
        <x:v>RAW 39 (s)</x:v>
      </x:c>
      <x:c r="AT4" s="65" t="str">
        <x:v>RAW 40 (s)</x:v>
      </x:c>
      <x:c r="AU4" s="65" t="str">
        <x:v>RAW 41 (s)</x:v>
      </x:c>
      <x:c r="AV4" s="65" t="str">
        <x:v>RAW 42 (s)</x:v>
      </x:c>
      <x:c r="AW4" s="65" t="str">
        <x:v>RAW 43 (s)</x:v>
      </x:c>
      <x:c r="AX4" s="65" t="str">
        <x:v>RAW 44 (s)</x:v>
      </x:c>
      <x:c r="AY4" s="65" t="str">
        <x:v>RAW 45 (s)</x:v>
      </x:c>
      <x:c r="AZ4" s="65" t="str">
        <x:v>RAW 46 (s)</x:v>
      </x:c>
      <x:c r="BA4" s="65" t="str">
        <x:v>RAW 47 (s)</x:v>
      </x:c>
      <x:c r="BB4" s="65" t="str">
        <x:v>RAW 48 (s)</x:v>
      </x:c>
    </x:row>
    <x:row r="5">
      <x:c r="A5" s="86" t="n">
        <x:v>1</x:v>
      </x:c>
      <x:c r="B5" s="86" t="str">
        <x:v>S01_CMS</x:v>
      </x:c>
      <x:c r="C5" s="86" t="n">
        <x:v>20</x:v>
      </x:c>
      <x:c r="D5" s="87" t="n">
        <x:v>14</x:v>
      </x:c>
      <x:c r="E5" s="87" t="n">
        <x:v>-2.1999999999999993</x:v>
      </x:c>
      <x:c r="F5" s="92" t="str">
        <x:v>후보군 검토 필요</x:v>
      </x:c>
      <x:c r="G5" s="93" t="n">
        <x:v>56.312</x:v>
      </x:c>
      <x:c r="H5" s="93" t="n">
        <x:v>243.572</x:v>
      </x:c>
      <x:c r="I5" s="93" t="n">
        <x:v>300.316</x:v>
      </x:c>
      <x:c r="J5" s="93" t="n">
        <x:v>726.992</x:v>
      </x:c>
      <x:c r="K5" s="93" t="n">
        <x:v>839.916</x:v>
      </x:c>
      <x:c r="L5" s="93" t="n">
        <x:v>857.808</x:v>
      </x:c>
      <x:c r="M5" s="93" t="n">
        <x:v>876.14</x:v>
      </x:c>
      <x:c r="N5" s="93" t="n">
        <x:v>1010.728</x:v>
      </x:c>
      <x:c r="O5" s="93" t="n">
        <x:v>1023.92</x:v>
      </x:c>
      <x:c r="P5" s="93" t="n">
        <x:v>1078.1</x:v>
      </x:c>
      <x:c r="Q5" s="93" t="n">
        <x:v>1129.2</x:v>
      </x:c>
      <x:c r="R5" s="93" t="n">
        <x:v>1412.124</x:v>
      </x:c>
      <x:c r="S5" s="93" t="n">
        <x:v>1476.524</x:v>
      </x:c>
      <x:c r="T5" s="93" t="n">
        <x:v>1489.22</x:v>
      </x:c>
      <x:c r="U5" s="87"/>
      <x:c r="V5" s="87"/>
      <x:c r="W5" s="87"/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</x:row>
    <x:row r="6">
      <x:c r="A6" s="88" t="n">
        <x:v>2</x:v>
      </x:c>
      <x:c r="B6" s="88" t="str">
        <x:v>S02_RJS</x:v>
      </x:c>
      <x:c r="C6" s="88" t="n">
        <x:v>20</x:v>
      </x:c>
      <x:c r="D6" s="89" t="n">
        <x:v>13</x:v>
      </x:c>
      <x:c r="E6" s="89" t="n">
        <x:v>6.199999999999999</x:v>
      </x:c>
      <x:c r="F6" s="94" t="str">
        <x:v>수동값/원시 불일치</x:v>
      </x:c>
      <x:c r="G6" s="95" t="n">
        <x:v>25.13133333333333</x:v>
      </x:c>
      <x:c r="H6" s="95" t="n">
        <x:v>217.0873333333333</x:v>
      </x:c>
      <x:c r="I6" s="95" t="n">
        <x:v>244.98799999999997</x:v>
      </x:c>
      <x:c r="J6" s="96" t="n">
        <x:v>617.4039999999999</x:v>
      </x:c>
      <x:c r="K6" s="95" t="n">
        <x:v>707.8760000000001</x:v>
      </x:c>
      <x:c r="L6" s="95" t="n">
        <x:v>722.6584</x:v>
      </x:c>
      <x:c r="M6" s="95" t="n">
        <x:v>740.1114285714285</x:v>
      </x:c>
      <x:c r="N6" s="95" t="n">
        <x:v>753.9528</x:v>
      </x:c>
      <x:c r="O6" s="95" t="n">
        <x:v>840.7485714285714</x:v>
      </x:c>
      <x:c r="P6" s="95" t="n">
        <x:v>1231.5839999999998</x:v>
      </x:c>
      <x:c r="Q6" s="95" t="n">
        <x:v>1260.8629999999998</x:v>
      </x:c>
      <x:c r="R6" s="95" t="n">
        <x:v>1285.6186666666665</x:v>
      </x:c>
      <x:c r="S6" s="95" t="n">
        <x:v>1295.402</x:v>
      </x:c>
      <x:c r="T6" s="89"/>
      <x:c r="U6" s="89"/>
      <x:c r="V6" s="89"/>
      <x:c r="W6" s="89"/>
      <x:c r="X6" s="89"/>
      <x:c r="Y6" s="89"/>
      <x:c r="Z6" s="89"/>
      <x:c r="AA6" s="89"/>
      <x:c r="AB6" s="89"/>
      <x:c r="AC6" s="89"/>
      <x:c r="AD6" s="89"/>
      <x:c r="AE6" s="89"/>
      <x:c r="AF6" s="89"/>
      <x:c r="AG6" s="89"/>
      <x:c r="AH6" s="89"/>
      <x:c r="AI6" s="89"/>
      <x:c r="AJ6" s="89"/>
      <x:c r="AK6" s="89"/>
      <x:c r="AL6" s="89"/>
      <x:c r="AM6" s="89"/>
      <x:c r="AN6" s="89"/>
      <x:c r="AO6" s="89"/>
      <x:c r="AP6" s="89"/>
      <x:c r="AQ6" s="89"/>
      <x:c r="AR6" s="89"/>
      <x:c r="AS6" s="89"/>
      <x:c r="AT6" s="89"/>
      <x:c r="AU6" s="89"/>
      <x:c r="AV6" s="89"/>
      <x:c r="AW6" s="89"/>
      <x:c r="AX6" s="89"/>
      <x:c r="AY6" s="89"/>
      <x:c r="AZ6" s="89"/>
      <x:c r="BA6" s="89"/>
      <x:c r="BB6" s="89"/>
    </x:row>
    <x:row r="7">
      <x:c r="A7" s="88" t="n">
        <x:v>3</x:v>
      </x:c>
      <x:c r="B7" s="88" t="str">
        <x:v>S03_PSJ</x:v>
      </x:c>
      <x:c r="C7" s="88" t="n">
        <x:v>20</x:v>
      </x:c>
      <x:c r="D7" s="89" t="n">
        <x:v>22</x:v>
      </x:c>
      <x:c r="E7" s="89" t="n">
        <x:v>-1.8999999999999986</x:v>
      </x:c>
      <x:c r="F7" s="94" t="str">
        <x:v>선택 마커 수 불일치</x:v>
      </x:c>
      <x:c r="G7" s="95" t="n">
        <x:v>16.844</x:v>
      </x:c>
      <x:c r="H7" s="96" t="n">
        <x:v>22.744</x:v>
      </x:c>
      <x:c r="I7" s="95" t="n">
        <x:v>216.46</x:v>
      </x:c>
      <x:c r="J7" s="96" t="n">
        <x:v>274.96</x:v>
      </x:c>
      <x:c r="K7" s="96" t="n">
        <x:v>645.556</x:v>
      </x:c>
      <x:c r="L7" s="95" t="n">
        <x:v>748.2</x:v>
      </x:c>
      <x:c r="M7" s="95" t="n">
        <x:v>772.2</x:v>
      </x:c>
      <x:c r="N7" s="95" t="n">
        <x:v>790.752</x:v>
      </x:c>
      <x:c r="O7" s="95" t="n">
        <x:v>803.24</x:v>
      </x:c>
      <x:c r="P7" s="95" t="n">
        <x:v>823.524</x:v>
      </x:c>
      <x:c r="Q7" s="95" t="n">
        <x:v>928.728</x:v>
      </x:c>
      <x:c r="R7" s="95" t="n">
        <x:v>949.884</x:v>
      </x:c>
      <x:c r="S7" s="95" t="n">
        <x:v>966.832</x:v>
      </x:c>
      <x:c r="T7" s="95" t="n">
        <x:v>1010.392</x:v>
      </x:c>
      <x:c r="U7" s="95" t="n">
        <x:v>1022.364</x:v>
      </x:c>
      <x:c r="V7" s="95" t="n">
        <x:v>1074.876</x:v>
      </x:c>
      <x:c r="W7" s="96" t="n">
        <x:v>1166.528</x:v>
      </x:c>
      <x:c r="X7" s="95" t="n">
        <x:v>1353.5500000000002</x:v>
      </x:c>
      <x:c r="Y7" s="96" t="n">
        <x:v>1409.128</x:v>
      </x:c>
      <x:c r="Z7" s="95" t="n">
        <x:v>1437.028</x:v>
      </x:c>
      <x:c r="AA7" s="95" t="n">
        <x:v>1466.3613333333333</x:v>
      </x:c>
      <x:c r="AB7" s="96" t="n">
        <x:v>1477.76</x:v>
      </x:c>
      <x:c r="AC7" s="89"/>
      <x:c r="AD7" s="89"/>
      <x:c r="AE7" s="89"/>
      <x:c r="AF7" s="89"/>
      <x:c r="AG7" s="89"/>
      <x:c r="AH7" s="89"/>
      <x:c r="AI7" s="89"/>
      <x:c r="AJ7" s="89"/>
      <x:c r="AK7" s="89"/>
      <x:c r="AL7" s="89"/>
      <x:c r="AM7" s="89"/>
      <x:c r="AN7" s="89"/>
      <x:c r="AO7" s="89"/>
      <x:c r="AP7" s="89"/>
      <x:c r="AQ7" s="89"/>
      <x:c r="AR7" s="89"/>
      <x:c r="AS7" s="89"/>
      <x:c r="AT7" s="89"/>
      <x:c r="AU7" s="89"/>
      <x:c r="AV7" s="89"/>
      <x:c r="AW7" s="89"/>
      <x:c r="AX7" s="89"/>
      <x:c r="AY7" s="89"/>
      <x:c r="AZ7" s="89"/>
      <x:c r="BA7" s="89"/>
      <x:c r="BB7" s="89"/>
    </x:row>
    <x:row r="8">
      <x:c r="A8" s="88" t="n">
        <x:v>4</x:v>
      </x:c>
      <x:c r="B8" s="88" t="str">
        <x:v>S04_KTW</x:v>
      </x:c>
      <x:c r="C8" s="88" t="n">
        <x:v>22</x:v>
      </x:c>
      <x:c r="D8" s="89" t="n">
        <x:v>27</x:v>
      </x:c>
      <x:c r="E8" s="89" t="n">
        <x:v>0.5</x:v>
      </x:c>
      <x:c r="F8" s="97" t="str">
        <x:v>후보군 검토 필요</x:v>
      </x:c>
      <x:c r="G8" s="95" t="n">
        <x:v>25.456</x:v>
      </x:c>
      <x:c r="H8" s="95" t="n">
        <x:v>215.256</x:v>
      </x:c>
      <x:c r="I8" s="95" t="n">
        <x:v>220.384</x:v>
      </x:c>
      <x:c r="J8" s="95" t="n">
        <x:v>267.372</x:v>
      </x:c>
      <x:c r="K8" s="95" t="n">
        <x:v>646.7800000000001</x:v>
      </x:c>
      <x:c r="L8" s="95" t="n">
        <x:v>758.008</x:v>
      </x:c>
      <x:c r="M8" s="95" t="n">
        <x:v>775.184</x:v>
      </x:c>
      <x:c r="N8" s="95" t="n">
        <x:v>789.132</x:v>
      </x:c>
      <x:c r="O8" s="95" t="n">
        <x:v>802.318</x:v>
      </x:c>
      <x:c r="P8" s="95" t="n">
        <x:v>896.7293333333333</x:v>
      </x:c>
      <x:c r="Q8" s="95" t="n">
        <x:v>909.148</x:v>
      </x:c>
      <x:c r="R8" s="95" t="n">
        <x:v>927.164</x:v>
      </x:c>
      <x:c r="S8" s="95" t="n">
        <x:v>973.08</x:v>
      </x:c>
      <x:c r="T8" s="95" t="n">
        <x:v>986.692</x:v>
      </x:c>
      <x:c r="U8" s="95" t="n">
        <x:v>993.196</x:v>
      </x:c>
      <x:c r="V8" s="95" t="n">
        <x:v>1037.62</x:v>
      </x:c>
      <x:c r="W8" s="95" t="n">
        <x:v>1055.324</x:v>
      </x:c>
      <x:c r="X8" s="95" t="n">
        <x:v>1068.794</x:v>
      </x:c>
      <x:c r="Y8" s="95" t="n">
        <x:v>1138.492</x:v>
      </x:c>
      <x:c r="Z8" s="95" t="n">
        <x:v>1159.884</x:v>
      </x:c>
      <x:c r="AA8" s="95" t="n">
        <x:v>1181.56</x:v>
      </x:c>
      <x:c r="AB8" s="95" t="n">
        <x:v>1226.216</x:v>
      </x:c>
      <x:c r="AC8" s="95" t="n">
        <x:v>1433.952</x:v>
      </x:c>
      <x:c r="AD8" s="95" t="n">
        <x:v>1674.188</x:v>
      </x:c>
      <x:c r="AE8" s="95" t="n">
        <x:v>1705.436</x:v>
      </x:c>
      <x:c r="AF8" s="95" t="n">
        <x:v>1740.384</x:v>
      </x:c>
      <x:c r="AG8" s="95" t="n">
        <x:v>1758.76</x:v>
      </x:c>
      <x:c r="AH8" s="89"/>
      <x:c r="AI8" s="89"/>
      <x:c r="AJ8" s="89"/>
      <x:c r="AK8" s="89"/>
      <x:c r="AL8" s="89"/>
      <x:c r="AM8" s="89"/>
      <x:c r="AN8" s="89"/>
      <x:c r="AO8" s="89"/>
      <x:c r="AP8" s="89"/>
      <x:c r="AQ8" s="89"/>
      <x:c r="AR8" s="89"/>
      <x:c r="AS8" s="89"/>
      <x:c r="AT8" s="89"/>
      <x:c r="AU8" s="89"/>
      <x:c r="AV8" s="89"/>
      <x:c r="AW8" s="89"/>
      <x:c r="AX8" s="89"/>
      <x:c r="AY8" s="89"/>
      <x:c r="AZ8" s="89"/>
      <x:c r="BA8" s="89"/>
      <x:c r="BB8" s="89"/>
    </x:row>
    <x:row r="9">
      <x:c r="A9" s="88" t="n">
        <x:v>5</x:v>
      </x:c>
      <x:c r="B9" s="88" t="str">
        <x:v>S05_LHS</x:v>
      </x:c>
      <x:c r="C9" s="88" t="n">
        <x:v>22</x:v>
      </x:c>
      <x:c r="D9" s="89" t="n">
        <x:v>26</x:v>
      </x:c>
      <x:c r="E9" s="89" t="n">
        <x:v>3.6999999999999993</x:v>
      </x:c>
      <x:c r="F9" s="98" t="str">
        <x:v>대체 후보 있음</x:v>
      </x:c>
      <x:c r="G9" s="96" t="n">
        <x:v>18.544</x:v>
      </x:c>
      <x:c r="H9" s="96" t="n">
        <x:v>215.152</x:v>
      </x:c>
      <x:c r="I9" s="96" t="n">
        <x:v>246.492</x:v>
      </x:c>
      <x:c r="J9" s="96" t="n">
        <x:v>617.008</x:v>
      </x:c>
      <x:c r="K9" s="96" t="n">
        <x:v>660.476</x:v>
      </x:c>
      <x:c r="L9" s="95" t="n">
        <x:v>768.848</x:v>
      </x:c>
      <x:c r="M9" s="95" t="n">
        <x:v>773.08</x:v>
      </x:c>
      <x:c r="N9" s="95" t="n">
        <x:v>789.748</x:v>
      </x:c>
      <x:c r="O9" s="95" t="n">
        <x:v>810.388</x:v>
      </x:c>
      <x:c r="P9" s="96" t="n">
        <x:v>824.052</x:v>
      </x:c>
      <x:c r="Q9" s="96" t="n">
        <x:v>934.424</x:v>
      </x:c>
      <x:c r="R9" s="95" t="n">
        <x:v>954.296</x:v>
      </x:c>
      <x:c r="S9" s="96" t="n">
        <x:v>967.604</x:v>
      </x:c>
      <x:c r="T9" s="96" t="n">
        <x:v>1013.192</x:v>
      </x:c>
      <x:c r="U9" s="96" t="n">
        <x:v>1026.4</x:v>
      </x:c>
      <x:c r="V9" s="96" t="n">
        <x:v>1073.708</x:v>
      </x:c>
      <x:c r="W9" s="95" t="n">
        <x:v>1077.932</x:v>
      </x:c>
      <x:c r="X9" s="96" t="n">
        <x:v>1093.1</x:v>
      </x:c>
      <x:c r="Y9" s="95" t="n">
        <x:v>1108.518</x:v>
      </x:c>
      <x:c r="Z9" s="96" t="n">
        <x:v>1205.932</x:v>
      </x:c>
      <x:c r="AA9" s="96" t="n">
        <x:v>1393.188</x:v>
      </x:c>
      <x:c r="AB9" s="95" t="n">
        <x:v>1443.84</x:v>
      </x:c>
      <x:c r="AC9" s="96" t="n">
        <x:v>1471.182</x:v>
      </x:c>
      <x:c r="AD9" s="96" t="n">
        <x:v>1502.18</x:v>
      </x:c>
      <x:c r="AE9" s="96" t="n">
        <x:v>1514.244</x:v>
      </x:c>
      <x:c r="AF9" s="95" t="n">
        <x:v>1529.276</x:v>
      </x:c>
      <x:c r="AG9" s="89"/>
      <x:c r="AH9" s="89"/>
      <x:c r="AI9" s="89"/>
      <x:c r="AJ9" s="89"/>
      <x:c r="AK9" s="89"/>
      <x:c r="AL9" s="89"/>
      <x:c r="AM9" s="89"/>
      <x:c r="AN9" s="89"/>
      <x:c r="AO9" s="89"/>
      <x:c r="AP9" s="89"/>
      <x:c r="AQ9" s="89"/>
      <x:c r="AR9" s="89"/>
      <x:c r="AS9" s="89"/>
      <x:c r="AT9" s="89"/>
      <x:c r="AU9" s="89"/>
      <x:c r="AV9" s="89"/>
      <x:c r="AW9" s="89"/>
      <x:c r="AX9" s="89"/>
      <x:c r="AY9" s="89"/>
      <x:c r="AZ9" s="89"/>
      <x:c r="BA9" s="89"/>
      <x:c r="BB9" s="89"/>
    </x:row>
    <x:row r="10">
      <x:c r="A10" s="88" t="n">
        <x:v>6</x:v>
      </x:c>
      <x:c r="B10" s="88" t="str">
        <x:v>S06_LDW</x:v>
      </x:c>
      <x:c r="C10" s="88" t="n">
        <x:v>22</x:v>
      </x:c>
      <x:c r="D10" s="89" t="n">
        <x:v>24</x:v>
      </x:c>
      <x:c r="E10" s="89" t="n">
        <x:v>-10.6</x:v>
      </x:c>
      <x:c r="F10" s="94" t="str">
        <x:v>수동값/원시 불일치</x:v>
      </x:c>
      <x:c r="G10" s="96" t="n">
        <x:v>11.076</x:v>
      </x:c>
      <x:c r="H10" s="96" t="n">
        <x:v>203.38</x:v>
      </x:c>
      <x:c r="I10" s="96" t="n">
        <x:v>253.06</x:v>
      </x:c>
      <x:c r="J10" s="96" t="n">
        <x:v>627.748</x:v>
      </x:c>
      <x:c r="K10" s="95" t="n">
        <x:v>634.01</x:v>
      </x:c>
      <x:c r="L10" s="96" t="n">
        <x:v>737.744</x:v>
      </x:c>
      <x:c r="M10" s="96" t="n">
        <x:v>752.656</x:v>
      </x:c>
      <x:c r="N10" s="96" t="n">
        <x:v>767.516</x:v>
      </x:c>
      <x:c r="O10" s="96" t="n">
        <x:v>781.68</x:v>
      </x:c>
      <x:c r="P10" s="95" t="n">
        <x:v>906.124</x:v>
      </x:c>
      <x:c r="Q10" s="96" t="n">
        <x:v>923.328</x:v>
      </x:c>
      <x:c r="R10" s="95" t="n">
        <x:v>946.44</x:v>
      </x:c>
      <x:c r="S10" s="96" t="n">
        <x:v>983.416</x:v>
      </x:c>
      <x:c r="T10" s="95" t="n">
        <x:v>994.796</x:v>
      </x:c>
      <x:c r="U10" s="95" t="n">
        <x:v>1061.012</x:v>
      </x:c>
      <x:c r="V10" s="96" t="n">
        <x:v>1076.408</x:v>
      </x:c>
      <x:c r="W10" s="95" t="n">
        <x:v>1147.3186666666666</x:v>
      </x:c>
      <x:c r="X10" s="96" t="n">
        <x:v>1334.65</x:v>
      </x:c>
      <x:c r="Y10" s="95" t="n">
        <x:v>1340.468</x:v>
      </x:c>
      <x:c r="Z10" s="96" t="n">
        <x:v>1382.608</x:v>
      </x:c>
      <x:c r="AA10" s="95" t="n">
        <x:v>1410.716</x:v>
      </x:c>
      <x:c r="AB10" s="96" t="n">
        <x:v>1415.064</x:v>
      </x:c>
      <x:c r="AC10" s="96" t="n">
        <x:v>1447.844</x:v>
      </x:c>
      <x:c r="AD10" s="96" t="n">
        <x:v>1460.644</x:v>
      </x:c>
      <x:c r="AE10" s="89"/>
      <x:c r="AF10" s="89"/>
      <x:c r="AG10" s="89"/>
      <x:c r="AH10" s="89"/>
      <x:c r="AI10" s="89"/>
      <x:c r="AJ10" s="89"/>
      <x:c r="AK10" s="89"/>
      <x:c r="AL10" s="89"/>
      <x:c r="AM10" s="89"/>
      <x:c r="AN10" s="89"/>
      <x:c r="AO10" s="89"/>
      <x:c r="AP10" s="89"/>
      <x:c r="AQ10" s="89"/>
      <x:c r="AR10" s="89"/>
      <x:c r="AS10" s="89"/>
      <x:c r="AT10" s="89"/>
      <x:c r="AU10" s="89"/>
      <x:c r="AV10" s="89"/>
      <x:c r="AW10" s="89"/>
      <x:c r="AX10" s="89"/>
      <x:c r="AY10" s="89"/>
      <x:c r="AZ10" s="89"/>
      <x:c r="BA10" s="89"/>
      <x:c r="BB10" s="89"/>
    </x:row>
    <x:row r="11">
      <x:c r="A11" s="88" t="n">
        <x:v>7</x:v>
      </x:c>
      <x:c r="B11" s="88" t="str">
        <x:v>S07_KDM</x:v>
      </x:c>
      <x:c r="C11" s="88" t="n">
        <x:v>22</x:v>
      </x:c>
      <x:c r="D11" s="89" t="n">
        <x:v>18</x:v>
      </x:c>
      <x:c r="E11" s="89" t="n">
        <x:v>-7.7</x:v>
      </x:c>
      <x:c r="F11" s="99" t="str">
        <x:v>자동 점검 통과</x:v>
      </x:c>
      <x:c r="G11" s="95" t="n">
        <x:v>761.504</x:v>
      </x:c>
      <x:c r="H11" s="95" t="n">
        <x:v>766.68</x:v>
      </x:c>
      <x:c r="I11" s="95" t="n">
        <x:v>781.942</x:v>
      </x:c>
      <x:c r="J11" s="95" t="n">
        <x:v>813.9</x:v>
      </x:c>
      <x:c r="K11" s="95" t="n">
        <x:v>904.28</x:v>
      </x:c>
      <x:c r="L11" s="95" t="n">
        <x:v>920.38</x:v>
      </x:c>
      <x:c r="M11" s="95" t="n">
        <x:v>932.14</x:v>
      </x:c>
      <x:c r="N11" s="95" t="n">
        <x:v>977.768</x:v>
      </x:c>
      <x:c r="O11" s="95" t="n">
        <x:v>986.568</x:v>
      </x:c>
      <x:c r="P11" s="95" t="n">
        <x:v>1035.225333333333</x:v>
      </x:c>
      <x:c r="Q11" s="95" t="n">
        <x:v>1045.008</x:v>
      </x:c>
      <x:c r="R11" s="95" t="n">
        <x:v>1055.28</x:v>
      </x:c>
      <x:c r="S11" s="95" t="n">
        <x:v>1132.1</x:v>
      </x:c>
      <x:c r="T11" s="95" t="n">
        <x:v>1318.604</x:v>
      </x:c>
      <x:c r="U11" s="95" t="n">
        <x:v>1375.364</x:v>
      </x:c>
      <x:c r="V11" s="95" t="n">
        <x:v>1399</x:v>
      </x:c>
      <x:c r="W11" s="95" t="n">
        <x:v>1426.7959999999998</x:v>
      </x:c>
      <x:c r="X11" s="95" t="n">
        <x:v>1437.9</x:v>
      </x:c>
      <x:c r="Y11" s="89"/>
      <x:c r="Z11" s="89"/>
      <x:c r="AA11" s="89"/>
      <x:c r="AB11" s="89"/>
      <x:c r="AC11" s="89"/>
      <x:c r="AD11" s="89"/>
      <x:c r="AE11" s="89"/>
      <x:c r="AF11" s="89"/>
      <x:c r="AG11" s="89"/>
      <x:c r="AH11" s="89"/>
      <x:c r="AI11" s="89"/>
      <x:c r="AJ11" s="89"/>
      <x:c r="AK11" s="89"/>
      <x:c r="AL11" s="89"/>
      <x:c r="AM11" s="89"/>
      <x:c r="AN11" s="89"/>
      <x:c r="AO11" s="89"/>
      <x:c r="AP11" s="89"/>
      <x:c r="AQ11" s="89"/>
      <x:c r="AR11" s="89"/>
      <x:c r="AS11" s="89"/>
      <x:c r="AT11" s="89"/>
      <x:c r="AU11" s="89"/>
      <x:c r="AV11" s="89"/>
      <x:c r="AW11" s="89"/>
      <x:c r="AX11" s="89"/>
      <x:c r="AY11" s="89"/>
      <x:c r="AZ11" s="89"/>
      <x:c r="BA11" s="89"/>
      <x:c r="BB11" s="89"/>
    </x:row>
    <x:row r="12">
      <x:c r="A12" s="88" t="n">
        <x:v>8</x:v>
      </x:c>
      <x:c r="B12" s="88" t="str">
        <x:v>S08_MDO</x:v>
      </x:c>
      <x:c r="C12" s="88" t="n">
        <x:v>22</x:v>
      </x:c>
      <x:c r="D12" s="89" t="n">
        <x:v>16</x:v>
      </x:c>
      <x:c r="E12" s="89" t="n">
        <x:v>4.8</x:v>
      </x:c>
      <x:c r="F12" s="99" t="str">
        <x:v>자동 점검 통과</x:v>
      </x:c>
      <x:c r="G12" s="96" t="n">
        <x:v>27.349</x:v>
      </x:c>
      <x:c r="H12" s="96" t="n">
        <x:v>223.13199999999998</x:v>
      </x:c>
      <x:c r="I12" s="96" t="n">
        <x:v>701.452</x:v>
      </x:c>
      <x:c r="J12" s="96" t="n">
        <x:v>711.43</x:v>
      </x:c>
      <x:c r="K12" s="96" t="n">
        <x:v>735.524</x:v>
      </x:c>
      <x:c r="L12" s="96" t="n">
        <x:v>811.628</x:v>
      </x:c>
      <x:c r="M12" s="96" t="n">
        <x:v>825.044</x:v>
      </x:c>
      <x:c r="N12" s="96" t="n">
        <x:v>834.704</x:v>
      </x:c>
      <x:c r="O12" s="96" t="n">
        <x:v>879.16</x:v>
      </x:c>
      <x:c r="P12" s="96" t="n">
        <x:v>936.436</x:v>
      </x:c>
      <x:c r="Q12" s="96" t="n">
        <x:v>951.336</x:v>
      </x:c>
      <x:c r="R12" s="96" t="n">
        <x:v>1209.628</x:v>
      </x:c>
      <x:c r="S12" s="96" t="n">
        <x:v>1229.092</x:v>
      </x:c>
      <x:c r="T12" s="96" t="n">
        <x:v>1250.944</x:v>
      </x:c>
      <x:c r="U12" s="96" t="n">
        <x:v>1277.416</x:v>
      </x:c>
      <x:c r="V12" s="96" t="n">
        <x:v>1289.188</x:v>
      </x:c>
      <x:c r="W12" s="89"/>
      <x:c r="X12" s="89"/>
      <x:c r="Y12" s="89"/>
      <x:c r="Z12" s="89"/>
      <x:c r="AA12" s="89"/>
      <x:c r="AB12" s="89"/>
      <x:c r="AC12" s="89"/>
      <x:c r="AD12" s="89"/>
      <x:c r="AE12" s="89"/>
      <x:c r="AF12" s="89"/>
      <x:c r="AG12" s="89"/>
      <x:c r="AH12" s="89"/>
      <x:c r="AI12" s="89"/>
      <x:c r="AJ12" s="89"/>
      <x:c r="AK12" s="89"/>
      <x:c r="AL12" s="89"/>
      <x:c r="AM12" s="89"/>
      <x:c r="AN12" s="89"/>
      <x:c r="AO12" s="89"/>
      <x:c r="AP12" s="89"/>
      <x:c r="AQ12" s="89"/>
      <x:c r="AR12" s="89"/>
      <x:c r="AS12" s="89"/>
      <x:c r="AT12" s="89"/>
      <x:c r="AU12" s="89"/>
      <x:c r="AV12" s="89"/>
      <x:c r="AW12" s="89"/>
      <x:c r="AX12" s="89"/>
      <x:c r="AY12" s="89"/>
      <x:c r="AZ12" s="89"/>
      <x:c r="BA12" s="89"/>
      <x:c r="BB12" s="89"/>
    </x:row>
    <x:row r="13">
      <x:c r="A13" s="88" t="n">
        <x:v>9</x:v>
      </x:c>
      <x:c r="B13" s="88" t="str">
        <x:v>S09_HDH</x:v>
      </x:c>
      <x:c r="C13" s="88" t="n">
        <x:v>22</x:v>
      </x:c>
      <x:c r="D13" s="89" t="n">
        <x:v>21</x:v>
      </x:c>
      <x:c r="E13" s="89" t="n">
        <x:v>-7.3999999999999995</x:v>
      </x:c>
      <x:c r="F13" s="99" t="str">
        <x:v>자동 점검 통과</x:v>
      </x:c>
      <x:c r="G13" s="95" t="n">
        <x:v>21.882666666666665</x:v>
      </x:c>
      <x:c r="H13" s="95" t="n">
        <x:v>216.99866666666665</x:v>
      </x:c>
      <x:c r="I13" s="95" t="n">
        <x:v>279.728</x:v>
      </x:c>
      <x:c r="J13" s="95" t="n">
        <x:v>654.596</x:v>
      </x:c>
      <x:c r="K13" s="95" t="n">
        <x:v>790.3679999999999</x:v>
      </x:c>
      <x:c r="L13" s="95" t="n">
        <x:v>811.662</x:v>
      </x:c>
      <x:c r="M13" s="95" t="n">
        <x:v>831.9786666666668</x:v>
      </x:c>
      <x:c r="N13" s="95" t="n">
        <x:v>848.771</x:v>
      </x:c>
      <x:c r="O13" s="95" t="n">
        <x:v>959.312</x:v>
      </x:c>
      <x:c r="P13" s="95" t="n">
        <x:v>977.1200000000001</x:v>
      </x:c>
      <x:c r="Q13" s="95" t="n">
        <x:v>995.5860000000001</x:v>
      </x:c>
      <x:c r="R13" s="95" t="n">
        <x:v>1044.2620000000002</x:v>
      </x:c>
      <x:c r="S13" s="95" t="n">
        <x:v>1056.3306666666667</x:v>
      </x:c>
      <x:c r="T13" s="95" t="n">
        <x:v>1105.7533333333333</x:v>
      </x:c>
      <x:c r="U13" s="95" t="n">
        <x:v>1129.4432000000002</x:v>
      </x:c>
      <x:c r="V13" s="95" t="n">
        <x:v>1141.774</x:v>
      </x:c>
      <x:c r="W13" s="95" t="n">
        <x:v>1214.7548571428572</x:v>
      </x:c>
      <x:c r="X13" s="95" t="n">
        <x:v>1402.106</x:v>
      </x:c>
      <x:c r="Y13" s="95" t="n">
        <x:v>1451.7033333333331</x:v>
      </x:c>
      <x:c r="Z13" s="95" t="n">
        <x:v>1480.2959999999998</x:v>
      </x:c>
      <x:c r="AA13" s="95" t="n">
        <x:v>1506.1</x:v>
      </x:c>
      <x:c r="AB13" s="89"/>
      <x:c r="AC13" s="89"/>
      <x:c r="AD13" s="89"/>
      <x:c r="AE13" s="89"/>
      <x:c r="AF13" s="89"/>
      <x:c r="AG13" s="89"/>
      <x:c r="AH13" s="89"/>
      <x:c r="AI13" s="89"/>
      <x:c r="AJ13" s="89"/>
      <x:c r="AK13" s="89"/>
      <x:c r="AL13" s="89"/>
      <x:c r="AM13" s="89"/>
      <x:c r="AN13" s="89"/>
      <x:c r="AO13" s="89"/>
      <x:c r="AP13" s="89"/>
      <x:c r="AQ13" s="89"/>
      <x:c r="AR13" s="89"/>
      <x:c r="AS13" s="89"/>
      <x:c r="AT13" s="89"/>
      <x:c r="AU13" s="89"/>
      <x:c r="AV13" s="89"/>
      <x:c r="AW13" s="89"/>
      <x:c r="AX13" s="89"/>
      <x:c r="AY13" s="89"/>
      <x:c r="AZ13" s="89"/>
      <x:c r="BA13" s="89"/>
      <x:c r="BB13" s="89"/>
    </x:row>
    <x:row r="14">
      <x:c r="A14" s="88" t="n">
        <x:v>10</x:v>
      </x:c>
      <x:c r="B14" s="88" t="str">
        <x:v>S10_JKH</x:v>
      </x:c>
      <x:c r="C14" s="88" t="n">
        <x:v>22</x:v>
      </x:c>
      <x:c r="D14" s="89" t="n">
        <x:v>24</x:v>
      </x:c>
      <x:c r="E14" s="89" t="n">
        <x:v>11.9</x:v>
      </x:c>
      <x:c r="F14" s="98" t="str">
        <x:v>대체 후보 있음</x:v>
      </x:c>
      <x:c r="G14" s="95" t="n">
        <x:v>32.644</x:v>
      </x:c>
      <x:c r="H14" s="95" t="n">
        <x:v>218.968</x:v>
      </x:c>
      <x:c r="I14" s="95" t="n">
        <x:v>227.204</x:v>
      </x:c>
      <x:c r="J14" s="96" t="n">
        <x:v>257.144</x:v>
      </x:c>
      <x:c r="K14" s="95" t="n">
        <x:v>632.324</x:v>
      </x:c>
      <x:c r="L14" s="95" t="n">
        <x:v>659.172</x:v>
      </x:c>
      <x:c r="M14" s="95" t="n">
        <x:v>674.014</x:v>
      </x:c>
      <x:c r="N14" s="95" t="n">
        <x:v>691.124</x:v>
      </x:c>
      <x:c r="O14" s="95" t="n">
        <x:v>707.884</x:v>
      </x:c>
      <x:c r="P14" s="95" t="n">
        <x:v>758.216</x:v>
      </x:c>
      <x:c r="Q14" s="95" t="n">
        <x:v>771.66</x:v>
      </x:c>
      <x:c r="R14" s="95" t="n">
        <x:v>784.016</x:v>
      </x:c>
      <x:c r="S14" s="95" t="n">
        <x:v>825.612</x:v>
      </x:c>
      <x:c r="T14" s="95" t="n">
        <x:v>830.188</x:v>
      </x:c>
      <x:c r="U14" s="95" t="n">
        <x:v>841.796</x:v>
      </x:c>
      <x:c r="V14" s="96" t="n">
        <x:v>888.372</x:v>
      </x:c>
      <x:c r="W14" s="95" t="n">
        <x:v>903</x:v>
      </x:c>
      <x:c r="X14" s="95" t="n">
        <x:v>917.032</x:v>
      </x:c>
      <x:c r="Y14" s="95" t="n">
        <x:v>941.288</x:v>
      </x:c>
      <x:c r="Z14" s="95" t="n">
        <x:v>1124.452</x:v>
      </x:c>
      <x:c r="AA14" s="95" t="n">
        <x:v>1141.108</x:v>
      </x:c>
      <x:c r="AB14" s="95" t="n">
        <x:v>1164.7</x:v>
      </x:c>
      <x:c r="AC14" s="95" t="n">
        <x:v>1180.164</x:v>
      </x:c>
      <x:c r="AD14" s="95" t="n">
        <x:v>1192.6419999999998</x:v>
      </x:c>
      <x:c r="AE14" s="89"/>
      <x:c r="AF14" s="89"/>
      <x:c r="AG14" s="89"/>
      <x:c r="AH14" s="89"/>
      <x:c r="AI14" s="89"/>
      <x:c r="AJ14" s="89"/>
      <x:c r="AK14" s="89"/>
      <x:c r="AL14" s="89"/>
      <x:c r="AM14" s="89"/>
      <x:c r="AN14" s="89"/>
      <x:c r="AO14" s="89"/>
      <x:c r="AP14" s="89"/>
      <x:c r="AQ14" s="89"/>
      <x:c r="AR14" s="89"/>
      <x:c r="AS14" s="89"/>
      <x:c r="AT14" s="89"/>
      <x:c r="AU14" s="89"/>
      <x:c r="AV14" s="89"/>
      <x:c r="AW14" s="89"/>
      <x:c r="AX14" s="89"/>
      <x:c r="AY14" s="89"/>
      <x:c r="AZ14" s="89"/>
      <x:c r="BA14" s="89"/>
      <x:c r="BB14" s="89"/>
    </x:row>
    <x:row r="15">
      <x:c r="A15" s="88" t="n">
        <x:v>11</x:v>
      </x:c>
      <x:c r="B15" s="88" t="str">
        <x:v>S11_SJE</x:v>
      </x:c>
      <x:c r="C15" s="88" t="n">
        <x:v>22</x:v>
      </x:c>
      <x:c r="D15" s="89" t="n">
        <x:v>9</x:v>
      </x:c>
      <x:c r="E15" s="89" t="n">
        <x:v>-5.1</x:v>
      </x:c>
      <x:c r="F15" s="97" t="str">
        <x:v>후보군 검토 필요</x:v>
      </x:c>
      <x:c r="G15" s="95" t="n">
        <x:v>12.829</x:v>
      </x:c>
      <x:c r="H15" s="95" t="n">
        <x:v>208.558</x:v>
      </x:c>
      <x:c r="I15" s="95" t="n">
        <x:v>258.816</x:v>
      </x:c>
      <x:c r="J15" s="95" t="n">
        <x:v>633.816</x:v>
      </x:c>
      <x:c r="K15" s="95" t="n">
        <x:v>788.152</x:v>
      </x:c>
      <x:c r="L15" s="95" t="n">
        <x:v>800.268</x:v>
      </x:c>
      <x:c r="M15" s="95" t="n">
        <x:v>894.824</x:v>
      </x:c>
      <x:c r="N15" s="95" t="n">
        <x:v>907.568</x:v>
      </x:c>
      <x:c r="O15" s="95" t="n">
        <x:v>1396.42</x:v>
      </x:c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  <x:c r="AA15" s="89"/>
      <x:c r="AB15" s="89"/>
      <x:c r="AC15" s="89"/>
      <x:c r="AD15" s="89"/>
      <x:c r="AE15" s="89"/>
      <x:c r="AF15" s="89"/>
      <x:c r="AG15" s="89"/>
      <x:c r="AH15" s="89"/>
      <x:c r="AI15" s="89"/>
      <x:c r="AJ15" s="89"/>
      <x:c r="AK15" s="89"/>
      <x:c r="AL15" s="89"/>
      <x:c r="AM15" s="89"/>
      <x:c r="AN15" s="89"/>
      <x:c r="AO15" s="89"/>
      <x:c r="AP15" s="89"/>
      <x:c r="AQ15" s="89"/>
      <x:c r="AR15" s="89"/>
      <x:c r="AS15" s="89"/>
      <x:c r="AT15" s="89"/>
      <x:c r="AU15" s="89"/>
      <x:c r="AV15" s="89"/>
      <x:c r="AW15" s="89"/>
      <x:c r="AX15" s="89"/>
      <x:c r="AY15" s="89"/>
      <x:c r="AZ15" s="89"/>
      <x:c r="BA15" s="89"/>
      <x:c r="BB15" s="89"/>
    </x:row>
    <x:row r="16">
      <x:c r="A16" s="88" t="n">
        <x:v>12</x:v>
      </x:c>
      <x:c r="B16" s="88" t="str">
        <x:v>S12_KDH</x:v>
      </x:c>
      <x:c r="C16" s="88" t="n">
        <x:v>22</x:v>
      </x:c>
      <x:c r="D16" s="89" t="n">
        <x:v>7</x:v>
      </x:c>
      <x:c r="E16" s="89" t="n">
        <x:v>-6.8</x:v>
      </x:c>
      <x:c r="F16" s="97" t="str">
        <x:v>후보군 검토 필요</x:v>
      </x:c>
      <x:c r="G16" s="95" t="n">
        <x:v>14.085999999999999</x:v>
      </x:c>
      <x:c r="H16" s="95" t="n">
        <x:v>258.448</x:v>
      </x:c>
      <x:c r="I16" s="95" t="n">
        <x:v>634.804</x:v>
      </x:c>
      <x:c r="J16" s="95" t="n">
        <x:v>1404.58</x:v>
      </x:c>
      <x:c r="K16" s="95" t="n">
        <x:v>1434.1</x:v>
      </x:c>
      <x:c r="L16" s="95" t="n">
        <x:v>1475.266</x:v>
      </x:c>
      <x:c r="M16" s="95" t="n">
        <x:v>1486.612</x:v>
      </x:c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  <x:c r="AA16" s="89"/>
      <x:c r="AB16" s="89"/>
      <x:c r="AC16" s="89"/>
      <x:c r="AD16" s="89"/>
      <x:c r="AE16" s="89"/>
      <x:c r="AF16" s="89"/>
      <x:c r="AG16" s="89"/>
      <x:c r="AH16" s="89"/>
      <x:c r="AI16" s="89"/>
      <x:c r="AJ16" s="89"/>
      <x:c r="AK16" s="89"/>
      <x:c r="AL16" s="89"/>
      <x:c r="AM16" s="89"/>
      <x:c r="AN16" s="89"/>
      <x:c r="AO16" s="89"/>
      <x:c r="AP16" s="89"/>
      <x:c r="AQ16" s="89"/>
      <x:c r="AR16" s="89"/>
      <x:c r="AS16" s="89"/>
      <x:c r="AT16" s="89"/>
      <x:c r="AU16" s="89"/>
      <x:c r="AV16" s="89"/>
      <x:c r="AW16" s="89"/>
      <x:c r="AX16" s="89"/>
      <x:c r="AY16" s="89"/>
      <x:c r="AZ16" s="89"/>
      <x:c r="BA16" s="89"/>
      <x:c r="BB16" s="89"/>
    </x:row>
    <x:row r="17">
      <x:c r="A17" s="88" t="n">
        <x:v>13</x:v>
      </x:c>
      <x:c r="B17" s="88" t="str">
        <x:v>S13_KTW</x:v>
      </x:c>
      <x:c r="C17" s="88" t="n">
        <x:v>22</x:v>
      </x:c>
      <x:c r="D17" s="89" t="n">
        <x:v>48</x:v>
      </x:c>
      <x:c r="E17" s="89" t="n">
        <x:v>-0.5999999999999996</x:v>
      </x:c>
      <x:c r="F17" s="94" t="str">
        <x:v>수동값/원시 불일치</x:v>
      </x:c>
      <x:c r="G17" s="95" t="n">
        <x:v>14.064</x:v>
      </x:c>
      <x:c r="H17" s="95" t="n">
        <x:v>207.596</x:v>
      </x:c>
      <x:c r="I17" s="95" t="n">
        <x:v>215.42</x:v>
      </x:c>
      <x:c r="J17" s="96" t="n">
        <x:v>229.236</x:v>
      </x:c>
      <x:c r="K17" s="95" t="n">
        <x:v>297.472</x:v>
      </x:c>
      <x:c r="L17" s="95" t="n">
        <x:v>307.664</x:v>
      </x:c>
      <x:c r="M17" s="95" t="n">
        <x:v>317.14</x:v>
      </x:c>
      <x:c r="N17" s="95" t="n">
        <x:v>327.516</x:v>
      </x:c>
      <x:c r="O17" s="95" t="n">
        <x:v>337.256</x:v>
      </x:c>
      <x:c r="P17" s="95" t="n">
        <x:v>347.26</x:v>
      </x:c>
      <x:c r="Q17" s="95" t="n">
        <x:v>386.192</x:v>
      </x:c>
      <x:c r="R17" s="95" t="n">
        <x:v>468.972</x:v>
      </x:c>
      <x:c r="S17" s="95" t="n">
        <x:v>483.764</x:v>
      </x:c>
      <x:c r="T17" s="95" t="n">
        <x:v>489.612</x:v>
      </x:c>
      <x:c r="U17" s="95" t="n">
        <x:v>502.296</x:v>
      </x:c>
      <x:c r="V17" s="95" t="n">
        <x:v>511.432</x:v>
      </x:c>
      <x:c r="W17" s="95" t="n">
        <x:v>517.1</x:v>
      </x:c>
      <x:c r="X17" s="95" t="n">
        <x:v>522.328</x:v>
      </x:c>
      <x:c r="Y17" s="96" t="n">
        <x:v>598.328</x:v>
      </x:c>
      <x:c r="Z17" s="96" t="n">
        <x:v>644.284</x:v>
      </x:c>
      <x:c r="AA17" s="95" t="n">
        <x:v>652.972</x:v>
      </x:c>
      <x:c r="AB17" s="96" t="n">
        <x:v>657.66</x:v>
      </x:c>
      <x:c r="AC17" s="96" t="n">
        <x:v>675.3879999999999</x:v>
      </x:c>
      <x:c r="AD17" s="95" t="n">
        <x:v>681.568</x:v>
      </x:c>
      <x:c r="AE17" s="96" t="n">
        <x:v>685.8</x:v>
      </x:c>
      <x:c r="AF17" s="95" t="n">
        <x:v>692.148</x:v>
      </x:c>
      <x:c r="AG17" s="95" t="n">
        <x:v>729.104</x:v>
      </x:c>
      <x:c r="AH17" s="96" t="n">
        <x:v>740.8186666666667</x:v>
      </x:c>
      <x:c r="AI17" s="96" t="n">
        <x:v>756.728</x:v>
      </x:c>
      <x:c r="AJ17" s="95" t="n">
        <x:v>764.196</x:v>
      </x:c>
      <x:c r="AK17" s="96" t="n">
        <x:v>796.744</x:v>
      </x:c>
      <x:c r="AL17" s="95" t="n">
        <x:v>802.368</x:v>
      </x:c>
      <x:c r="AM17" s="96" t="n">
        <x:v>814.144</x:v>
      </x:c>
      <x:c r="AN17" s="95" t="n">
        <x:v>819.148</x:v>
      </x:c>
      <x:c r="AO17" s="95" t="n">
        <x:v>854.672</x:v>
      </x:c>
      <x:c r="AP17" s="95" t="n">
        <x:v>858.74</x:v>
      </x:c>
      <x:c r="AQ17" s="96" t="n">
        <x:v>873.312</x:v>
      </x:c>
      <x:c r="AR17" s="95" t="n">
        <x:v>878.496</x:v>
      </x:c>
      <x:c r="AS17" s="95" t="n">
        <x:v>883.136</x:v>
      </x:c>
      <x:c r="AT17" s="95" t="n">
        <x:v>888.1679999999999</x:v>
      </x:c>
      <x:c r="AU17" s="95" t="n">
        <x:v>894.776</x:v>
      </x:c>
      <x:c r="AV17" s="96" t="n">
        <x:v>918.076</x:v>
      </x:c>
      <x:c r="AW17" s="96" t="n">
        <x:v>1110.728</x:v>
      </x:c>
      <x:c r="AX17" s="95" t="n">
        <x:v>1130.848</x:v>
      </x:c>
      <x:c r="AY17" s="96" t="n">
        <x:v>1154.132</x:v>
      </x:c>
      <x:c r="AZ17" s="96" t="n">
        <x:v>1160.464</x:v>
      </x:c>
      <x:c r="BA17" s="96" t="n">
        <x:v>1178.716</x:v>
      </x:c>
      <x:c r="BB17" s="95" t="n">
        <x:v>1191.664</x:v>
      </x:c>
    </x:row>
    <x:row r="18">
      <x:c r="A18" s="88" t="n">
        <x:v>14</x:v>
      </x:c>
      <x:c r="B18" s="88" t="str">
        <x:v>S14_MDO</x:v>
      </x:c>
      <x:c r="C18" s="88" t="n">
        <x:v>22</x:v>
      </x:c>
      <x:c r="D18" s="89" t="n">
        <x:v>16</x:v>
      </x:c>
      <x:c r="E18" s="89" t="n">
        <x:v>8.1</x:v>
      </x:c>
      <x:c r="F18" s="98" t="str">
        <x:v>대체 후보 있음</x:v>
      </x:c>
      <x:c r="G18" s="96" t="n">
        <x:v>21.748</x:v>
      </x:c>
      <x:c r="H18" s="95" t="n">
        <x:v>219.40479999999997</x:v>
      </x:c>
      <x:c r="I18" s="96" t="n">
        <x:v>615.52</x:v>
      </x:c>
      <x:c r="J18" s="96" t="n">
        <x:v>644.248</x:v>
      </x:c>
      <x:c r="K18" s="96" t="n">
        <x:v>657.444</x:v>
      </x:c>
      <x:c r="L18" s="96" t="n">
        <x:v>676.204</x:v>
      </x:c>
      <x:c r="M18" s="96" t="n">
        <x:v>687.112</x:v>
      </x:c>
      <x:c r="N18" s="96" t="n">
        <x:v>737.168</x:v>
      </x:c>
      <x:c r="O18" s="96" t="n">
        <x:v>749.99</x:v>
      </x:c>
      <x:c r="P18" s="96" t="n">
        <x:v>757.648</x:v>
      </x:c>
      <x:c r="Q18" s="96" t="n">
        <x:v>798.992</x:v>
      </x:c>
      <x:c r="R18" s="96" t="n">
        <x:v>811.642</x:v>
      </x:c>
      <x:c r="S18" s="96" t="n">
        <x:v>852.996</x:v>
      </x:c>
      <x:c r="T18" s="96" t="n">
        <x:v>1097.404</x:v>
      </x:c>
      <x:c r="U18" s="96" t="n">
        <x:v>1117.764</x:v>
      </x:c>
      <x:c r="V18" s="96" t="n">
        <x:v>1143.42</x:v>
      </x:c>
      <x:c r="W18" s="89"/>
      <x:c r="X18" s="89"/>
      <x:c r="Y18" s="89"/>
      <x:c r="Z18" s="89"/>
      <x:c r="AA18" s="89"/>
      <x:c r="AB18" s="89"/>
      <x:c r="AC18" s="89"/>
      <x:c r="AD18" s="89"/>
      <x:c r="AE18" s="89"/>
      <x:c r="AF18" s="89"/>
      <x:c r="AG18" s="89"/>
      <x:c r="AH18" s="89"/>
      <x:c r="AI18" s="89"/>
      <x:c r="AJ18" s="89"/>
      <x:c r="AK18" s="89"/>
      <x:c r="AL18" s="89"/>
      <x:c r="AM18" s="89"/>
      <x:c r="AN18" s="89"/>
      <x:c r="AO18" s="89"/>
      <x:c r="AP18" s="89"/>
      <x:c r="AQ18" s="89"/>
      <x:c r="AR18" s="89"/>
      <x:c r="AS18" s="89"/>
      <x:c r="AT18" s="89"/>
      <x:c r="AU18" s="89"/>
      <x:c r="AV18" s="89"/>
      <x:c r="AW18" s="89"/>
      <x:c r="AX18" s="89"/>
      <x:c r="AY18" s="89"/>
      <x:c r="AZ18" s="89"/>
      <x:c r="BA18" s="89"/>
      <x:c r="BB18" s="89"/>
    </x:row>
    <x:row r="19">
      <x:c r="A19" s="88" t="n">
        <x:v>15</x:v>
      </x:c>
      <x:c r="B19" s="88" t="str">
        <x:v>S15_JKH</x:v>
      </x:c>
      <x:c r="C19" s="88" t="n">
        <x:v>22</x:v>
      </x:c>
      <x:c r="D19" s="89" t="n">
        <x:v>25</x:v>
      </x:c>
      <x:c r="E19" s="89" t="n">
        <x:v>12</x:v>
      </x:c>
      <x:c r="F19" s="98" t="str">
        <x:v>대체 후보 있음</x:v>
      </x:c>
      <x:c r="G19" s="96" t="n">
        <x:v>17.524</x:v>
      </x:c>
      <x:c r="H19" s="95" t="n">
        <x:v>217.924</x:v>
      </x:c>
      <x:c r="I19" s="95" t="n">
        <x:v>239.018</x:v>
      </x:c>
      <x:c r="J19" s="96" t="n">
        <x:v>246.216</x:v>
      </x:c>
      <x:c r="K19" s="95" t="n">
        <x:v>615.352</x:v>
      </x:c>
      <x:c r="L19" s="95" t="n">
        <x:v>620.188</x:v>
      </x:c>
      <x:c r="M19" s="96" t="n">
        <x:v>643.464</x:v>
      </x:c>
      <x:c r="N19" s="96" t="n">
        <x:v>654.4</x:v>
      </x:c>
      <x:c r="O19" s="96" t="n">
        <x:v>669.848</x:v>
      </x:c>
      <x:c r="P19" s="96" t="n">
        <x:v>685.8</x:v>
      </x:c>
      <x:c r="Q19" s="96" t="n">
        <x:v>721.356</x:v>
      </x:c>
      <x:c r="R19" s="96" t="n">
        <x:v>735.192</x:v>
      </x:c>
      <x:c r="S19" s="96" t="n">
        <x:v>744.88</x:v>
      </x:c>
      <x:c r="T19" s="95" t="n">
        <x:v>792.1039999999999</x:v>
      </x:c>
      <x:c r="U19" s="96" t="n">
        <x:v>802.732</x:v>
      </x:c>
      <x:c r="V19" s="95" t="n">
        <x:v>807.784</x:v>
      </x:c>
      <x:c r="W19" s="96" t="n">
        <x:v>848.434</x:v>
      </x:c>
      <x:c r="X19" s="96" t="n">
        <x:v>861.212</x:v>
      </x:c>
      <x:c r="Y19" s="96" t="n">
        <x:v>883.464</x:v>
      </x:c>
      <x:c r="Z19" s="96" t="n">
        <x:v>901.36</x:v>
      </x:c>
      <x:c r="AA19" s="96" t="n">
        <x:v>1087.56</x:v>
      </x:c>
      <x:c r="AB19" s="96" t="n">
        <x:v>1105.1819999999998</x:v>
      </x:c>
      <x:c r="AC19" s="96" t="n">
        <x:v>1132.156</x:v>
      </x:c>
      <x:c r="AD19" s="96" t="n">
        <x:v>1146.564</x:v>
      </x:c>
      <x:c r="AE19" s="96" t="n">
        <x:v>1159.924</x:v>
      </x:c>
      <x:c r="AF19" s="89"/>
      <x:c r="AG19" s="89"/>
      <x:c r="AH19" s="89"/>
      <x:c r="AI19" s="89"/>
      <x:c r="AJ19" s="89"/>
      <x:c r="AK19" s="89"/>
      <x:c r="AL19" s="89"/>
      <x:c r="AM19" s="89"/>
      <x:c r="AN19" s="89"/>
      <x:c r="AO19" s="89"/>
      <x:c r="AP19" s="89"/>
      <x:c r="AQ19" s="89"/>
      <x:c r="AR19" s="89"/>
      <x:c r="AS19" s="89"/>
      <x:c r="AT19" s="89"/>
      <x:c r="AU19" s="89"/>
      <x:c r="AV19" s="89"/>
      <x:c r="AW19" s="89"/>
      <x:c r="AX19" s="89"/>
      <x:c r="AY19" s="89"/>
      <x:c r="AZ19" s="89"/>
      <x:c r="BA19" s="89"/>
      <x:c r="BB19" s="89"/>
    </x:row>
    <x:row r="20">
      <x:c r="A20" s="88" t="n">
        <x:v>16</x:v>
      </x:c>
      <x:c r="B20" s="88" t="str">
        <x:v>S16_LJH</x:v>
      </x:c>
      <x:c r="C20" s="88" t="n">
        <x:v>22</x:v>
      </x:c>
      <x:c r="D20" s="89" t="n">
        <x:v>21</x:v>
      </x:c>
      <x:c r="E20" s="89" t="n">
        <x:v>1.8999999999999986</x:v>
      </x:c>
      <x:c r="F20" s="98" t="str">
        <x:v>시간 구간 확인 필요</x:v>
      </x:c>
      <x:c r="G20" s="96" t="n">
        <x:v>14.816</x:v>
      </x:c>
      <x:c r="H20" s="96" t="n">
        <x:v>207.944</x:v>
      </x:c>
      <x:c r="I20" s="96" t="n">
        <x:v>283.912</x:v>
      </x:c>
      <x:c r="J20" s="95" t="n">
        <x:v>660.573</x:v>
      </x:c>
      <x:c r="K20" s="96" t="n">
        <x:v>761.04</x:v>
      </x:c>
      <x:c r="L20" s="96" t="n">
        <x:v>773.048</x:v>
      </x:c>
      <x:c r="M20" s="96" t="n">
        <x:v>782.672</x:v>
      </x:c>
      <x:c r="N20" s="96" t="n">
        <x:v>800.964</x:v>
      </x:c>
      <x:c r="O20" s="96" t="n">
        <x:v>815.988</x:v>
      </x:c>
      <x:c r="P20" s="96" t="n">
        <x:v>930.868</x:v>
      </x:c>
      <x:c r="Q20" s="96" t="n">
        <x:v>947.732</x:v>
      </x:c>
      <x:c r="R20" s="96" t="n">
        <x:v>959.6179999999999</x:v>
      </x:c>
      <x:c r="S20" s="96" t="n">
        <x:v>1064.16</x:v>
      </x:c>
      <x:c r="T20" s="96" t="n">
        <x:v>1079.516</x:v>
      </x:c>
      <x:c r="U20" s="96" t="n">
        <x:v>1090.856</x:v>
      </x:c>
      <x:c r="V20" s="96" t="n">
        <x:v>1181.248</x:v>
      </x:c>
      <x:c r="W20" s="96" t="n">
        <x:v>1374.168</x:v>
      </x:c>
      <x:c r="X20" s="96" t="n">
        <x:v>1426.48</x:v>
      </x:c>
      <x:c r="Y20" s="96" t="n">
        <x:v>1457.708</x:v>
      </x:c>
      <x:c r="Z20" s="96" t="n">
        <x:v>1488.212</x:v>
      </x:c>
      <x:c r="AA20" s="96" t="n">
        <x:v>1508.256</x:v>
      </x:c>
      <x:c r="AB20" s="89"/>
      <x:c r="AC20" s="89"/>
      <x:c r="AD20" s="89"/>
      <x:c r="AE20" s="89"/>
      <x:c r="AF20" s="89"/>
      <x:c r="AG20" s="89"/>
      <x:c r="AH20" s="89"/>
      <x:c r="AI20" s="89"/>
      <x:c r="AJ20" s="89"/>
      <x:c r="AK20" s="89"/>
      <x:c r="AL20" s="89"/>
      <x:c r="AM20" s="89"/>
      <x:c r="AN20" s="89"/>
      <x:c r="AO20" s="89"/>
      <x:c r="AP20" s="89"/>
      <x:c r="AQ20" s="89"/>
      <x:c r="AR20" s="89"/>
      <x:c r="AS20" s="89"/>
      <x:c r="AT20" s="89"/>
      <x:c r="AU20" s="89"/>
      <x:c r="AV20" s="89"/>
      <x:c r="AW20" s="89"/>
      <x:c r="AX20" s="89"/>
      <x:c r="AY20" s="89"/>
      <x:c r="AZ20" s="89"/>
      <x:c r="BA20" s="89"/>
      <x:c r="BB20" s="89"/>
    </x:row>
    <x:row r="21">
      <x:c r="A21" s="88" t="n">
        <x:v>17</x:v>
      </x:c>
      <x:c r="B21" s="88" t="str">
        <x:v>S17_RJS</x:v>
      </x:c>
      <x:c r="C21" s="88" t="n">
        <x:v>22</x:v>
      </x:c>
      <x:c r="D21" s="89" t="n">
        <x:v>15</x:v>
      </x:c>
      <x:c r="E21" s="89" t="n">
        <x:v>-3.6999999999999993</x:v>
      </x:c>
      <x:c r="F21" s="99" t="str">
        <x:v>자동 점검 통과</x:v>
      </x:c>
      <x:c r="G21" s="95" t="n">
        <x:v>20.873333333333335</x:v>
      </x:c>
      <x:c r="H21" s="95" t="n">
        <x:v>215.48960000000002</x:v>
      </x:c>
      <x:c r="I21" s="95" t="n">
        <x:v>236.33745454545453</x:v>
      </x:c>
      <x:c r="J21" s="95" t="n">
        <x:v>610.3582222222223</x:v>
      </x:c>
      <x:c r="K21" s="95" t="n">
        <x:v>668.226</x:v>
      </x:c>
      <x:c r="L21" s="95" t="n">
        <x:v>681.88</x:v>
      </x:c>
      <x:c r="M21" s="95" t="n">
        <x:v>697.51</x:v>
      </x:c>
      <x:c r="N21" s="95" t="n">
        <x:v>711.428</x:v>
      </x:c>
      <x:c r="O21" s="95" t="n">
        <x:v>761.2211428571429</x:v>
      </x:c>
      <x:c r="P21" s="95" t="n">
        <x:v>787.8016</x:v>
      </x:c>
      <x:c r="Q21" s="95" t="n">
        <x:v>848.0628571428572</x:v>
      </x:c>
      <x:c r="R21" s="95" t="n">
        <x:v>916.0319999999999</x:v>
      </x:c>
      <x:c r="S21" s="95" t="n">
        <x:v>1155.8773333333334</x:v>
      </x:c>
      <x:c r="T21" s="95" t="n">
        <x:v>1245.68</x:v>
      </x:c>
      <x:c r="U21" s="95" t="n">
        <x:v>1257.844</x:v>
      </x:c>
      <x:c r="V21" s="89"/>
      <x:c r="W21" s="89"/>
      <x:c r="X21" s="89"/>
      <x:c r="Y21" s="89"/>
      <x:c r="Z21" s="89"/>
      <x:c r="AA21" s="89"/>
      <x:c r="AB21" s="89"/>
      <x:c r="AC21" s="89"/>
      <x:c r="AD21" s="89"/>
      <x:c r="AE21" s="89"/>
      <x:c r="AF21" s="89"/>
      <x:c r="AG21" s="89"/>
      <x:c r="AH21" s="89"/>
      <x:c r="AI21" s="89"/>
      <x:c r="AJ21" s="89"/>
      <x:c r="AK21" s="89"/>
      <x:c r="AL21" s="89"/>
      <x:c r="AM21" s="89"/>
      <x:c r="AN21" s="89"/>
      <x:c r="AO21" s="89"/>
      <x:c r="AP21" s="89"/>
      <x:c r="AQ21" s="89"/>
      <x:c r="AR21" s="89"/>
      <x:c r="AS21" s="89"/>
      <x:c r="AT21" s="89"/>
      <x:c r="AU21" s="89"/>
      <x:c r="AV21" s="89"/>
      <x:c r="AW21" s="89"/>
      <x:c r="AX21" s="89"/>
      <x:c r="AY21" s="89"/>
      <x:c r="AZ21" s="89"/>
      <x:c r="BA21" s="89"/>
      <x:c r="BB21" s="89"/>
    </x:row>
    <x:row r="22">
      <x:c r="A22" s="88" t="n">
        <x:v>18</x:v>
      </x:c>
      <x:c r="B22" s="88" t="str">
        <x:v>S18_LJH</x:v>
      </x:c>
      <x:c r="C22" s="88" t="n">
        <x:v>22</x:v>
      </x:c>
      <x:c r="D22" s="89" t="n">
        <x:v>22</x:v>
      </x:c>
      <x:c r="E22" s="89" t="n">
        <x:v>-0.1999999999999993</x:v>
      </x:c>
      <x:c r="F22" s="99" t="str">
        <x:v>자동 점검 통과</x:v>
      </x:c>
      <x:c r="G22" s="96" t="n">
        <x:v>15.096</x:v>
      </x:c>
      <x:c r="H22" s="96" t="n">
        <x:v>211.48</x:v>
      </x:c>
      <x:c r="I22" s="96" t="n">
        <x:v>230.976</x:v>
      </x:c>
      <x:c r="J22" s="96" t="n">
        <x:v>603.492</x:v>
      </x:c>
      <x:c r="K22" s="96" t="n">
        <x:v>637.444</x:v>
      </x:c>
      <x:c r="L22" s="96" t="n">
        <x:v>652.688</x:v>
      </x:c>
      <x:c r="M22" s="96" t="n">
        <x:v>669.34</x:v>
      </x:c>
      <x:c r="N22" s="96" t="n">
        <x:v>680.876</x:v>
      </x:c>
      <x:c r="O22" s="96" t="n">
        <x:v>722.824</x:v>
      </x:c>
      <x:c r="P22" s="96" t="n">
        <x:v>738.346</x:v>
      </x:c>
      <x:c r="Q22" s="96" t="n">
        <x:v>746.656</x:v>
      </x:c>
      <x:c r="R22" s="96" t="n">
        <x:v>793.0740000000001</x:v>
      </x:c>
      <x:c r="S22" s="96" t="n">
        <x:v>802.12</x:v>
      </x:c>
      <x:c r="T22" s="96" t="n">
        <x:v>848.04</x:v>
      </x:c>
      <x:c r="U22" s="96" t="n">
        <x:v>863.068</x:v>
      </x:c>
      <x:c r="V22" s="96" t="n">
        <x:v>874.156</x:v>
      </x:c>
      <x:c r="W22" s="96" t="n">
        <x:v>901.476</x:v>
      </x:c>
      <x:c r="X22" s="96" t="n">
        <x:v>1085.764</x:v>
      </x:c>
      <x:c r="Y22" s="96" t="n">
        <x:v>1103.184</x:v>
      </x:c>
      <x:c r="Z22" s="96" t="n">
        <x:v>1127.488</x:v>
      </x:c>
      <x:c r="AA22" s="96" t="n">
        <x:v>1139.676</x:v>
      </x:c>
      <x:c r="AB22" s="96" t="n">
        <x:v>1151.164</x:v>
      </x:c>
      <x:c r="AC22" s="89"/>
      <x:c r="AD22" s="89"/>
      <x:c r="AE22" s="89"/>
      <x:c r="AF22" s="89"/>
      <x:c r="AG22" s="89"/>
      <x:c r="AH22" s="89"/>
      <x:c r="AI22" s="89"/>
      <x:c r="AJ22" s="89"/>
      <x:c r="AK22" s="89"/>
      <x:c r="AL22" s="89"/>
      <x:c r="AM22" s="89"/>
      <x:c r="AN22" s="89"/>
      <x:c r="AO22" s="89"/>
      <x:c r="AP22" s="89"/>
      <x:c r="AQ22" s="89"/>
      <x:c r="AR22" s="89"/>
      <x:c r="AS22" s="89"/>
      <x:c r="AT22" s="89"/>
      <x:c r="AU22" s="89"/>
      <x:c r="AV22" s="89"/>
      <x:c r="AW22" s="89"/>
      <x:c r="AX22" s="89"/>
      <x:c r="AY22" s="89"/>
      <x:c r="AZ22" s="89"/>
      <x:c r="BA22" s="89"/>
      <x:c r="BB22" s="89"/>
    </x:row>
    <x:row r="23">
      <x:c r="A23" s="88" t="n">
        <x:v>19</x:v>
      </x:c>
      <x:c r="B23" s="88" t="str">
        <x:v>S19_CHW</x:v>
      </x:c>
      <x:c r="C23" s="88" t="n">
        <x:v>22</x:v>
      </x:c>
      <x:c r="D23" s="89" t="n">
        <x:v>19</x:v>
      </x:c>
      <x:c r="E23" s="89" t="n">
        <x:v>-1.5999999999999996</x:v>
      </x:c>
      <x:c r="F23" s="99" t="str">
        <x:v>자동 점검 통과</x:v>
      </x:c>
      <x:c r="G23" s="96" t="n">
        <x:v>18.219199999999997</x:v>
      </x:c>
      <x:c r="H23" s="95" t="n">
        <x:v>212</x:v>
      </x:c>
      <x:c r="I23" s="95" t="n">
        <x:v>268.172</x:v>
      </x:c>
      <x:c r="J23" s="95" t="n">
        <x:v>643.572</x:v>
      </x:c>
      <x:c r="K23" s="96" t="n">
        <x:v>760.588</x:v>
      </x:c>
      <x:c r="L23" s="95" t="n">
        <x:v>777.476</x:v>
      </x:c>
      <x:c r="M23" s="95" t="n">
        <x:v>795.576</x:v>
      </x:c>
      <x:c r="N23" s="95" t="n">
        <x:v>812.528</x:v>
      </x:c>
      <x:c r="O23" s="95" t="n">
        <x:v>920.216</x:v>
      </x:c>
      <x:c r="P23" s="95" t="n">
        <x:v>940.22</x:v>
      </x:c>
      <x:c r="Q23" s="95" t="n">
        <x:v>958.332</x:v>
      </x:c>
      <x:c r="R23" s="95" t="n">
        <x:v>1005.692</x:v>
      </x:c>
      <x:c r="S23" s="96" t="n">
        <x:v>1021.964</x:v>
      </x:c>
      <x:c r="T23" s="96" t="n">
        <x:v>1074.1360000000002</x:v>
      </x:c>
      <x:c r="U23" s="95" t="n">
        <x:v>1103</x:v>
      </x:c>
      <x:c r="V23" s="96" t="n">
        <x:v>1370.35</x:v>
      </x:c>
      <x:c r="W23" s="96" t="n">
        <x:v>1452.308</x:v>
      </x:c>
      <x:c r="X23" s="95" t="n">
        <x:v>1481.62</x:v>
      </x:c>
      <x:c r="Y23" s="95" t="n">
        <x:v>1503.564</x:v>
      </x:c>
      <x:c r="Z23" s="89"/>
      <x:c r="AA23" s="89"/>
      <x:c r="AB23" s="89"/>
      <x:c r="AC23" s="89"/>
      <x:c r="AD23" s="89"/>
      <x:c r="AE23" s="89"/>
      <x:c r="AF23" s="89"/>
      <x:c r="AG23" s="89"/>
      <x:c r="AH23" s="89"/>
      <x:c r="AI23" s="89"/>
      <x:c r="AJ23" s="89"/>
      <x:c r="AK23" s="89"/>
      <x:c r="AL23" s="89"/>
      <x:c r="AM23" s="89"/>
      <x:c r="AN23" s="89"/>
      <x:c r="AO23" s="89"/>
      <x:c r="AP23" s="89"/>
      <x:c r="AQ23" s="89"/>
      <x:c r="AR23" s="89"/>
      <x:c r="AS23" s="89"/>
      <x:c r="AT23" s="89"/>
      <x:c r="AU23" s="89"/>
      <x:c r="AV23" s="89"/>
      <x:c r="AW23" s="89"/>
      <x:c r="AX23" s="89"/>
      <x:c r="AY23" s="89"/>
      <x:c r="AZ23" s="89"/>
      <x:c r="BA23" s="89"/>
      <x:c r="BB23" s="89"/>
    </x:row>
    <x:row r="24">
      <x:c r="A24" s="88" t="n">
        <x:v>20</x:v>
      </x:c>
      <x:c r="B24" s="88" t="str">
        <x:v>S20_YSE</x:v>
      </x:c>
      <x:c r="C24" s="88" t="n">
        <x:v>22</x:v>
      </x:c>
      <x:c r="D24" s="89" t="n">
        <x:v>20</x:v>
      </x:c>
      <x:c r="E24" s="89" t="n">
        <x:v>3.799999999999999</x:v>
      </x:c>
      <x:c r="F24" s="98" t="str">
        <x:v>대체 후보 있음</x:v>
      </x:c>
      <x:c r="G24" s="95" t="n">
        <x:v>12.804</x:v>
      </x:c>
      <x:c r="H24" s="95" t="n">
        <x:v>17.056</x:v>
      </x:c>
      <x:c r="I24" s="95" t="n">
        <x:v>209.148</x:v>
      </x:c>
      <x:c r="J24" s="95" t="n">
        <x:v>231.312</x:v>
      </x:c>
      <x:c r="K24" s="95" t="n">
        <x:v>650.596</x:v>
      </x:c>
      <x:c r="L24" s="95" t="n">
        <x:v>663.312</x:v>
      </x:c>
      <x:c r="M24" s="95" t="n">
        <x:v>682.652</x:v>
      </x:c>
      <x:c r="N24" s="95" t="n">
        <x:v>694.828</x:v>
      </x:c>
      <x:c r="O24" s="95" t="n">
        <x:v>757.744</x:v>
      </x:c>
      <x:c r="P24" s="95" t="n">
        <x:v>762.404</x:v>
      </x:c>
      <x:c r="Q24" s="96" t="n">
        <x:v>773.586</x:v>
      </x:c>
      <x:c r="R24" s="95" t="n">
        <x:v>790.94</x:v>
      </x:c>
      <x:c r="S24" s="95" t="n">
        <x:v>838.1</x:v>
      </x:c>
      <x:c r="T24" s="95" t="n">
        <x:v>849.476</x:v>
      </x:c>
      <x:c r="U24" s="96" t="n">
        <x:v>897.9359999999999</x:v>
      </x:c>
      <x:c r="V24" s="95" t="n">
        <x:v>918.97</x:v>
      </x:c>
      <x:c r="W24" s="96" t="n">
        <x:v>930.568</x:v>
      </x:c>
      <x:c r="X24" s="95" t="n">
        <x:v>967.368</x:v>
      </x:c>
      <x:c r="Y24" s="96" t="n">
        <x:v>1157.908</x:v>
      </x:c>
      <x:c r="Z24" s="95" t="n">
        <x:v>1226.856</x:v>
      </x:c>
      <x:c r="AA24" s="89"/>
      <x:c r="AB24" s="89"/>
      <x:c r="AC24" s="89"/>
      <x:c r="AD24" s="89"/>
      <x:c r="AE24" s="89"/>
      <x:c r="AF24" s="89"/>
      <x:c r="AG24" s="89"/>
      <x:c r="AH24" s="89"/>
      <x:c r="AI24" s="89"/>
      <x:c r="AJ24" s="89"/>
      <x:c r="AK24" s="89"/>
      <x:c r="AL24" s="89"/>
      <x:c r="AM24" s="89"/>
      <x:c r="AN24" s="89"/>
      <x:c r="AO24" s="89"/>
      <x:c r="AP24" s="89"/>
      <x:c r="AQ24" s="89"/>
      <x:c r="AR24" s="89"/>
      <x:c r="AS24" s="89"/>
      <x:c r="AT24" s="89"/>
      <x:c r="AU24" s="89"/>
      <x:c r="AV24" s="89"/>
      <x:c r="AW24" s="89"/>
      <x:c r="AX24" s="89"/>
      <x:c r="AY24" s="89"/>
      <x:c r="AZ24" s="89"/>
      <x:c r="BA24" s="89"/>
      <x:c r="BB24" s="89"/>
    </x:row>
    <x:row r="25">
      <x:c r="A25" s="88" t="n">
        <x:v>21</x:v>
      </x:c>
      <x:c r="B25" s="88" t="str">
        <x:v>S21_PSJ</x:v>
      </x:c>
      <x:c r="C25" s="88" t="n">
        <x:v>22</x:v>
      </x:c>
      <x:c r="D25" s="89" t="n">
        <x:v>21</x:v>
      </x:c>
      <x:c r="E25" s="89" t="n">
        <x:v>-2.799999999999999</x:v>
      </x:c>
      <x:c r="F25" s="99" t="str">
        <x:v>자동 점검 통과</x:v>
      </x:c>
      <x:c r="G25" s="96" t="n">
        <x:v>17.152</x:v>
      </x:c>
      <x:c r="H25" s="96" t="n">
        <x:v>211.26</x:v>
      </x:c>
      <x:c r="I25" s="96" t="n">
        <x:v>232.604</x:v>
      </x:c>
      <x:c r="J25" s="96" t="n">
        <x:v>609.412</x:v>
      </x:c>
      <x:c r="K25" s="96" t="n">
        <x:v>652.108</x:v>
      </x:c>
      <x:c r="L25" s="96" t="n">
        <x:v>665.56</x:v>
      </x:c>
      <x:c r="M25" s="96" t="n">
        <x:v>685.54</x:v>
      </x:c>
      <x:c r="N25" s="96" t="n">
        <x:v>695.716</x:v>
      </x:c>
      <x:c r="O25" s="96" t="n">
        <x:v>790.748</x:v>
      </x:c>
      <x:c r="P25" s="96" t="n">
        <x:v>803.784</x:v>
      </x:c>
      <x:c r="Q25" s="96" t="n">
        <x:v>813.62</x:v>
      </x:c>
      <x:c r="R25" s="96" t="n">
        <x:v>860.1</x:v>
      </x:c>
      <x:c r="S25" s="96" t="n">
        <x:v>918.544</x:v>
      </x:c>
      <x:c r="T25" s="96" t="n">
        <x:v>934.792</x:v>
      </x:c>
      <x:c r="U25" s="96" t="n">
        <x:v>967.78</x:v>
      </x:c>
      <x:c r="V25" s="95" t="n">
        <x:v>1017.616</x:v>
      </x:c>
      <x:c r="W25" s="96" t="n">
        <x:v>1206.168</x:v>
      </x:c>
      <x:c r="X25" s="96" t="n">
        <x:v>1245.264</x:v>
      </x:c>
      <x:c r="Y25" s="96" t="n">
        <x:v>1268.092</x:v>
      </x:c>
      <x:c r="Z25" s="96" t="n">
        <x:v>1303.896</x:v>
      </x:c>
      <x:c r="AA25" s="96" t="n">
        <x:v>1314.332</x:v>
      </x:c>
      <x:c r="AB25" s="89"/>
      <x:c r="AC25" s="89"/>
      <x:c r="AD25" s="89"/>
      <x:c r="AE25" s="89"/>
      <x:c r="AF25" s="89"/>
      <x:c r="AG25" s="89"/>
      <x:c r="AH25" s="89"/>
      <x:c r="AI25" s="89"/>
      <x:c r="AJ25" s="89"/>
      <x:c r="AK25" s="89"/>
      <x:c r="AL25" s="89"/>
      <x:c r="AM25" s="89"/>
      <x:c r="AN25" s="89"/>
      <x:c r="AO25" s="89"/>
      <x:c r="AP25" s="89"/>
      <x:c r="AQ25" s="89"/>
      <x:c r="AR25" s="89"/>
      <x:c r="AS25" s="89"/>
      <x:c r="AT25" s="89"/>
      <x:c r="AU25" s="89"/>
      <x:c r="AV25" s="89"/>
      <x:c r="AW25" s="89"/>
      <x:c r="AX25" s="89"/>
      <x:c r="AY25" s="89"/>
      <x:c r="AZ25" s="89"/>
      <x:c r="BA25" s="89"/>
      <x:c r="BB25" s="89"/>
    </x:row>
    <x:row r="26">
      <x:c r="A26" s="88" t="n">
        <x:v>22</x:v>
      </x:c>
      <x:c r="B26" s="88" t="str">
        <x:v>S22_KJH</x:v>
      </x:c>
      <x:c r="C26" s="88" t="n">
        <x:v>22</x:v>
      </x:c>
      <x:c r="D26" s="89" t="n">
        <x:v>18</x:v>
      </x:c>
      <x:c r="E26" s="89" t="n">
        <x:v>-3.1999999999999993</x:v>
      </x:c>
      <x:c r="F26" s="97" t="str">
        <x:v>후보군 검토 필요</x:v>
      </x:c>
      <x:c r="G26" s="95" t="n">
        <x:v>696.598</x:v>
      </x:c>
      <x:c r="H26" s="95" t="n">
        <x:v>712.988</x:v>
      </x:c>
      <x:c r="I26" s="95" t="n">
        <x:v>730.828</x:v>
      </x:c>
      <x:c r="J26" s="95" t="n">
        <x:v>811.092</x:v>
      </x:c>
      <x:c r="K26" s="95" t="n">
        <x:v>819.434</x:v>
      </x:c>
      <x:c r="L26" s="95" t="n">
        <x:v>832.152</x:v>
      </x:c>
      <x:c r="M26" s="95" t="n">
        <x:v>844.876</x:v>
      </x:c>
      <x:c r="N26" s="95" t="n">
        <x:v>891.748</x:v>
      </x:c>
      <x:c r="O26" s="95" t="n">
        <x:v>902.04</x:v>
      </x:c>
      <x:c r="P26" s="95" t="n">
        <x:v>950.356</x:v>
      </x:c>
      <x:c r="Q26" s="95" t="n">
        <x:v>968.6053333333333</x:v>
      </x:c>
      <x:c r="R26" s="95" t="n">
        <x:v>979.448</x:v>
      </x:c>
      <x:c r="S26" s="95" t="n">
        <x:v>1047.504</x:v>
      </x:c>
      <x:c r="T26" s="95" t="n">
        <x:v>1236.884</x:v>
      </x:c>
      <x:c r="U26" s="95" t="n">
        <x:v>1282.22</x:v>
      </x:c>
      <x:c r="V26" s="95" t="n">
        <x:v>1306.676</x:v>
      </x:c>
      <x:c r="W26" s="95" t="n">
        <x:v>1339.336</x:v>
      </x:c>
      <x:c r="X26" s="95" t="n">
        <x:v>1353.08</x:v>
      </x:c>
      <x:c r="Y26" s="89"/>
      <x:c r="Z26" s="89"/>
      <x:c r="AA26" s="89"/>
      <x:c r="AB26" s="89"/>
      <x:c r="AC26" s="89"/>
      <x:c r="AD26" s="89"/>
      <x:c r="AE26" s="89"/>
      <x:c r="AF26" s="89"/>
      <x:c r="AG26" s="89"/>
      <x:c r="AH26" s="89"/>
      <x:c r="AI26" s="89"/>
      <x:c r="AJ26" s="89"/>
      <x:c r="AK26" s="89"/>
      <x:c r="AL26" s="89"/>
      <x:c r="AM26" s="89"/>
      <x:c r="AN26" s="89"/>
      <x:c r="AO26" s="89"/>
      <x:c r="AP26" s="89"/>
      <x:c r="AQ26" s="89"/>
      <x:c r="AR26" s="89"/>
      <x:c r="AS26" s="89"/>
      <x:c r="AT26" s="89"/>
      <x:c r="AU26" s="89"/>
      <x:c r="AV26" s="89"/>
      <x:c r="AW26" s="89"/>
      <x:c r="AX26" s="89"/>
      <x:c r="AY26" s="89"/>
      <x:c r="AZ26" s="89"/>
      <x:c r="BA26" s="89"/>
      <x:c r="BB26" s="89"/>
    </x:row>
    <x:row r="27">
      <x:c r="A27" s="88" t="n">
        <x:v>23</x:v>
      </x:c>
      <x:c r="B27" s="88" t="str">
        <x:v>S23_KDM</x:v>
      </x:c>
      <x:c r="C27" s="88" t="n">
        <x:v>22</x:v>
      </x:c>
      <x:c r="D27" s="89" t="n">
        <x:v>23</x:v>
      </x:c>
      <x:c r="E27" s="89" t="n">
        <x:v>-0.1999999999999993</x:v>
      </x:c>
      <x:c r="F27" s="99" t="str">
        <x:v>자동 점검 통과</x:v>
      </x:c>
      <x:c r="G27" s="95" t="n">
        <x:v>8.732</x:v>
      </x:c>
      <x:c r="H27" s="95" t="n">
        <x:v>204.5</x:v>
      </x:c>
      <x:c r="I27" s="95" t="n">
        <x:v>221.392</x:v>
      </x:c>
      <x:c r="J27" s="96" t="n">
        <x:v>228.69</x:v>
      </x:c>
      <x:c r="K27" s="95" t="n">
        <x:v>595.224</x:v>
      </x:c>
      <x:c r="L27" s="95" t="n">
        <x:v>651.696</x:v>
      </x:c>
      <x:c r="M27" s="95" t="n">
        <x:v>662.788</x:v>
      </x:c>
      <x:c r="N27" s="95" t="n">
        <x:v>681.944</x:v>
      </x:c>
      <x:c r="O27" s="95" t="n">
        <x:v>694.268</x:v>
      </x:c>
      <x:c r="P27" s="95" t="n">
        <x:v>747.812</x:v>
      </x:c>
      <x:c r="Q27" s="96" t="n">
        <x:v>757.462</x:v>
      </x:c>
      <x:c r="R27" s="95" t="n">
        <x:v>769.604</x:v>
      </x:c>
      <x:c r="S27" s="95" t="n">
        <x:v>811.264</x:v>
      </x:c>
      <x:c r="T27" s="95" t="n">
        <x:v>825.8426666666668</x:v>
      </x:c>
      <x:c r="U27" s="95" t="n">
        <x:v>872.592</x:v>
      </x:c>
      <x:c r="V27" s="95" t="n">
        <x:v>891.608</x:v>
      </x:c>
      <x:c r="W27" s="96" t="n">
        <x:v>899.46</x:v>
      </x:c>
      <x:c r="X27" s="95" t="n">
        <x:v>938.336</x:v>
      </x:c>
      <x:c r="Y27" s="95" t="n">
        <x:v>1121.996</x:v>
      </x:c>
      <x:c r="Z27" s="95" t="n">
        <x:v>1139.092</x:v>
      </x:c>
      <x:c r="AA27" s="95" t="n">
        <x:v>1162.356</x:v>
      </x:c>
      <x:c r="AB27" s="95" t="n">
        <x:v>1185.416</x:v>
      </x:c>
      <x:c r="AC27" s="95" t="n">
        <x:v>1203.124</x:v>
      </x:c>
      <x:c r="AD27" s="89"/>
      <x:c r="AE27" s="89"/>
      <x:c r="AF27" s="89"/>
      <x:c r="AG27" s="89"/>
      <x:c r="AH27" s="89"/>
      <x:c r="AI27" s="89"/>
      <x:c r="AJ27" s="89"/>
      <x:c r="AK27" s="89"/>
      <x:c r="AL27" s="89"/>
      <x:c r="AM27" s="89"/>
      <x:c r="AN27" s="89"/>
      <x:c r="AO27" s="89"/>
      <x:c r="AP27" s="89"/>
      <x:c r="AQ27" s="89"/>
      <x:c r="AR27" s="89"/>
      <x:c r="AS27" s="89"/>
      <x:c r="AT27" s="89"/>
      <x:c r="AU27" s="89"/>
      <x:c r="AV27" s="89"/>
      <x:c r="AW27" s="89"/>
      <x:c r="AX27" s="89"/>
      <x:c r="AY27" s="89"/>
      <x:c r="AZ27" s="89"/>
      <x:c r="BA27" s="89"/>
      <x:c r="BB27" s="89"/>
    </x:row>
    <x:row r="28">
      <x:c r="A28" s="88" t="n">
        <x:v>24</x:v>
      </x:c>
      <x:c r="B28" s="88" t="str">
        <x:v>S24_KHJ</x:v>
      </x:c>
      <x:c r="C28" s="88" t="n">
        <x:v>22</x:v>
      </x:c>
      <x:c r="D28" s="89" t="n">
        <x:v>3</x:v>
      </x:c>
      <x:c r="E28" s="89"/>
      <x:c r="F28" s="94" t="str">
        <x:v>원본 누락</x:v>
      </x:c>
      <x:c r="G28" s="95" t="n">
        <x:v>897.512</x:v>
      </x:c>
      <x:c r="H28" s="95" t="n">
        <x:v>955.52</x:v>
      </x:c>
      <x:c r="I28" s="95" t="n">
        <x:v>1345.4</x:v>
      </x:c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  <x:c r="AA28" s="89"/>
      <x:c r="AB28" s="89"/>
      <x:c r="AC28" s="89"/>
      <x:c r="AD28" s="89"/>
      <x:c r="AE28" s="89"/>
      <x:c r="AF28" s="89"/>
      <x:c r="AG28" s="89"/>
      <x:c r="AH28" s="89"/>
      <x:c r="AI28" s="89"/>
      <x:c r="AJ28" s="89"/>
      <x:c r="AK28" s="89"/>
      <x:c r="AL28" s="89"/>
      <x:c r="AM28" s="89"/>
      <x:c r="AN28" s="89"/>
      <x:c r="AO28" s="89"/>
      <x:c r="AP28" s="89"/>
      <x:c r="AQ28" s="89"/>
      <x:c r="AR28" s="89"/>
      <x:c r="AS28" s="89"/>
      <x:c r="AT28" s="89"/>
      <x:c r="AU28" s="89"/>
      <x:c r="AV28" s="89"/>
      <x:c r="AW28" s="89"/>
      <x:c r="AX28" s="89"/>
      <x:c r="AY28" s="89"/>
      <x:c r="AZ28" s="89"/>
      <x:c r="BA28" s="89"/>
      <x:c r="BB28" s="89"/>
    </x:row>
    <x:row r="29">
      <x:c r="A29" s="88" t="n">
        <x:v>25</x:v>
      </x:c>
      <x:c r="B29" s="88" t="str">
        <x:v>S25_GEC</x:v>
      </x:c>
      <x:c r="C29" s="88" t="n">
        <x:v>22</x:v>
      </x:c>
      <x:c r="D29" s="89" t="n">
        <x:v>27</x:v>
      </x:c>
      <x:c r="E29" s="89" t="n">
        <x:v>-2.5</x:v>
      </x:c>
      <x:c r="F29" s="98" t="str">
        <x:v>대체 후보 있음</x:v>
      </x:c>
      <x:c r="G29" s="95" t="n">
        <x:v>12.704</x:v>
      </x:c>
      <x:c r="H29" s="95" t="n">
        <x:v>210.508</x:v>
      </x:c>
      <x:c r="I29" s="96" t="n">
        <x:v>214.784</x:v>
      </x:c>
      <x:c r="J29" s="95" t="n">
        <x:v>230.968</x:v>
      </x:c>
      <x:c r="K29" s="95" t="n">
        <x:v>603.884</x:v>
      </x:c>
      <x:c r="L29" s="95" t="n">
        <x:v>693.87</x:v>
      </x:c>
      <x:c r="M29" s="95" t="n">
        <x:v>716.632</x:v>
      </x:c>
      <x:c r="N29" s="95" t="n">
        <x:v>732.604</x:v>
      </x:c>
      <x:c r="O29" s="95" t="n">
        <x:v>743.264</x:v>
      </x:c>
      <x:c r="P29" s="95" t="n">
        <x:v>841.968</x:v>
      </x:c>
      <x:c r="Q29" s="95" t="n">
        <x:v>857.676</x:v>
      </x:c>
      <x:c r="R29" s="95" t="n">
        <x:v>868.524</x:v>
      </x:c>
      <x:c r="S29" s="95" t="n">
        <x:v>913.492</x:v>
      </x:c>
      <x:c r="T29" s="95" t="n">
        <x:v>917.876</x:v>
      </x:c>
      <x:c r="U29" s="95" t="n">
        <x:v>927.948</x:v>
      </x:c>
      <x:c r="V29" s="95" t="n">
        <x:v>977.884</x:v>
      </x:c>
      <x:c r="W29" s="95" t="n">
        <x:v>983.248</x:v>
      </x:c>
      <x:c r="X29" s="95" t="n">
        <x:v>1002.116</x:v>
      </x:c>
      <x:c r="Y29" s="95" t="n">
        <x:v>1015.892</x:v>
      </x:c>
      <x:c r="Z29" s="95" t="n">
        <x:v>1087.524</x:v>
      </x:c>
      <x:c r="AA29" s="95" t="n">
        <x:v>1277.88</x:v>
      </x:c>
      <x:c r="AB29" s="95" t="n">
        <x:v>1305.692</x:v>
      </x:c>
      <x:c r="AC29" s="95" t="n">
        <x:v>1313.396</x:v>
      </x:c>
      <x:c r="AD29" s="96" t="n">
        <x:v>1318.748</x:v>
      </x:c>
      <x:c r="AE29" s="95" t="n">
        <x:v>1339.38</x:v>
      </x:c>
      <x:c r="AF29" s="95" t="n">
        <x:v>1367.112</x:v>
      </x:c>
      <x:c r="AG29" s="95" t="n">
        <x:v>1381.38</x:v>
      </x:c>
      <x:c r="AH29" s="89"/>
      <x:c r="AI29" s="89"/>
      <x:c r="AJ29" s="89"/>
      <x:c r="AK29" s="89"/>
      <x:c r="AL29" s="89"/>
      <x:c r="AM29" s="89"/>
      <x:c r="AN29" s="89"/>
      <x:c r="AO29" s="89"/>
      <x:c r="AP29" s="89"/>
      <x:c r="AQ29" s="89"/>
      <x:c r="AR29" s="89"/>
      <x:c r="AS29" s="89"/>
      <x:c r="AT29" s="89"/>
      <x:c r="AU29" s="89"/>
      <x:c r="AV29" s="89"/>
      <x:c r="AW29" s="89"/>
      <x:c r="AX29" s="89"/>
      <x:c r="AY29" s="89"/>
      <x:c r="AZ29" s="89"/>
      <x:c r="BA29" s="89"/>
      <x:c r="BB29" s="89"/>
    </x:row>
    <x:row r="30">
      <x:c r="A30" s="88" t="n">
        <x:v>26</x:v>
      </x:c>
      <x:c r="B30" s="88" t="str">
        <x:v>S26_LDW</x:v>
      </x:c>
      <x:c r="C30" s="88" t="n">
        <x:v>22</x:v>
      </x:c>
      <x:c r="D30" s="89" t="n">
        <x:v>22</x:v>
      </x:c>
      <x:c r="E30" s="89" t="n">
        <x:v>-0.09999999999999964</x:v>
      </x:c>
      <x:c r="F30" s="99" t="str">
        <x:v>자동 점검 통과</x:v>
      </x:c>
      <x:c r="G30" s="96" t="n">
        <x:v>12.488</x:v>
      </x:c>
      <x:c r="H30" s="96" t="n">
        <x:v>206.744</x:v>
      </x:c>
      <x:c r="I30" s="96" t="n">
        <x:v>257.032</x:v>
      </x:c>
      <x:c r="J30" s="96" t="n">
        <x:v>632.96</x:v>
      </x:c>
      <x:c r="K30" s="96" t="n">
        <x:v>686.972</x:v>
      </x:c>
      <x:c r="L30" s="96" t="n">
        <x:v>699.86</x:v>
      </x:c>
      <x:c r="M30" s="96" t="n">
        <x:v>718.572</x:v>
      </x:c>
      <x:c r="N30" s="96" t="n">
        <x:v>730.7</x:v>
      </x:c>
      <x:c r="O30" s="96" t="n">
        <x:v>788.32</x:v>
      </x:c>
      <x:c r="P30" s="96" t="n">
        <x:v>804.876</x:v>
      </x:c>
      <x:c r="Q30" s="96" t="n">
        <x:v>819.174</x:v>
      </x:c>
      <x:c r="R30" s="96" t="n">
        <x:v>862.752</x:v>
      </x:c>
      <x:c r="S30" s="96" t="n">
        <x:v>874.136</x:v>
      </x:c>
      <x:c r="T30" s="96" t="n">
        <x:v>922.402</x:v>
      </x:c>
      <x:c r="U30" s="96" t="n">
        <x:v>944.796</x:v>
      </x:c>
      <x:c r="V30" s="96" t="n">
        <x:v>958.012</x:v>
      </x:c>
      <x:c r="W30" s="96" t="n">
        <x:v>1021.584</x:v>
      </x:c>
      <x:c r="X30" s="95" t="n">
        <x:v>1211.124</x:v>
      </x:c>
      <x:c r="Y30" s="96" t="n">
        <x:v>1230.42</x:v>
      </x:c>
      <x:c r="Z30" s="96" t="n">
        <x:v>1258.288</x:v>
      </x:c>
      <x:c r="AA30" s="96" t="n">
        <x:v>1278.998</x:v>
      </x:c>
      <x:c r="AB30" s="96" t="n">
        <x:v>1292.74</x:v>
      </x:c>
      <x:c r="AC30" s="89"/>
      <x:c r="AD30" s="89"/>
      <x:c r="AE30" s="89"/>
      <x:c r="AF30" s="89"/>
      <x:c r="AG30" s="89"/>
      <x:c r="AH30" s="89"/>
      <x:c r="AI30" s="89"/>
      <x:c r="AJ30" s="89"/>
      <x:c r="AK30" s="89"/>
      <x:c r="AL30" s="89"/>
      <x:c r="AM30" s="89"/>
      <x:c r="AN30" s="89"/>
      <x:c r="AO30" s="89"/>
      <x:c r="AP30" s="89"/>
      <x:c r="AQ30" s="89"/>
      <x:c r="AR30" s="89"/>
      <x:c r="AS30" s="89"/>
      <x:c r="AT30" s="89"/>
      <x:c r="AU30" s="89"/>
      <x:c r="AV30" s="89"/>
      <x:c r="AW30" s="89"/>
      <x:c r="AX30" s="89"/>
      <x:c r="AY30" s="89"/>
      <x:c r="AZ30" s="89"/>
      <x:c r="BA30" s="89"/>
      <x:c r="BB30" s="89"/>
    </x:row>
    <x:row r="31">
      <x:c r="A31" s="88" t="n">
        <x:v>27</x:v>
      </x:c>
      <x:c r="B31" s="88" t="str">
        <x:v>S27_HDH</x:v>
      </x:c>
      <x:c r="C31" s="88" t="n">
        <x:v>22</x:v>
      </x:c>
      <x:c r="D31" s="89" t="n">
        <x:v>22</x:v>
      </x:c>
      <x:c r="E31" s="89" t="n">
        <x:v>3.6999999999999993</x:v>
      </x:c>
      <x:c r="F31" s="94" t="str">
        <x:v>수동값/원시 불일치</x:v>
      </x:c>
      <x:c r="G31" s="95" t="n">
        <x:v>3.484</x:v>
      </x:c>
      <x:c r="H31" s="96" t="n">
        <x:v>10.241333333333333</x:v>
      </x:c>
      <x:c r="I31" s="95" t="n">
        <x:v>207.35333333333335</x:v>
      </x:c>
      <x:c r="J31" s="95" t="n">
        <x:v>228.9551111111111</x:v>
      </x:c>
      <x:c r="K31" s="95" t="n">
        <x:v>603.633142857143</x:v>
      </x:c>
      <x:c r="L31" s="96" t="n">
        <x:v>653.508</x:v>
      </x:c>
      <x:c r="M31" s="95" t="n">
        <x:v>670.75</x:v>
      </x:c>
      <x:c r="N31" s="95" t="n">
        <x:v>689.056</x:v>
      </x:c>
      <x:c r="O31" s="95" t="n">
        <x:v>701.792</x:v>
      </x:c>
      <x:c r="P31" s="96" t="n">
        <x:v>759.6048000000001</x:v>
      </x:c>
      <x:c r="Q31" s="95" t="n">
        <x:v>773.8696</x:v>
      </x:c>
      <x:c r="R31" s="96" t="n">
        <x:v>785.322</x:v>
      </x:c>
      <x:c r="S31" s="95" t="n">
        <x:v>832.262</x:v>
      </x:c>
      <x:c r="T31" s="95" t="n">
        <x:v>845.8013333333333</x:v>
      </x:c>
      <x:c r="U31" s="95" t="n">
        <x:v>895.289</x:v>
      </x:c>
      <x:c r="V31" s="95" t="n">
        <x:v>916.8856000000002</x:v>
      </x:c>
      <x:c r="W31" s="96" t="n">
        <x:v>927.708</x:v>
      </x:c>
      <x:c r="X31" s="96" t="n">
        <x:v>975.3104</x:v>
      </x:c>
      <x:c r="Y31" s="96" t="n">
        <x:v>1163.9486666666667</x:v>
      </x:c>
      <x:c r="Z31" s="95" t="n">
        <x:v>1189.6239999999998</x:v>
      </x:c>
      <x:c r="AA31" s="96" t="n">
        <x:v>1229.754</x:v>
      </x:c>
      <x:c r="AB31" s="95" t="n">
        <x:v>1241.7933333333333</x:v>
      </x:c>
      <x:c r="AC31" s="89"/>
      <x:c r="AD31" s="89"/>
      <x:c r="AE31" s="89"/>
      <x:c r="AF31" s="89"/>
      <x:c r="AG31" s="89"/>
      <x:c r="AH31" s="89"/>
      <x:c r="AI31" s="89"/>
      <x:c r="AJ31" s="89"/>
      <x:c r="AK31" s="89"/>
      <x:c r="AL31" s="89"/>
      <x:c r="AM31" s="89"/>
      <x:c r="AN31" s="89"/>
      <x:c r="AO31" s="89"/>
      <x:c r="AP31" s="89"/>
      <x:c r="AQ31" s="89"/>
      <x:c r="AR31" s="89"/>
      <x:c r="AS31" s="89"/>
      <x:c r="AT31" s="89"/>
      <x:c r="AU31" s="89"/>
      <x:c r="AV31" s="89"/>
      <x:c r="AW31" s="89"/>
      <x:c r="AX31" s="89"/>
      <x:c r="AY31" s="89"/>
      <x:c r="AZ31" s="89"/>
      <x:c r="BA31" s="89"/>
      <x:c r="BB31" s="89"/>
    </x:row>
    <x:row r="32">
      <x:c r="A32" s="88" t="n">
        <x:v>28</x:v>
      </x:c>
      <x:c r="B32" s="88" t="str">
        <x:v>S28_KDH</x:v>
      </x:c>
      <x:c r="C32" s="88" t="n">
        <x:v>22</x:v>
      </x:c>
      <x:c r="D32" s="89" t="n">
        <x:v>18</x:v>
      </x:c>
      <x:c r="E32" s="89" t="n">
        <x:v>3.299999999999999</x:v>
      </x:c>
      <x:c r="F32" s="99" t="str">
        <x:v>자동 점검 통과</x:v>
      </x:c>
      <x:c r="G32" s="96" t="n">
        <x:v>17.724</x:v>
      </x:c>
      <x:c r="H32" s="95" t="n">
        <x:v>21.828</x:v>
      </x:c>
      <x:c r="I32" s="96" t="n">
        <x:v>618.5799999999999</x:v>
      </x:c>
      <x:c r="J32" s="96" t="n">
        <x:v>713.7853333333333</x:v>
      </x:c>
      <x:c r="K32" s="96" t="n">
        <x:v>727.96</x:v>
      </x:c>
      <x:c r="L32" s="96" t="n">
        <x:v>792.14</x:v>
      </x:c>
      <x:c r="M32" s="95" t="n">
        <x:v>796.192</x:v>
      </x:c>
      <x:c r="N32" s="96" t="n">
        <x:v>809.1220000000001</x:v>
      </x:c>
      <x:c r="O32" s="96" t="n">
        <x:v>821</x:v>
      </x:c>
      <x:c r="P32" s="96" t="n">
        <x:v>870.9986666666667</x:v>
      </x:c>
      <x:c r="Q32" s="96" t="n">
        <x:v>883.4559999999999</x:v>
      </x:c>
      <x:c r="R32" s="96" t="n">
        <x:v>931.36</x:v>
      </x:c>
      <x:c r="S32" s="96" t="n">
        <x:v>962.42</x:v>
      </x:c>
      <x:c r="T32" s="96" t="n">
        <x:v>1005.76</x:v>
      </x:c>
      <x:c r="U32" s="96" t="n">
        <x:v>1216.452</x:v>
      </x:c>
      <x:c r="V32" s="96" t="n">
        <x:v>1245.04</x:v>
      </x:c>
      <x:c r="W32" s="96" t="n">
        <x:v>1268.572</x:v>
      </x:c>
      <x:c r="X32" s="96" t="n">
        <x:v>1281.56</x:v>
      </x:c>
      <x:c r="Y32" s="89"/>
      <x:c r="Z32" s="89"/>
      <x:c r="AA32" s="89"/>
      <x:c r="AB32" s="89"/>
      <x:c r="AC32" s="89"/>
      <x:c r="AD32" s="89"/>
      <x:c r="AE32" s="89"/>
      <x:c r="AF32" s="89"/>
      <x:c r="AG32" s="89"/>
      <x:c r="AH32" s="89"/>
      <x:c r="AI32" s="89"/>
      <x:c r="AJ32" s="89"/>
      <x:c r="AK32" s="89"/>
      <x:c r="AL32" s="89"/>
      <x:c r="AM32" s="89"/>
      <x:c r="AN32" s="89"/>
      <x:c r="AO32" s="89"/>
      <x:c r="AP32" s="89"/>
      <x:c r="AQ32" s="89"/>
      <x:c r="AR32" s="89"/>
      <x:c r="AS32" s="89"/>
      <x:c r="AT32" s="89"/>
      <x:c r="AU32" s="89"/>
      <x:c r="AV32" s="89"/>
      <x:c r="AW32" s="89"/>
      <x:c r="AX32" s="89"/>
      <x:c r="AY32" s="89"/>
      <x:c r="AZ32" s="89"/>
      <x:c r="BA32" s="89"/>
      <x:c r="BB32" s="89"/>
    </x:row>
    <x:row r="33">
      <x:c r="A33" s="88" t="n">
        <x:v>29</x:v>
      </x:c>
      <x:c r="B33" s="88" t="str">
        <x:v>S29_LHS</x:v>
      </x:c>
      <x:c r="C33" s="88" t="n">
        <x:v>22</x:v>
      </x:c>
      <x:c r="D33" s="89" t="n">
        <x:v>23</x:v>
      </x:c>
      <x:c r="E33" s="89" t="n">
        <x:v>0.6999999999999993</x:v>
      </x:c>
      <x:c r="F33" s="94" t="str">
        <x:v>수동값/원시 불일치</x:v>
      </x:c>
      <x:c r="G33" s="96" t="n">
        <x:v>18.484</x:v>
      </x:c>
      <x:c r="H33" s="96" t="n">
        <x:v>210.52400000000003</x:v>
      </x:c>
      <x:c r="I33" s="96" t="n">
        <x:v>233.084</x:v>
      </x:c>
      <x:c r="J33" s="96" t="n">
        <x:v>607.368</x:v>
      </x:c>
      <x:c r="K33" s="96" t="n">
        <x:v>653.1859999999999</x:v>
      </x:c>
      <x:c r="L33" s="96" t="n">
        <x:v>667.364</x:v>
      </x:c>
      <x:c r="M33" s="96" t="n">
        <x:v>683.12</x:v>
      </x:c>
      <x:c r="N33" s="96" t="n">
        <x:v>696.528</x:v>
      </x:c>
      <x:c r="O33" s="96" t="n">
        <x:v>764.84</x:v>
      </x:c>
      <x:c r="P33" s="96" t="n">
        <x:v>781.932</x:v>
      </x:c>
      <x:c r="Q33" s="96" t="n">
        <x:v>791.5</x:v>
      </x:c>
      <x:c r="R33" s="96" t="n">
        <x:v>838.04</x:v>
      </x:c>
      <x:c r="S33" s="96" t="n">
        <x:v>849.392</x:v>
      </x:c>
      <x:c r="T33" s="96" t="n">
        <x:v>897.644</x:v>
      </x:c>
      <x:c r="U33" s="96" t="n">
        <x:v>915.2</x:v>
      </x:c>
      <x:c r="V33" s="96" t="n">
        <x:v>927.924</x:v>
      </x:c>
      <x:c r="W33" s="95" t="n">
        <x:v>970.396</x:v>
      </x:c>
      <x:c r="X33" s="95" t="n">
        <x:v>975.7</x:v>
      </x:c>
      <x:c r="Y33" s="96" t="n">
        <x:v>1159.24</x:v>
      </x:c>
      <x:c r="Z33" s="96" t="n">
        <x:v>1187.68</x:v>
      </x:c>
      <x:c r="AA33" s="96" t="n">
        <x:v>1210.9746666666667</x:v>
      </x:c>
      <x:c r="AB33" s="96" t="n">
        <x:v>1237.628</x:v>
      </x:c>
      <x:c r="AC33" s="96" t="n">
        <x:v>1252.3200000000002</x:v>
      </x:c>
      <x:c r="AD33" s="89"/>
      <x:c r="AE33" s="89"/>
      <x:c r="AF33" s="89"/>
      <x:c r="AG33" s="89"/>
      <x:c r="AH33" s="89"/>
      <x:c r="AI33" s="89"/>
      <x:c r="AJ33" s="89"/>
      <x:c r="AK33" s="89"/>
      <x:c r="AL33" s="89"/>
      <x:c r="AM33" s="89"/>
      <x:c r="AN33" s="89"/>
      <x:c r="AO33" s="89"/>
      <x:c r="AP33" s="89"/>
      <x:c r="AQ33" s="89"/>
      <x:c r="AR33" s="89"/>
      <x:c r="AS33" s="89"/>
      <x:c r="AT33" s="89"/>
      <x:c r="AU33" s="89"/>
      <x:c r="AV33" s="89"/>
      <x:c r="AW33" s="89"/>
      <x:c r="AX33" s="89"/>
      <x:c r="AY33" s="89"/>
      <x:c r="AZ33" s="89"/>
      <x:c r="BA33" s="89"/>
      <x:c r="BB33" s="89"/>
    </x:row>
    <x:row r="34">
      <x:c r="A34" s="90" t="n">
        <x:v>30</x:v>
      </x:c>
      <x:c r="B34" s="90" t="str">
        <x:v>S30_SJE</x:v>
      </x:c>
      <x:c r="C34" s="90" t="n">
        <x:v>22</x:v>
      </x:c>
      <x:c r="D34" s="91" t="n">
        <x:v>5</x:v>
      </x:c>
      <x:c r="E34" s="91" t="n">
        <x:v>11.6</x:v>
      </x:c>
      <x:c r="F34" s="100" t="str">
        <x:v>수동값/원시 불일치</x:v>
      </x:c>
      <x:c r="G34" s="101" t="n">
        <x:v>688.476</x:v>
      </x:c>
      <x:c r="H34" s="102" t="n">
        <x:v>722.752</x:v>
      </x:c>
      <x:c r="I34" s="101" t="n">
        <x:v>812.788</x:v>
      </x:c>
      <x:c r="J34" s="101" t="n">
        <x:v>856.148</x:v>
      </x:c>
      <x:c r="K34" s="101" t="n">
        <x:v>1266.372</x:v>
      </x:c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  <x:c r="AT34" s="91"/>
      <x:c r="AU34" s="91"/>
      <x:c r="AV34" s="91"/>
      <x:c r="AW34" s="91"/>
      <x:c r="AX34" s="91"/>
      <x:c r="AY34" s="91"/>
      <x:c r="AZ34" s="91"/>
      <x:c r="BA34" s="91"/>
      <x:c r="BB34" s="91"/>
    </x:row>
  </x:sheetData>
  <x:mergeCells>
    <x:mergeCell ref="A1:BB1"/>
    <x:mergeCell ref="A2:B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 ht="30" customHeight="1">
      <x:c r="A1" s="49" t="str">
        <x:v>참가자별 후보 마커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</x:row>
    <x:row r="2" ht="30" customHeight="1">
      <x:c r="A2" s="52" t="str">
        <x:v>초록=현재 선택, 파랑=시간패턴 추천(아직 미확정), 노랑=같은 경계의 대체 후보, 회색=미선택. 레이더가 없으면 BIOPAC 시간만 표시합니다.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임계값(V)</x:v>
      </x:c>
      <x:c r="E4" s="65" t="str">
        <x:v>후보 수</x:v>
      </x:c>
      <x:c r="F4" s="65" t="str">
        <x:v>시간축</x:v>
      </x:c>
      <x:c r="G4" s="65" t="str">
        <x:v>선택 수</x:v>
      </x:c>
      <x:c r="H4" s="65" t="str">
        <x:v>판정</x:v>
      </x:c>
      <x:c r="I4" s="65" t="str">
        <x:v>후보 01 (s)</x:v>
      </x:c>
      <x:c r="J4" s="65" t="str">
        <x:v>후보 02 (s)</x:v>
      </x:c>
      <x:c r="K4" s="65" t="str">
        <x:v>후보 03 (s)</x:v>
      </x:c>
      <x:c r="L4" s="65" t="str">
        <x:v>후보 04 (s)</x:v>
      </x:c>
      <x:c r="M4" s="65" t="str">
        <x:v>후보 05 (s)</x:v>
      </x:c>
      <x:c r="N4" s="65" t="str">
        <x:v>후보 06 (s)</x:v>
      </x:c>
      <x:c r="O4" s="65" t="str">
        <x:v>후보 07 (s)</x:v>
      </x:c>
      <x:c r="P4" s="65" t="str">
        <x:v>후보 08 (s)</x:v>
      </x:c>
      <x:c r="Q4" s="65" t="str">
        <x:v>후보 09 (s)</x:v>
      </x:c>
      <x:c r="R4" s="65" t="str">
        <x:v>후보 10 (s)</x:v>
      </x:c>
      <x:c r="S4" s="65" t="str">
        <x:v>후보 11 (s)</x:v>
      </x:c>
      <x:c r="T4" s="65" t="str">
        <x:v>후보 12 (s)</x:v>
      </x:c>
      <x:c r="U4" s="65" t="str">
        <x:v>후보 13 (s)</x:v>
      </x:c>
      <x:c r="V4" s="65" t="str">
        <x:v>후보 14 (s)</x:v>
      </x:c>
      <x:c r="W4" s="65" t="str">
        <x:v>후보 15 (s)</x:v>
      </x:c>
      <x:c r="X4" s="65" t="str">
        <x:v>후보 16 (s)</x:v>
      </x:c>
      <x:c r="Y4" s="65" t="str">
        <x:v>후보 17 (s)</x:v>
      </x:c>
      <x:c r="Z4" s="65" t="str">
        <x:v>후보 18 (s)</x:v>
      </x:c>
      <x:c r="AA4" s="65" t="str">
        <x:v>후보 19 (s)</x:v>
      </x:c>
      <x:c r="AB4" s="65" t="str">
        <x:v>후보 20 (s)</x:v>
      </x:c>
      <x:c r="AC4" s="65" t="str">
        <x:v>후보 21 (s)</x:v>
      </x:c>
      <x:c r="AD4" s="65" t="str">
        <x:v>후보 22 (s)</x:v>
      </x:c>
      <x:c r="AE4" s="65" t="str">
        <x:v>후보 23 (s)</x:v>
      </x:c>
      <x:c r="AF4" s="65" t="str">
        <x:v>후보 24 (s)</x:v>
      </x:c>
      <x:c r="AG4" s="65" t="str">
        <x:v>후보 25 (s)</x:v>
      </x:c>
      <x:c r="AH4" s="65" t="str">
        <x:v>후보 26 (s)</x:v>
      </x:c>
      <x:c r="AI4" s="65" t="str">
        <x:v>후보 27 (s)</x:v>
      </x:c>
      <x:c r="AJ4" s="65" t="str">
        <x:v>후보 28 (s)</x:v>
      </x:c>
      <x:c r="AK4" s="65" t="str">
        <x:v>후보 29 (s)</x:v>
      </x:c>
      <x:c r="AL4" s="65" t="str">
        <x:v>후보 30 (s)</x:v>
      </x:c>
      <x:c r="AM4" s="65" t="str">
        <x:v>후보 31 (s)</x:v>
      </x:c>
      <x:c r="AN4" s="65" t="str">
        <x:v>후보 32 (s)</x:v>
      </x:c>
      <x:c r="AO4" s="65" t="str">
        <x:v>후보 33 (s)</x:v>
      </x:c>
    </x:row>
    <x:row r="5">
      <x:c r="A5" s="86" t="n">
        <x:v>1</x:v>
      </x:c>
      <x:c r="B5" s="86" t="str">
        <x:v>S01_CMS</x:v>
      </x:c>
      <x:c r="C5" s="86" t="n">
        <x:v>20</x:v>
      </x:c>
      <x:c r="D5" s="87" t="n">
        <x:v>5.5</x:v>
      </x:c>
      <x:c r="E5" s="86" t="n">
        <x:v>15</x:v>
      </x:c>
      <x:c r="F5" s="86" t="str">
        <x:v>레이더</x:v>
      </x:c>
      <x:c r="G5" s="86" t="n">
        <x:v>0</x:v>
      </x:c>
      <x:c r="H5" s="92" t="str">
        <x:v>후보군 검토 필요</x:v>
      </x:c>
      <x:c r="I5" s="93" t="n">
        <x:v>58.512</x:v>
      </x:c>
      <x:c r="J5" s="93" t="n">
        <x:v>245.772</x:v>
      </x:c>
      <x:c r="K5" s="93" t="n">
        <x:v>302.51599999999996</x:v>
      </x:c>
      <x:c r="L5" s="93" t="n">
        <x:v>729.192</x:v>
      </x:c>
      <x:c r="M5" s="93" t="n">
        <x:v>842.1160000000001</x:v>
      </x:c>
      <x:c r="N5" s="93" t="n">
        <x:v>860.008</x:v>
      </x:c>
      <x:c r="O5" s="93" t="n">
        <x:v>878.34</x:v>
      </x:c>
      <x:c r="P5" s="93" t="n">
        <x:v>1012.928</x:v>
      </x:c>
      <x:c r="Q5" s="93" t="n">
        <x:v>1020.2320000000001</x:v>
      </x:c>
      <x:c r="R5" s="93" t="n">
        <x:v>1026.12</x:v>
      </x:c>
      <x:c r="S5" s="93" t="n">
        <x:v>1080.3</x:v>
      </x:c>
      <x:c r="T5" s="93" t="n">
        <x:v>1131.4</x:v>
      </x:c>
      <x:c r="U5" s="93" t="n">
        <x:v>1414.324</x:v>
      </x:c>
      <x:c r="V5" s="93" t="n">
        <x:v>1478.724</x:v>
      </x:c>
      <x:c r="W5" s="93" t="n">
        <x:v>1491.42</x:v>
      </x:c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</x:row>
    <x:row r="6">
      <x:c r="A6" s="88" t="n">
        <x:v>2</x:v>
      </x:c>
      <x:c r="B6" s="88" t="str">
        <x:v>S02_RJS</x:v>
      </x:c>
      <x:c r="C6" s="88" t="n">
        <x:v>20</x:v>
      </x:c>
      <x:c r="D6" s="89" t="n">
        <x:v>7</x:v>
      </x:c>
      <x:c r="E6" s="88" t="n">
        <x:v>31</x:v>
      </x:c>
      <x:c r="F6" s="88" t="str">
        <x:v>레이더</x:v>
      </x:c>
      <x:c r="G6" s="88" t="n">
        <x:v>20</x:v>
      </x:c>
      <x:c r="H6" s="94" t="str">
        <x:v>수동값/원시 불일치</x:v>
      </x:c>
      <x:c r="I6" s="103" t="n">
        <x:v>15.624000000000002</x:v>
      </x:c>
      <x:c r="J6" s="103" t="n">
        <x:v>213.592</x:v>
      </x:c>
      <x:c r="K6" s="103" t="n">
        <x:v>239.15800000000002</x:v>
      </x:c>
      <x:c r="L6" s="95" t="n">
        <x:v>395.264</x:v>
      </x:c>
      <x:c r="M6" s="95" t="n">
        <x:v>480.32599999999996</x:v>
      </x:c>
      <x:c r="N6" s="95" t="n">
        <x:v>489.204</x:v>
      </x:c>
      <x:c r="O6" s="95" t="n">
        <x:v>494.8</x:v>
      </x:c>
      <x:c r="P6" s="95" t="n">
        <x:v>503.092</x:v>
      </x:c>
      <x:c r="Q6" s="95" t="n">
        <x:v>507.38399999999996</x:v>
      </x:c>
      <x:c r="R6" s="95" t="n">
        <x:v>516.7239999999999</x:v>
      </x:c>
      <x:c r="S6" s="95" t="n">
        <x:v>522.8639999999999</x:v>
      </x:c>
      <x:c r="T6" s="95" t="n">
        <x:v>532.952</x:v>
      </x:c>
      <x:c r="U6" s="96" t="n">
        <x:v>612.568</x:v>
      </x:c>
      <x:c r="V6" s="95" t="n">
        <x:v>643.5319999999999</x:v>
      </x:c>
      <x:c r="W6" s="95" t="n">
        <x:v>683.8119999999999</x:v>
      </x:c>
      <x:c r="X6" s="103" t="n">
        <x:v>702.3066666666666</x:v>
      </x:c>
      <x:c r="Y6" s="103" t="n">
        <x:v>715.7586666666667</x:v>
      </x:c>
      <x:c r="Z6" s="103" t="n">
        <x:v>734.06</x:v>
      </x:c>
      <x:c r="AA6" s="103" t="n">
        <x:v>747.56</x:v>
      </x:c>
      <x:c r="AB6" s="103" t="n">
        <x:v>768.1479999999999</x:v>
      </x:c>
      <x:c r="AC6" s="103" t="n">
        <x:v>836.156</x:v>
      </x:c>
      <x:c r="AD6" s="103" t="n">
        <x:v>844.8639999999999</x:v>
      </x:c>
      <x:c r="AE6" s="96" t="n">
        <x:v>894.64</x:v>
      </x:c>
      <x:c r="AF6" s="103" t="n">
        <x:v>908.756</x:v>
      </x:c>
      <x:c r="AG6" s="96" t="n">
        <x:v>942.168</x:v>
      </x:c>
      <x:c r="AH6" s="103" t="n">
        <x:v>959.2719999999999</x:v>
      </x:c>
      <x:c r="AI6" s="96" t="n">
        <x:v>999.756</x:v>
      </x:c>
      <x:c r="AJ6" s="103" t="n">
        <x:v>1225.984</x:v>
      </x:c>
      <x:c r="AK6" s="103" t="n">
        <x:v>1256.652</x:v>
      </x:c>
      <x:c r="AL6" s="103" t="n">
        <x:v>1279.088</x:v>
      </x:c>
      <x:c r="AM6" s="96" t="n">
        <x:v>1286.7659999999998</x:v>
      </x:c>
      <x:c r="AN6" s="89"/>
      <x:c r="AO6" s="89"/>
    </x:row>
    <x:row r="7">
      <x:c r="A7" s="88" t="n">
        <x:v>3</x:v>
      </x:c>
      <x:c r="B7" s="88" t="str">
        <x:v>S03_PSJ</x:v>
      </x:c>
      <x:c r="C7" s="88" t="n">
        <x:v>20</x:v>
      </x:c>
      <x:c r="D7" s="89" t="n">
        <x:v>8.5</x:v>
      </x:c>
      <x:c r="E7" s="88" t="n">
        <x:v>22</x:v>
      </x:c>
      <x:c r="F7" s="88" t="str">
        <x:v>레이더</x:v>
      </x:c>
      <x:c r="G7" s="88" t="n">
        <x:v>17</x:v>
      </x:c>
      <x:c r="H7" s="94" t="str">
        <x:v>선택 마커 수 불일치</x:v>
      </x:c>
      <x:c r="I7" s="103" t="n">
        <x:v>18.744</x:v>
      </x:c>
      <x:c r="J7" s="96" t="n">
        <x:v>24.644</x:v>
      </x:c>
      <x:c r="K7" s="103" t="n">
        <x:v>218.36</x:v>
      </x:c>
      <x:c r="L7" s="96" t="n">
        <x:v>276.85999999999996</x:v>
      </x:c>
      <x:c r="M7" s="96" t="n">
        <x:v>647.456</x:v>
      </x:c>
      <x:c r="N7" s="103" t="n">
        <x:v>750.1</x:v>
      </x:c>
      <x:c r="O7" s="95" t="n">
        <x:v>774.1</x:v>
      </x:c>
      <x:c r="P7" s="95" t="n">
        <x:v>792.6519999999999</x:v>
      </x:c>
      <x:c r="Q7" s="95" t="n">
        <x:v>805.14</x:v>
      </x:c>
      <x:c r="R7" s="95" t="n">
        <x:v>825.424</x:v>
      </x:c>
      <x:c r="S7" s="103" t="n">
        <x:v>930.6279999999999</x:v>
      </x:c>
      <x:c r="T7" s="103" t="n">
        <x:v>951.784</x:v>
      </x:c>
      <x:c r="U7" s="103" t="n">
        <x:v>968.732</x:v>
      </x:c>
      <x:c r="V7" s="103" t="n">
        <x:v>1012.292</x:v>
      </x:c>
      <x:c r="W7" s="103" t="n">
        <x:v>1024.2640000000001</x:v>
      </x:c>
      <x:c r="X7" s="103" t="n">
        <x:v>1076.776</x:v>
      </x:c>
      <x:c r="Y7" s="96" t="n">
        <x:v>1168.428</x:v>
      </x:c>
      <x:c r="Z7" s="103" t="n">
        <x:v>1355.4500000000003</x:v>
      </x:c>
      <x:c r="AA7" s="96" t="n">
        <x:v>1411.028</x:v>
      </x:c>
      <x:c r="AB7" s="103" t="n">
        <x:v>1438.928</x:v>
      </x:c>
      <x:c r="AC7" s="103" t="n">
        <x:v>1468.2613333333334</x:v>
      </x:c>
      <x:c r="AD7" s="96" t="n">
        <x:v>1479.66</x:v>
      </x:c>
      <x:c r="AE7" s="89"/>
      <x:c r="AF7" s="89"/>
      <x:c r="AG7" s="89"/>
      <x:c r="AH7" s="89"/>
      <x:c r="AI7" s="89"/>
      <x:c r="AJ7" s="89"/>
      <x:c r="AK7" s="89"/>
      <x:c r="AL7" s="89"/>
      <x:c r="AM7" s="89"/>
      <x:c r="AN7" s="89"/>
      <x:c r="AO7" s="89"/>
    </x:row>
    <x:row r="8">
      <x:c r="A8" s="88" t="n">
        <x:v>4</x:v>
      </x:c>
      <x:c r="B8" s="88" t="str">
        <x:v>S04_KTW</x:v>
      </x:c>
      <x:c r="C8" s="88" t="n">
        <x:v>22</x:v>
      </x:c>
      <x:c r="D8" s="89" t="n">
        <x:v>9</x:v>
      </x:c>
      <x:c r="E8" s="88" t="n">
        <x:v>27</x:v>
      </x:c>
      <x:c r="F8" s="88" t="str">
        <x:v>레이더</x:v>
      </x:c>
      <x:c r="G8" s="88" t="n">
        <x:v>22</x:v>
      </x:c>
      <x:c r="H8" s="97" t="str">
        <x:v>후보군 검토 필요</x:v>
      </x:c>
      <x:c r="I8" s="104" t="n">
        <x:v>22.63000000000003</x:v>
      </x:c>
      <x:c r="J8" s="103" t="n">
        <x:v>29.35600000000003</x:v>
      </x:c>
      <x:c r="K8" s="104" t="n">
        <x:v>223.48000000000002</x:v>
      </x:c>
      <x:c r="L8" s="104" t="n">
        <x:v>274.189</x:v>
      </x:c>
      <x:c r="M8" s="104" t="n">
        <x:v>647.2239999999999</x:v>
      </x:c>
      <x:c r="N8" s="104" t="n">
        <x:v>764.024</x:v>
      </x:c>
      <x:c r="O8" s="104" t="n">
        <x:v>774.656</x:v>
      </x:c>
      <x:c r="P8" s="104" t="n">
        <x:v>779.084</x:v>
      </x:c>
      <x:c r="Q8" s="104" t="n">
        <x:v>794.786</x:v>
      </x:c>
      <x:c r="R8" s="104" t="n">
        <x:v>898.178</x:v>
      </x:c>
      <x:c r="S8" s="104" t="n">
        <x:v>902.7959999999999</x:v>
      </x:c>
      <x:c r="T8" s="104" t="n">
        <x:v>914.2099999999999</x:v>
      </x:c>
      <x:c r="U8" s="104" t="n">
        <x:v>931.2773333333333</x:v>
      </x:c>
      <x:c r="V8" s="104" t="n">
        <x:v>976.98</x:v>
      </x:c>
      <x:c r="W8" s="104" t="n">
        <x:v>992.3439999999999</x:v>
      </x:c>
      <x:c r="X8" s="104" t="n">
        <x:v>1042.718</x:v>
      </x:c>
      <x:c r="Y8" s="104" t="n">
        <x:v>1059.2240000000002</x:v>
      </x:c>
      <x:c r="Z8" s="104" t="n">
        <x:v>1074.0400000000002</x:v>
      </x:c>
      <x:c r="AA8" s="104" t="n">
        <x:v>1143.382</x:v>
      </x:c>
      <x:c r="AB8" s="104" t="n">
        <x:v>1165.756</x:v>
      </x:c>
      <x:c r="AC8" s="104" t="n">
        <x:v>1185.46</x:v>
      </x:c>
      <x:c r="AD8" s="104" t="n">
        <x:v>1228.478</x:v>
      </x:c>
      <x:c r="AE8" s="95" t="n">
        <x:v>1437.852</x:v>
      </x:c>
      <x:c r="AF8" s="95" t="n">
        <x:v>1678.0880000000002</x:v>
      </x:c>
      <x:c r="AG8" s="95" t="n">
        <x:v>1709.336</x:v>
      </x:c>
      <x:c r="AH8" s="95" t="n">
        <x:v>1744.284</x:v>
      </x:c>
      <x:c r="AI8" s="104" t="n">
        <x:v>1762.66</x:v>
      </x:c>
      <x:c r="AJ8" s="89"/>
      <x:c r="AK8" s="89"/>
      <x:c r="AL8" s="89"/>
      <x:c r="AM8" s="89"/>
      <x:c r="AN8" s="89"/>
      <x:c r="AO8" s="89"/>
    </x:row>
    <x:row r="9">
      <x:c r="A9" s="88" t="n">
        <x:v>5</x:v>
      </x:c>
      <x:c r="B9" s="88" t="str">
        <x:v>S05_LHS</x:v>
      </x:c>
      <x:c r="C9" s="88" t="n">
        <x:v>22</x:v>
      </x:c>
      <x:c r="D9" s="89" t="n">
        <x:v>9</x:v>
      </x:c>
      <x:c r="E9" s="88" t="n">
        <x:v>24</x:v>
      </x:c>
      <x:c r="F9" s="88" t="str">
        <x:v>레이더</x:v>
      </x:c>
      <x:c r="G9" s="88" t="n">
        <x:v>22</x:v>
      </x:c>
      <x:c r="H9" s="98" t="str">
        <x:v>대체 후보 있음</x:v>
      </x:c>
      <x:c r="I9" s="96" t="n">
        <x:v>14.874000000000066</x:v>
      </x:c>
      <x:c r="J9" s="96" t="n">
        <x:v>209.65200000000004</x:v>
      </x:c>
      <x:c r="K9" s="96" t="n">
        <x:v>240.99200000000005</x:v>
      </x:c>
      <x:c r="L9" s="96" t="n">
        <x:v>612.2900000000001</x:v>
      </x:c>
      <x:c r="M9" s="96" t="n">
        <x:v>619.6480000000001</x:v>
      </x:c>
      <x:c r="N9" s="96" t="n">
        <x:v>655.5200000000001</x:v>
      </x:c>
      <x:c r="O9" s="96" t="n">
        <x:v>784.2480000000002</x:v>
      </x:c>
      <x:c r="P9" s="103" t="n">
        <x:v>806.2920000000001</x:v>
      </x:c>
      <x:c r="Q9" s="96" t="n">
        <x:v>820.4080000000001</x:v>
      </x:c>
      <x:c r="R9" s="96" t="n">
        <x:v>931.2760000000001</x:v>
      </x:c>
      <x:c r="S9" s="96" t="n">
        <x:v>946.9826666666669</x:v>
      </x:c>
      <x:c r="T9" s="96" t="n">
        <x:v>963.1380000000001</x:v>
      </x:c>
      <x:c r="U9" s="96" t="n">
        <x:v>1007.6920000000001</x:v>
      </x:c>
      <x:c r="V9" s="96" t="n">
        <x:v>1021.9960000000002</x:v>
      </x:c>
      <x:c r="W9" s="96" t="n">
        <x:v>1068.208</x:v>
      </x:c>
      <x:c r="X9" s="96" t="n">
        <x:v>1072.432</x:v>
      </x:c>
      <x:c r="Y9" s="96" t="n">
        <x:v>1088.96</x:v>
      </x:c>
      <x:c r="Z9" s="103" t="n">
        <x:v>1101.29</x:v>
      </x:c>
      <x:c r="AA9" s="96" t="n">
        <x:v>1201.568</x:v>
      </x:c>
      <x:c r="AB9" s="96" t="n">
        <x:v>1388.9540000000002</x:v>
      </x:c>
      <x:c r="AC9" s="96" t="n">
        <x:v>1438.34</x:v>
      </x:c>
      <x:c r="AD9" s="96" t="n">
        <x:v>1465.682</x:v>
      </x:c>
      <x:c r="AE9" s="96" t="n">
        <x:v>1497.7800000000002</x:v>
      </x:c>
      <x:c r="AF9" s="96" t="n">
        <x:v>1509.328</x:v>
      </x:c>
      <x:c r="AG9" s="89"/>
      <x:c r="AH9" s="89"/>
      <x:c r="AI9" s="89"/>
      <x:c r="AJ9" s="89"/>
      <x:c r="AK9" s="89"/>
      <x:c r="AL9" s="89"/>
      <x:c r="AM9" s="89"/>
      <x:c r="AN9" s="89"/>
      <x:c r="AO9" s="89"/>
    </x:row>
    <x:row r="10">
      <x:c r="A10" s="88" t="n">
        <x:v>6</x:v>
      </x:c>
      <x:c r="B10" s="88" t="str">
        <x:v>S06_LDW</x:v>
      </x:c>
      <x:c r="C10" s="88" t="n">
        <x:v>22</x:v>
      </x:c>
      <x:c r="D10" s="89" t="n">
        <x:v>8.5</x:v>
      </x:c>
      <x:c r="E10" s="88" t="n">
        <x:v>24</x:v>
      </x:c>
      <x:c r="F10" s="88" t="str">
        <x:v>레이더</x:v>
      </x:c>
      <x:c r="G10" s="88" t="n">
        <x:v>22</x:v>
      </x:c>
      <x:c r="H10" s="94" t="str">
        <x:v>수동값/원시 불일치</x:v>
      </x:c>
      <x:c r="I10" s="96" t="n">
        <x:v>21.676000000000005</x:v>
      </x:c>
      <x:c r="J10" s="96" t="n">
        <x:v>213.98</x:v>
      </x:c>
      <x:c r="K10" s="96" t="n">
        <x:v>263.66</x:v>
      </x:c>
      <x:c r="L10" s="96" t="n">
        <x:v>638.3480000000001</x:v>
      </x:c>
      <x:c r="M10" s="103" t="n">
        <x:v>644.61</x:v>
      </x:c>
      <x:c r="N10" s="96" t="n">
        <x:v>748.344</x:v>
      </x:c>
      <x:c r="O10" s="96" t="n">
        <x:v>763.256</x:v>
      </x:c>
      <x:c r="P10" s="96" t="n">
        <x:v>778.116</x:v>
      </x:c>
      <x:c r="Q10" s="96" t="n">
        <x:v>792.28</x:v>
      </x:c>
      <x:c r="R10" s="103" t="n">
        <x:v>916.724</x:v>
      </x:c>
      <x:c r="S10" s="96" t="n">
        <x:v>933.928</x:v>
      </x:c>
      <x:c r="T10" s="103" t="n">
        <x:v>957.0400000000001</x:v>
      </x:c>
      <x:c r="U10" s="96" t="n">
        <x:v>994.0160000000001</x:v>
      </x:c>
      <x:c r="V10" s="103" t="n">
        <x:v>1005.3960000000001</x:v>
      </x:c>
      <x:c r="W10" s="103" t="n">
        <x:v>1071.6119999999999</x:v>
      </x:c>
      <x:c r="X10" s="96" t="n">
        <x:v>1087.0079999999998</x:v>
      </x:c>
      <x:c r="Y10" s="103" t="n">
        <x:v>1157.9186666666665</x:v>
      </x:c>
      <x:c r="Z10" s="96" t="n">
        <x:v>1345.25</x:v>
      </x:c>
      <x:c r="AA10" s="103" t="n">
        <x:v>1351.068</x:v>
      </x:c>
      <x:c r="AB10" s="96" t="n">
        <x:v>1393.2079999999999</x:v>
      </x:c>
      <x:c r="AC10" s="103" t="n">
        <x:v>1421.3159999999998</x:v>
      </x:c>
      <x:c r="AD10" s="96" t="n">
        <x:v>1425.664</x:v>
      </x:c>
      <x:c r="AE10" s="96" t="n">
        <x:v>1458.444</x:v>
      </x:c>
      <x:c r="AF10" s="96" t="n">
        <x:v>1471.244</x:v>
      </x:c>
      <x:c r="AG10" s="89"/>
      <x:c r="AH10" s="89"/>
      <x:c r="AI10" s="89"/>
      <x:c r="AJ10" s="89"/>
      <x:c r="AK10" s="89"/>
      <x:c r="AL10" s="89"/>
      <x:c r="AM10" s="89"/>
      <x:c r="AN10" s="89"/>
      <x:c r="AO10" s="89"/>
    </x:row>
    <x:row r="11">
      <x:c r="A11" s="88" t="n">
        <x:v>7</x:v>
      </x:c>
      <x:c r="B11" s="88" t="str">
        <x:v>S07_KDM</x:v>
      </x:c>
      <x:c r="C11" s="88" t="n">
        <x:v>22</x:v>
      </x:c>
      <x:c r="D11" s="89" t="n">
        <x:v>7.5</x:v>
      </x:c>
      <x:c r="E11" s="88" t="n">
        <x:v>24</x:v>
      </x:c>
      <x:c r="F11" s="88" t="str">
        <x:v>레이더</x:v>
      </x:c>
      <x:c r="G11" s="88" t="n">
        <x:v>22</x:v>
      </x:c>
      <x:c r="H11" s="99" t="str">
        <x:v>자동 점검 통과</x:v>
      </x:c>
      <x:c r="I11" s="96" t="n">
        <x:v>16.57200000000004</x:v>
      </x:c>
      <x:c r="J11" s="103" t="n">
        <x:v>22.644000000000034</x:v>
      </x:c>
      <x:c r="K11" s="96" t="n">
        <x:v>214.34500000000006</x:v>
      </x:c>
      <x:c r="L11" s="96" t="n">
        <x:v>275.598</x:v>
      </x:c>
      <x:c r="M11" s="96" t="n">
        <x:v>646.78</x:v>
      </x:c>
      <x:c r="N11" s="96" t="n">
        <x:v>766.0973333333334</x:v>
      </x:c>
      <x:c r="O11" s="96" t="n">
        <x:v>784.6600000000001</x:v>
      </x:c>
      <x:c r="P11" s="96" t="n">
        <x:v>799.32</x:v>
      </x:c>
      <x:c r="Q11" s="96" t="n">
        <x:v>815.6</x:v>
      </x:c>
      <x:c r="R11" s="96" t="n">
        <x:v>905.98</x:v>
      </x:c>
      <x:c r="S11" s="96" t="n">
        <x:v>922.08</x:v>
      </x:c>
      <x:c r="T11" s="96" t="n">
        <x:v>933.84</x:v>
      </x:c>
      <x:c r="U11" s="103" t="n">
        <x:v>973.3040000000001</x:v>
      </x:c>
      <x:c r="V11" s="96" t="n">
        <x:v>979.4680000000001</x:v>
      </x:c>
      <x:c r="W11" s="96" t="n">
        <x:v>988.268</x:v>
      </x:c>
      <x:c r="X11" s="96" t="n">
        <x:v>1035.108</x:v>
      </x:c>
      <x:c r="Y11" s="96" t="n">
        <x:v>1046.708</x:v>
      </x:c>
      <x:c r="Z11" s="96" t="n">
        <x:v>1056.98</x:v>
      </x:c>
      <x:c r="AA11" s="96" t="n">
        <x:v>1133.8</x:v>
      </x:c>
      <x:c r="AB11" s="96" t="n">
        <x:v>1320.304</x:v>
      </x:c>
      <x:c r="AC11" s="96" t="n">
        <x:v>1377.064</x:v>
      </x:c>
      <x:c r="AD11" s="96" t="n">
        <x:v>1400.7</x:v>
      </x:c>
      <x:c r="AE11" s="96" t="n">
        <x:v>1426.924</x:v>
      </x:c>
      <x:c r="AF11" s="96" t="n">
        <x:v>1439.6000000000001</x:v>
      </x:c>
      <x:c r="AG11" s="89"/>
      <x:c r="AH11" s="89"/>
      <x:c r="AI11" s="89"/>
      <x:c r="AJ11" s="89"/>
      <x:c r="AK11" s="89"/>
      <x:c r="AL11" s="89"/>
      <x:c r="AM11" s="89"/>
      <x:c r="AN11" s="89"/>
      <x:c r="AO11" s="89"/>
    </x:row>
    <x:row r="12">
      <x:c r="A12" s="88" t="n">
        <x:v>8</x:v>
      </x:c>
      <x:c r="B12" s="88" t="str">
        <x:v>S08_MDO</x:v>
      </x:c>
      <x:c r="C12" s="88" t="n">
        <x:v>22</x:v>
      </x:c>
      <x:c r="D12" s="89" t="n">
        <x:v>7</x:v>
      </x:c>
      <x:c r="E12" s="88" t="n">
        <x:v>24</x:v>
      </x:c>
      <x:c r="F12" s="88" t="str">
        <x:v>레이더</x:v>
      </x:c>
      <x:c r="G12" s="88" t="n">
        <x:v>22</x:v>
      </x:c>
      <x:c r="H12" s="99" t="str">
        <x:v>자동 점검 통과</x:v>
      </x:c>
      <x:c r="I12" s="96" t="n">
        <x:v>23.796000000000053</x:v>
      </x:c>
      <x:c r="J12" s="96" t="n">
        <x:v>220.16400000000004</x:v>
      </x:c>
      <x:c r="K12" s="96" t="n">
        <x:v>260.4440000000001</x:v>
      </x:c>
      <x:c r="L12" s="103" t="n">
        <x:v>636.292</x:v>
      </x:c>
      <x:c r="M12" s="96" t="n">
        <x:v>645.896</x:v>
      </x:c>
      <x:c r="N12" s="96" t="n">
        <x:v>698.452</x:v>
      </x:c>
      <x:c r="O12" s="96" t="n">
        <x:v>707.68</x:v>
      </x:c>
      <x:c r="P12" s="96" t="n">
        <x:v>721.928</x:v>
      </x:c>
      <x:c r="Q12" s="96" t="n">
        <x:v>732.524</x:v>
      </x:c>
      <x:c r="R12" s="96" t="n">
        <x:v>808.628</x:v>
      </x:c>
      <x:c r="S12" s="96" t="n">
        <x:v>822.044</x:v>
      </x:c>
      <x:c r="T12" s="96" t="n">
        <x:v>831.704</x:v>
      </x:c>
      <x:c r="U12" s="96" t="n">
        <x:v>876.16</x:v>
      </x:c>
      <x:c r="V12" s="96" t="n">
        <x:v>885.78</x:v>
      </x:c>
      <x:c r="W12" s="96" t="n">
        <x:v>933.436</x:v>
      </x:c>
      <x:c r="X12" s="96" t="n">
        <x:v>948.336</x:v>
      </x:c>
      <x:c r="Y12" s="103" t="n">
        <x:v>959.188</x:v>
      </x:c>
      <x:c r="Z12" s="96" t="n">
        <x:v>968.676</x:v>
      </x:c>
      <x:c r="AA12" s="96" t="n">
        <x:v>1021.268</x:v>
      </x:c>
      <x:c r="AB12" s="96" t="n">
        <x:v>1206.628</x:v>
      </x:c>
      <x:c r="AC12" s="96" t="n">
        <x:v>1226.092</x:v>
      </x:c>
      <x:c r="AD12" s="96" t="n">
        <x:v>1247.944</x:v>
      </x:c>
      <x:c r="AE12" s="96" t="n">
        <x:v>1274.416</x:v>
      </x:c>
      <x:c r="AF12" s="96" t="n">
        <x:v>1286.188</x:v>
      </x:c>
      <x:c r="AG12" s="89"/>
      <x:c r="AH12" s="89"/>
      <x:c r="AI12" s="89"/>
      <x:c r="AJ12" s="89"/>
      <x:c r="AK12" s="89"/>
      <x:c r="AL12" s="89"/>
      <x:c r="AM12" s="89"/>
      <x:c r="AN12" s="89"/>
      <x:c r="AO12" s="89"/>
    </x:row>
    <x:row r="13">
      <x:c r="A13" s="88" t="n">
        <x:v>9</x:v>
      </x:c>
      <x:c r="B13" s="88" t="str">
        <x:v>S09_HDH</x:v>
      </x:c>
      <x:c r="C13" s="88" t="n">
        <x:v>22</x:v>
      </x:c>
      <x:c r="D13" s="89" t="n">
        <x:v>7.5</x:v>
      </x:c>
      <x:c r="E13" s="88" t="n">
        <x:v>31</x:v>
      </x:c>
      <x:c r="F13" s="88" t="str">
        <x:v>레이더</x:v>
      </x:c>
      <x:c r="G13" s="88" t="n">
        <x:v>22</x:v>
      </x:c>
      <x:c r="H13" s="99" t="str">
        <x:v>자동 점검 통과</x:v>
      </x:c>
      <x:c r="I13" s="96" t="n">
        <x:v>16.915000000000067</x:v>
      </x:c>
      <x:c r="J13" s="95" t="n">
        <x:v>85.33600000000007</x:v>
      </x:c>
      <x:c r="K13" s="96" t="n">
        <x:v>209.8240000000001</x:v>
      </x:c>
      <x:c r="L13" s="96" t="n">
        <x:v>272.42800000000005</x:v>
      </x:c>
      <x:c r="M13" s="95" t="n">
        <x:v>354.04</x:v>
      </x:c>
      <x:c r="N13" s="95" t="n">
        <x:v>363.636</x:v>
      </x:c>
      <x:c r="O13" s="95" t="n">
        <x:v>373.684</x:v>
      </x:c>
      <x:c r="P13" s="95" t="n">
        <x:v>393.14400000000006</x:v>
      </x:c>
      <x:c r="Q13" s="95" t="n">
        <x:v>435.684</x:v>
      </x:c>
      <x:c r="R13" s="95" t="n">
        <x:v>496.48</x:v>
      </x:c>
      <x:c r="S13" s="96" t="n">
        <x:v>647.296</x:v>
      </x:c>
      <x:c r="T13" s="96" t="n">
        <x:v>781.8704</x:v>
      </x:c>
      <x:c r="U13" s="96" t="n">
        <x:v>803.275</x:v>
      </x:c>
      <x:c r="V13" s="96" t="n">
        <x:v>825.5600000000001</x:v>
      </x:c>
      <x:c r="W13" s="96" t="n">
        <x:v>841.4920000000001</x:v>
      </x:c>
      <x:c r="X13" s="96" t="n">
        <x:v>951.8020000000001</x:v>
      </x:c>
      <x:c r="Y13" s="103" t="n">
        <x:v>960.724</x:v>
      </x:c>
      <x:c r="Z13" s="96" t="n">
        <x:v>969.796</x:v>
      </x:c>
      <x:c r="AA13" s="96" t="n">
        <x:v>987.9432000000002</x:v>
      </x:c>
      <x:c r="AB13" s="103" t="n">
        <x:v>1030.2440000000001</x:v>
      </x:c>
      <x:c r="AC13" s="96" t="n">
        <x:v>1036.132</x:v>
      </x:c>
      <x:c r="AD13" s="96" t="n">
        <x:v>1049.458</x:v>
      </x:c>
      <x:c r="AE13" s="96" t="n">
        <x:v>1099.0800000000002</x:v>
      </x:c>
      <x:c r="AF13" s="96" t="n">
        <x:v>1121.848</x:v>
      </x:c>
      <x:c r="AG13" s="96" t="n">
        <x:v>1134.6333333333334</x:v>
      </x:c>
      <x:c r="AH13" s="96" t="n">
        <x:v>1206.624</x:v>
      </x:c>
      <x:c r="AI13" s="96" t="n">
        <x:v>1394.844</x:v>
      </x:c>
      <x:c r="AJ13" s="96" t="n">
        <x:v>1445.0352</x:v>
      </x:c>
      <x:c r="AK13" s="96" t="n">
        <x:v>1473.0453333333335</x:v>
      </x:c>
      <x:c r="AL13" s="96" t="n">
        <x:v>1499.3208000000002</x:v>
      </x:c>
      <x:c r="AM13" s="96" t="n">
        <x:v>1510.8770000000002</x:v>
      </x:c>
      <x:c r="AN13" s="89"/>
      <x:c r="AO13" s="89"/>
    </x:row>
    <x:row r="14">
      <x:c r="A14" s="88" t="n">
        <x:v>10</x:v>
      </x:c>
      <x:c r="B14" s="88" t="str">
        <x:v>S10_JKH</x:v>
      </x:c>
      <x:c r="C14" s="88" t="n">
        <x:v>22</x:v>
      </x:c>
      <x:c r="D14" s="89" t="n">
        <x:v>8</x:v>
      </x:c>
      <x:c r="E14" s="88" t="n">
        <x:v>26</x:v>
      </x:c>
      <x:c r="F14" s="88" t="str">
        <x:v>레이더</x:v>
      </x:c>
      <x:c r="G14" s="88" t="n">
        <x:v>22</x:v>
      </x:c>
      <x:c r="H14" s="98" t="str">
        <x:v>대체 후보 있음</x:v>
      </x:c>
      <x:c r="I14" s="96" t="n">
        <x:v>26.144000000000062</x:v>
      </x:c>
      <x:c r="J14" s="96" t="n">
        <x:v>212.46800000000005</x:v>
      </x:c>
      <x:c r="K14" s="96" t="n">
        <x:v>244.70000000000005</x:v>
      </x:c>
      <x:c r="L14" s="103" t="n">
        <x:v>250.64400000000006</x:v>
      </x:c>
      <x:c r="M14" s="95" t="n">
        <x:v>547.9320000000001</x:v>
      </x:c>
      <x:c r="N14" s="96" t="n">
        <x:v>625.8240000000001</x:v>
      </x:c>
      <x:c r="O14" s="96" t="n">
        <x:v>652.6720000000001</x:v>
      </x:c>
      <x:c r="P14" s="96" t="n">
        <x:v>666.1960000000001</x:v>
      </x:c>
      <x:c r="Q14" s="96" t="n">
        <x:v>684.6240000000001</x:v>
      </x:c>
      <x:c r="R14" s="96" t="n">
        <x:v>701.3840000000001</x:v>
      </x:c>
      <x:c r="S14" s="96" t="n">
        <x:v>751.7160000000001</x:v>
      </x:c>
      <x:c r="T14" s="96" t="n">
        <x:v>765.1600000000001</x:v>
      </x:c>
      <x:c r="U14" s="96" t="n">
        <x:v>777.5160000000001</x:v>
      </x:c>
      <x:c r="V14" s="103" t="n">
        <x:v>819.1120000000001</x:v>
      </x:c>
      <x:c r="W14" s="96" t="n">
        <x:v>823.6880000000001</x:v>
      </x:c>
      <x:c r="X14" s="96" t="n">
        <x:v>835.2960000000002</x:v>
      </x:c>
      <x:c r="Y14" s="96" t="n">
        <x:v>877.6040000000002</x:v>
      </x:c>
      <x:c r="Z14" s="96" t="n">
        <x:v>881.8720000000001</x:v>
      </x:c>
      <x:c r="AA14" s="103" t="n">
        <x:v>896.5000000000001</x:v>
      </x:c>
      <x:c r="AB14" s="96" t="n">
        <x:v>910.5320000000002</x:v>
      </x:c>
      <x:c r="AC14" s="96" t="n">
        <x:v>934.7880000000001</x:v>
      </x:c>
      <x:c r="AD14" s="96" t="n">
        <x:v>1117.952</x:v>
      </x:c>
      <x:c r="AE14" s="96" t="n">
        <x:v>1134.608</x:v>
      </x:c>
      <x:c r="AF14" s="96" t="n">
        <x:v>1158.2</x:v>
      </x:c>
      <x:c r="AG14" s="96" t="n">
        <x:v>1173.664</x:v>
      </x:c>
      <x:c r="AH14" s="96" t="n">
        <x:v>1187.068</x:v>
      </x:c>
      <x:c r="AI14" s="89"/>
      <x:c r="AJ14" s="89"/>
      <x:c r="AK14" s="89"/>
      <x:c r="AL14" s="89"/>
      <x:c r="AM14" s="89"/>
      <x:c r="AN14" s="89"/>
      <x:c r="AO14" s="89"/>
    </x:row>
    <x:row r="15">
      <x:c r="A15" s="88" t="n">
        <x:v>11</x:v>
      </x:c>
      <x:c r="B15" s="88" t="str">
        <x:v>S11_SJE</x:v>
      </x:c>
      <x:c r="C15" s="88" t="n">
        <x:v>22</x:v>
      </x:c>
      <x:c r="D15" s="89" t="n">
        <x:v>7</x:v>
      </x:c>
      <x:c r="E15" s="88" t="n">
        <x:v>27</x:v>
      </x:c>
      <x:c r="F15" s="88" t="str">
        <x:v>레이더</x:v>
      </x:c>
      <x:c r="G15" s="88" t="n">
        <x:v>22</x:v>
      </x:c>
      <x:c r="H15" s="97" t="str">
        <x:v>후보군 검토 필요</x:v>
      </x:c>
      <x:c r="I15" s="104" t="n">
        <x:v>15.264000000000037</x:v>
      </x:c>
      <x:c r="J15" s="104" t="n">
        <x:v>207.4813333333334</x:v>
      </x:c>
      <x:c r="K15" s="104" t="n">
        <x:v>260.616</x:v>
      </x:c>
      <x:c r="L15" s="103" t="n">
        <x:v>266.108</x:v>
      </x:c>
      <x:c r="M15" s="95" t="n">
        <x:v>492.04</x:v>
      </x:c>
      <x:c r="N15" s="104" t="n">
        <x:v>635.6160000000001</x:v>
      </x:c>
      <x:c r="O15" s="104" t="n">
        <x:v>759.2120000000001</x:v>
      </x:c>
      <x:c r="P15" s="104" t="n">
        <x:v>771.8960000000001</x:v>
      </x:c>
      <x:c r="Q15" s="104" t="n">
        <x:v>791.696</x:v>
      </x:c>
      <x:c r="R15" s="104" t="n">
        <x:v>802.0680000000001</x:v>
      </x:c>
      <x:c r="S15" s="104" t="n">
        <x:v>894.912</x:v>
      </x:c>
      <x:c r="T15" s="104" t="n">
        <x:v>903.9720000000001</x:v>
      </x:c>
      <x:c r="U15" s="104" t="n">
        <x:v>909.368</x:v>
      </x:c>
      <x:c r="V15" s="104" t="n">
        <x:v>914.0920000000001</x:v>
      </x:c>
      <x:c r="W15" s="104" t="n">
        <x:v>938.5920000000001</x:v>
      </x:c>
      <x:c r="X15" s="104" t="n">
        <x:v>950.2700000000001</x:v>
      </x:c>
      <x:c r="Y15" s="104" t="n">
        <x:v>957.388</x:v>
      </x:c>
      <x:c r="Z15" s="104" t="n">
        <x:v>1011.2160000000001</x:v>
      </x:c>
      <x:c r="AA15" s="104" t="n">
        <x:v>1044.084</x:v>
      </x:c>
      <x:c r="AB15" s="104" t="n">
        <x:v>1049.052</x:v>
      </x:c>
      <x:c r="AC15" s="104" t="n">
        <x:v>1062.816</x:v>
      </x:c>
      <x:c r="AD15" s="104" t="n">
        <x:v>1072.508</x:v>
      </x:c>
      <x:c r="AE15" s="104" t="n">
        <x:v>1158.956</x:v>
      </x:c>
      <x:c r="AF15" s="95" t="n">
        <x:v>1397.452</x:v>
      </x:c>
      <x:c r="AG15" s="95" t="n">
        <x:v>1417.82</x:v>
      </x:c>
      <x:c r="AH15" s="103" t="n">
        <x:v>1448.86</x:v>
      </x:c>
      <x:c r="AI15" s="104" t="n">
        <x:v>1461.282</x:v>
      </x:c>
      <x:c r="AJ15" s="89"/>
      <x:c r="AK15" s="89"/>
      <x:c r="AL15" s="89"/>
      <x:c r="AM15" s="89"/>
      <x:c r="AN15" s="89"/>
      <x:c r="AO15" s="89"/>
    </x:row>
    <x:row r="16">
      <x:c r="A16" s="88" t="n">
        <x:v>12</x:v>
      </x:c>
      <x:c r="B16" s="88" t="str">
        <x:v>S12_KDH</x:v>
      </x:c>
      <x:c r="C16" s="88" t="n">
        <x:v>22</x:v>
      </x:c>
      <x:c r="D16" s="89" t="n">
        <x:v>6</x:v>
      </x:c>
      <x:c r="E16" s="88" t="n">
        <x:v>28</x:v>
      </x:c>
      <x:c r="F16" s="88" t="str">
        <x:v>레이더</x:v>
      </x:c>
      <x:c r="G16" s="88" t="n">
        <x:v>22</x:v>
      </x:c>
      <x:c r="H16" s="97" t="str">
        <x:v>후보군 검토 필요</x:v>
      </x:c>
      <x:c r="I16" s="104" t="n">
        <x:v>24.524</x:v>
      </x:c>
      <x:c r="J16" s="104" t="n">
        <x:v>222.644</x:v>
      </x:c>
      <x:c r="K16" s="104" t="n">
        <x:v>270.448</x:v>
      </x:c>
      <x:c r="L16" s="95" t="n">
        <x:v>646.804</x:v>
      </x:c>
      <x:c r="M16" s="104" t="n">
        <x:v>764.472</x:v>
      </x:c>
      <x:c r="N16" s="103" t="n">
        <x:v>774.22</x:v>
      </x:c>
      <x:c r="O16" s="104" t="n">
        <x:v>781.492</x:v>
      </x:c>
      <x:c r="P16" s="104" t="n">
        <x:v>797.544</x:v>
      </x:c>
      <x:c r="Q16" s="104" t="n">
        <x:v>806.852</x:v>
      </x:c>
      <x:c r="R16" s="104" t="n">
        <x:v>812.872</x:v>
      </x:c>
      <x:c r="S16" s="104" t="n">
        <x:v>936.484</x:v>
      </x:c>
      <x:c r="T16" s="104" t="n">
        <x:v>941.544</x:v>
      </x:c>
      <x:c r="U16" s="104" t="n">
        <x:v>946.644</x:v>
      </x:c>
      <x:c r="V16" s="103" t="n">
        <x:v>954.984</x:v>
      </x:c>
      <x:c r="W16" s="104" t="n">
        <x:v>965.288</x:v>
      </x:c>
      <x:c r="X16" s="104" t="n">
        <x:v>973.068</x:v>
      </x:c>
      <x:c r="Y16" s="104" t="n">
        <x:v>1010.792</x:v>
      </x:c>
      <x:c r="Z16" s="104" t="n">
        <x:v>1024.304</x:v>
      </x:c>
      <x:c r="AA16" s="104" t="n">
        <x:v>1033</x:v>
      </x:c>
      <x:c r="AB16" s="95" t="n">
        <x:v>1073.956</x:v>
      </x:c>
      <x:c r="AC16" s="104" t="n">
        <x:v>1089.332</x:v>
      </x:c>
      <x:c r="AD16" s="103" t="n">
        <x:v>1097.02</x:v>
      </x:c>
      <x:c r="AE16" s="103" t="n">
        <x:v>1102.48</x:v>
      </x:c>
      <x:c r="AF16" s="104" t="n">
        <x:v>1358.624</x:v>
      </x:c>
      <x:c r="AG16" s="104" t="n">
        <x:v>1416.58</x:v>
      </x:c>
      <x:c r="AH16" s="104" t="n">
        <x:v>1446.1</x:v>
      </x:c>
      <x:c r="AI16" s="104" t="n">
        <x:v>1488.404</x:v>
      </x:c>
      <x:c r="AJ16" s="104" t="n">
        <x:v>1498.612</x:v>
      </x:c>
      <x:c r="AK16" s="89"/>
      <x:c r="AL16" s="89"/>
      <x:c r="AM16" s="89"/>
      <x:c r="AN16" s="89"/>
      <x:c r="AO16" s="89"/>
    </x:row>
    <x:row r="17">
      <x:c r="A17" s="88" t="n">
        <x:v>13</x:v>
      </x:c>
      <x:c r="B17" s="88" t="str">
        <x:v>S13_KTW</x:v>
      </x:c>
      <x:c r="C17" s="88" t="n">
        <x:v>22</x:v>
      </x:c>
      <x:c r="D17" s="89" t="n">
        <x:v>9</x:v>
      </x:c>
      <x:c r="E17" s="88" t="n">
        <x:v>26</x:v>
      </x:c>
      <x:c r="F17" s="88" t="str">
        <x:v>레이더</x:v>
      </x:c>
      <x:c r="G17" s="88" t="n">
        <x:v>22</x:v>
      </x:c>
      <x:c r="H17" s="94" t="str">
        <x:v>수동값/원시 불일치</x:v>
      </x:c>
      <x:c r="I17" s="96" t="n">
        <x:v>11.496000000000047</x:v>
      </x:c>
      <x:c r="J17" s="96" t="n">
        <x:v>205.18000000000004</x:v>
      </x:c>
      <x:c r="K17" s="96" t="n">
        <x:v>228.33600000000004</x:v>
      </x:c>
      <x:c r="L17" s="96" t="n">
        <x:v>597.428</x:v>
      </x:c>
      <x:c r="M17" s="96" t="n">
        <x:v>643.384</x:v>
      </x:c>
      <x:c r="N17" s="103" t="n">
        <x:v>652.072</x:v>
      </x:c>
      <x:c r="O17" s="96" t="n">
        <x:v>656.76</x:v>
      </x:c>
      <x:c r="P17" s="103" t="n">
        <x:v>680.668</x:v>
      </x:c>
      <x:c r="Q17" s="103" t="n">
        <x:v>688.176</x:v>
      </x:c>
      <x:c r="R17" s="103" t="n">
        <x:v>728.682</x:v>
      </x:c>
      <x:c r="S17" s="103" t="n">
        <x:v>733.364</x:v>
      </x:c>
      <x:c r="T17" s="96" t="n">
        <x:v>742.1426666666667</x:v>
      </x:c>
      <x:c r="U17" s="96" t="n">
        <x:v>756.9413333333334</x:v>
      </x:c>
      <x:c r="V17" s="96" t="n">
        <x:v>813.244</x:v>
      </x:c>
      <x:c r="W17" s="103" t="n">
        <x:v>818.248</x:v>
      </x:c>
      <x:c r="X17" s="103" t="n">
        <x:v>853.772</x:v>
      </x:c>
      <x:c r="Y17" s="103" t="n">
        <x:v>857.84</x:v>
      </x:c>
      <x:c r="Z17" s="103" t="n">
        <x:v>861.864</x:v>
      </x:c>
      <x:c r="AA17" s="96" t="n">
        <x:v>872.412</x:v>
      </x:c>
      <x:c r="AB17" s="103" t="n">
        <x:v>877.596</x:v>
      </x:c>
      <x:c r="AC17" s="103" t="n">
        <x:v>882.236</x:v>
      </x:c>
      <x:c r="AD17" s="96" t="n">
        <x:v>888.16</x:v>
      </x:c>
      <x:c r="AE17" s="103" t="n">
        <x:v>917.176</x:v>
      </x:c>
      <x:c r="AF17" s="96" t="n">
        <x:v>1109.8280000000002</x:v>
      </x:c>
      <x:c r="AG17" s="96" t="n">
        <x:v>1178.874</x:v>
      </x:c>
      <x:c r="AH17" s="103" t="n">
        <x:v>1189.9080000000001</x:v>
      </x:c>
      <x:c r="AI17" s="89"/>
      <x:c r="AJ17" s="89"/>
      <x:c r="AK17" s="89"/>
      <x:c r="AL17" s="89"/>
      <x:c r="AM17" s="89"/>
      <x:c r="AN17" s="89"/>
      <x:c r="AO17" s="89"/>
    </x:row>
    <x:row r="18">
      <x:c r="A18" s="88" t="n">
        <x:v>14</x:v>
      </x:c>
      <x:c r="B18" s="88" t="str">
        <x:v>S14_MDO</x:v>
      </x:c>
      <x:c r="C18" s="88" t="n">
        <x:v>22</x:v>
      </x:c>
      <x:c r="D18" s="89" t="n">
        <x:v>6.5</x:v>
      </x:c>
      <x:c r="E18" s="88" t="n">
        <x:v>24</x:v>
      </x:c>
      <x:c r="F18" s="88" t="str">
        <x:v>레이더</x:v>
      </x:c>
      <x:c r="G18" s="88" t="n">
        <x:v>22</x:v>
      </x:c>
      <x:c r="H18" s="98" t="str">
        <x:v>대체 후보 있음</x:v>
      </x:c>
      <x:c r="I18" s="96" t="n">
        <x:v>13.64800000000007</x:v>
      </x:c>
      <x:c r="J18" s="96" t="n">
        <x:v>208.91200000000006</x:v>
      </x:c>
      <x:c r="K18" s="96" t="n">
        <x:v>233.95200000000006</x:v>
      </x:c>
      <x:c r="L18" s="95" t="n">
        <x:v>516.7280000000001</x:v>
      </x:c>
      <x:c r="M18" s="96" t="n">
        <x:v>607.4200000000001</x:v>
      </x:c>
      <x:c r="N18" s="96" t="n">
        <x:v>636.1480000000001</x:v>
      </x:c>
      <x:c r="O18" s="96" t="n">
        <x:v>649.344</x:v>
      </x:c>
      <x:c r="P18" s="96" t="n">
        <x:v>668.104</x:v>
      </x:c>
      <x:c r="Q18" s="96" t="n">
        <x:v>679.0120000000001</x:v>
      </x:c>
      <x:c r="R18" s="96" t="n">
        <x:v>729.0680000000001</x:v>
      </x:c>
      <x:c r="S18" s="96" t="n">
        <x:v>741.3840000000001</x:v>
      </x:c>
      <x:c r="T18" s="96" t="n">
        <x:v>749.5480000000001</x:v>
      </x:c>
      <x:c r="U18" s="96" t="n">
        <x:v>790.892</x:v>
      </x:c>
      <x:c r="V18" s="103" t="n">
        <x:v>795.4720000000001</x:v>
      </x:c>
      <x:c r="W18" s="96" t="n">
        <x:v>802.3320000000001</x:v>
      </x:c>
      <x:c r="X18" s="96" t="n">
        <x:v>844.8960000000001</x:v>
      </x:c>
      <x:c r="Y18" s="96" t="n">
        <x:v>860.676</x:v>
      </x:c>
      <x:c r="Z18" s="96" t="n">
        <x:v>867.7280000000001</x:v>
      </x:c>
      <x:c r="AA18" s="96" t="n">
        <x:v>892.368</x:v>
      </x:c>
      <x:c r="AB18" s="96" t="n">
        <x:v>1077.236</x:v>
      </x:c>
      <x:c r="AC18" s="96" t="n">
        <x:v>1089.304</x:v>
      </x:c>
      <x:c r="AD18" s="96" t="n">
        <x:v>1109.664</x:v>
      </x:c>
      <x:c r="AE18" s="96" t="n">
        <x:v>1124.24</x:v>
      </x:c>
      <x:c r="AF18" s="96" t="n">
        <x:v>1135.3200000000002</x:v>
      </x:c>
      <x:c r="AG18" s="89"/>
      <x:c r="AH18" s="89"/>
      <x:c r="AI18" s="89"/>
      <x:c r="AJ18" s="89"/>
      <x:c r="AK18" s="89"/>
      <x:c r="AL18" s="89"/>
      <x:c r="AM18" s="89"/>
      <x:c r="AN18" s="89"/>
      <x:c r="AO18" s="89"/>
    </x:row>
    <x:row r="19">
      <x:c r="A19" s="88" t="n">
        <x:v>15</x:v>
      </x:c>
      <x:c r="B19" s="88" t="str">
        <x:v>S15_JKH</x:v>
      </x:c>
      <x:c r="C19" s="88" t="n">
        <x:v>22</x:v>
      </x:c>
      <x:c r="D19" s="89" t="n">
        <x:v>8</x:v>
      </x:c>
      <x:c r="E19" s="88" t="n">
        <x:v>29</x:v>
      </x:c>
      <x:c r="F19" s="88" t="str">
        <x:v>레이더</x:v>
      </x:c>
      <x:c r="G19" s="88" t="n">
        <x:v>22</x:v>
      </x:c>
      <x:c r="H19" s="98" t="str">
        <x:v>대체 후보 있음</x:v>
      </x:c>
      <x:c r="I19" s="96" t="n">
        <x:v>5.524000000000086</x:v>
      </x:c>
      <x:c r="J19" s="96" t="n">
        <x:v>199.3360000000001</x:v>
      </x:c>
      <x:c r="K19" s="103" t="n">
        <x:v>205.9240000000001</x:v>
      </x:c>
      <x:c r="L19" s="103" t="n">
        <x:v>225.82000000000008</x:v>
      </x:c>
      <x:c r="M19" s="96" t="n">
        <x:v>234.2160000000001</x:v>
      </x:c>
      <x:c r="N19" s="96" t="n">
        <x:v>599.1800000000001</x:v>
      </x:c>
      <x:c r="O19" s="103" t="n">
        <x:v>603.3520000000001</x:v>
      </x:c>
      <x:c r="P19" s="103" t="n">
        <x:v>608.1880000000001</x:v>
      </x:c>
      <x:c r="Q19" s="96" t="n">
        <x:v>631.4640000000002</x:v>
      </x:c>
      <x:c r="R19" s="96" t="n">
        <x:v>642.4000000000001</x:v>
      </x:c>
      <x:c r="S19" s="96" t="n">
        <x:v>657.8480000000001</x:v>
      </x:c>
      <x:c r="T19" s="96" t="n">
        <x:v>673.8000000000001</x:v>
      </x:c>
      <x:c r="U19" s="96" t="n">
        <x:v>708.3960000000001</x:v>
      </x:c>
      <x:c r="V19" s="96" t="n">
        <x:v>724.7840000000001</x:v>
      </x:c>
      <x:c r="W19" s="96" t="n">
        <x:v>732.8800000000001</x:v>
      </x:c>
      <x:c r="X19" s="96" t="n">
        <x:v>782.1360000000001</x:v>
      </x:c>
      <x:c r="Y19" s="96" t="n">
        <x:v>790.7320000000001</x:v>
      </x:c>
      <x:c r="Z19" s="103" t="n">
        <x:v>795.7840000000001</x:v>
      </x:c>
      <x:c r="AA19" s="96" t="n">
        <x:v>836.4340000000001</x:v>
      </x:c>
      <x:c r="AB19" s="96" t="n">
        <x:v>849.2120000000001</x:v>
      </x:c>
      <x:c r="AC19" s="103" t="n">
        <x:v>855.3240000000002</x:v>
      </x:c>
      <x:c r="AD19" s="103" t="n">
        <x:v>866.9480000000001</x:v>
      </x:c>
      <x:c r="AE19" s="96" t="n">
        <x:v>871.4640000000002</x:v>
      </x:c>
      <x:c r="AF19" s="96" t="n">
        <x:v>889.3600000000001</x:v>
      </x:c>
      <x:c r="AG19" s="96" t="n">
        <x:v>1077.292</x:v>
      </x:c>
      <x:c r="AH19" s="96" t="n">
        <x:v>1094.244</x:v>
      </x:c>
      <x:c r="AI19" s="96" t="n">
        <x:v>1120.156</x:v>
      </x:c>
      <x:c r="AJ19" s="96" t="n">
        <x:v>1134.564</x:v>
      </x:c>
      <x:c r="AK19" s="96" t="n">
        <x:v>1147.924</x:v>
      </x:c>
      <x:c r="AL19" s="89"/>
      <x:c r="AM19" s="89"/>
      <x:c r="AN19" s="89"/>
      <x:c r="AO19" s="89"/>
    </x:row>
    <x:row r="20">
      <x:c r="A20" s="88" t="n">
        <x:v>16</x:v>
      </x:c>
      <x:c r="B20" s="88" t="str">
        <x:v>S16_LJH</x:v>
      </x:c>
      <x:c r="C20" s="88" t="n">
        <x:v>22</x:v>
      </x:c>
      <x:c r="D20" s="89" t="n">
        <x:v>8</x:v>
      </x:c>
      <x:c r="E20" s="88" t="n">
        <x:v>28</x:v>
      </x:c>
      <x:c r="F20" s="88" t="str">
        <x:v>레이더</x:v>
      </x:c>
      <x:c r="G20" s="88" t="n">
        <x:v>22</x:v>
      </x:c>
      <x:c r="H20" s="98" t="str">
        <x:v>시간 구간 확인 필요</x:v>
      </x:c>
      <x:c r="I20" s="96" t="n">
        <x:v>12.91600000000005</x:v>
      </x:c>
      <x:c r="J20" s="103" t="n">
        <x:v>18.72000000000005</x:v>
      </x:c>
      <x:c r="K20" s="96" t="n">
        <x:v>206.04400000000004</x:v>
      </x:c>
      <x:c r="L20" s="96" t="n">
        <x:v>282.012</x:v>
      </x:c>
      <x:c r="M20" s="95" t="n">
        <x:v>530.2352</x:v>
      </x:c>
      <x:c r="N20" s="95" t="n">
        <x:v>550.724</x:v>
      </x:c>
      <x:c r="O20" s="95" t="n">
        <x:v>557.582</x:v>
      </x:c>
      <x:c r="P20" s="95" t="n">
        <x:v>564.1560000000001</x:v>
      </x:c>
      <x:c r="Q20" s="95" t="n">
        <x:v>654.9440000000001</x:v>
      </x:c>
      <x:c r="R20" s="96" t="n">
        <x:v>759.14</x:v>
      </x:c>
      <x:c r="S20" s="96" t="n">
        <x:v>771.148</x:v>
      </x:c>
      <x:c r="T20" s="96" t="n">
        <x:v>780.772</x:v>
      </x:c>
      <x:c r="U20" s="96" t="n">
        <x:v>800.294</x:v>
      </x:c>
      <x:c r="V20" s="96" t="n">
        <x:v>814.0880000000001</x:v>
      </x:c>
      <x:c r="W20" s="96" t="n">
        <x:v>928.9680000000001</x:v>
      </x:c>
      <x:c r="X20" s="96" t="n">
        <x:v>945.196</x:v>
      </x:c>
      <x:c r="Y20" s="96" t="n">
        <x:v>956.196</x:v>
      </x:c>
      <x:c r="Z20" s="96" t="n">
        <x:v>1004.218</x:v>
      </x:c>
      <x:c r="AA20" s="96" t="n">
        <x:v>1016.964</x:v>
      </x:c>
      <x:c r="AB20" s="96" t="n">
        <x:v>1062.2600000000002</x:v>
      </x:c>
      <x:c r="AC20" s="96" t="n">
        <x:v>1077.6160000000002</x:v>
      </x:c>
      <x:c r="AD20" s="96" t="n">
        <x:v>1088.9560000000001</x:v>
      </x:c>
      <x:c r="AE20" s="96" t="n">
        <x:v>1179.3480000000002</x:v>
      </x:c>
      <x:c r="AF20" s="96" t="n">
        <x:v>1372.268</x:v>
      </x:c>
      <x:c r="AG20" s="96" t="n">
        <x:v>1424.5800000000002</x:v>
      </x:c>
      <x:c r="AH20" s="96" t="n">
        <x:v>1455.8080000000002</x:v>
      </x:c>
      <x:c r="AI20" s="96" t="n">
        <x:v>1486.3120000000001</x:v>
      </x:c>
      <x:c r="AJ20" s="96" t="n">
        <x:v>1506.3560000000002</x:v>
      </x:c>
      <x:c r="AK20" s="89"/>
      <x:c r="AL20" s="89"/>
      <x:c r="AM20" s="89"/>
      <x:c r="AN20" s="89"/>
      <x:c r="AO20" s="89"/>
    </x:row>
    <x:row r="21">
      <x:c r="A21" s="88" t="n">
        <x:v>17</x:v>
      </x:c>
      <x:c r="B21" s="88" t="str">
        <x:v>S17_RJS</x:v>
      </x:c>
      <x:c r="C21" s="88" t="n">
        <x:v>22</x:v>
      </x:c>
      <x:c r="D21" s="89" t="n">
        <x:v>7</x:v>
      </x:c>
      <x:c r="E21" s="88" t="n">
        <x:v>24</x:v>
      </x:c>
      <x:c r="F21" s="88" t="str">
        <x:v>레이더</x:v>
      </x:c>
      <x:c r="G21" s="88" t="n">
        <x:v>22</x:v>
      </x:c>
      <x:c r="H21" s="99" t="str">
        <x:v>자동 점검 통과</x:v>
      </x:c>
      <x:c r="I21" s="96" t="n">
        <x:v>15.872500000000063</x:v>
      </x:c>
      <x:c r="J21" s="96" t="n">
        <x:v>209.8093333333334</x:v>
      </x:c>
      <x:c r="K21" s="103" t="n">
        <x:v>227.92400000000006</x:v>
      </x:c>
      <x:c r="L21" s="96" t="n">
        <x:v>232.94600000000005</x:v>
      </x:c>
      <x:c r="M21" s="95" t="n">
        <x:v>457.5200000000001</x:v>
      </x:c>
      <x:c r="N21" s="96" t="n">
        <x:v>604.3144000000001</x:v>
      </x:c>
      <x:c r="O21" s="96" t="n">
        <x:v>663.2120000000001</x:v>
      </x:c>
      <x:c r="P21" s="96" t="n">
        <x:v>676.8386666666668</x:v>
      </x:c>
      <x:c r="Q21" s="96" t="n">
        <x:v>692.6408</x:v>
      </x:c>
      <x:c r="R21" s="96" t="n">
        <x:v>705.4159999999999</x:v>
      </x:c>
      <x:c r="S21" s="96" t="n">
        <x:v>756.3466666666666</x:v>
      </x:c>
      <x:c r="T21" s="96" t="n">
        <x:v>770.6166666666668</x:v>
      </x:c>
      <x:c r="U21" s="96" t="n">
        <x:v>782.38</x:v>
      </x:c>
      <x:c r="V21" s="96" t="n">
        <x:v>828.0905000000001</x:v>
      </x:c>
      <x:c r="W21" s="96" t="n">
        <x:v>842.6628571428572</x:v>
      </x:c>
      <x:c r="X21" s="96" t="n">
        <x:v>892.4200000000001</x:v>
      </x:c>
      <x:c r="Y21" s="96" t="n">
        <x:v>910.9164999999999</x:v>
      </x:c>
      <x:c r="Z21" s="96" t="n">
        <x:v>923.9386666666667</x:v>
      </x:c>
      <x:c r="AA21" s="96" t="n">
        <x:v>960.7520000000001</x:v>
      </x:c>
      <x:c r="AB21" s="96" t="n">
        <x:v>1148.8215000000002</x:v>
      </x:c>
      <x:c r="AC21" s="96" t="n">
        <x:v>1189.366</x:v>
      </x:c>
      <x:c r="AD21" s="96" t="n">
        <x:v>1214.386</x:v>
      </x:c>
      <x:c r="AE21" s="96" t="n">
        <x:v>1240.432</x:v>
      </x:c>
      <x:c r="AF21" s="96" t="n">
        <x:v>1253.5580000000002</x:v>
      </x:c>
      <x:c r="AG21" s="89"/>
      <x:c r="AH21" s="89"/>
      <x:c r="AI21" s="89"/>
      <x:c r="AJ21" s="89"/>
      <x:c r="AK21" s="89"/>
      <x:c r="AL21" s="89"/>
      <x:c r="AM21" s="89"/>
      <x:c r="AN21" s="89"/>
      <x:c r="AO21" s="89"/>
    </x:row>
    <x:row r="22">
      <x:c r="A22" s="88" t="n">
        <x:v>18</x:v>
      </x:c>
      <x:c r="B22" s="88" t="str">
        <x:v>S18_LJH</x:v>
      </x:c>
      <x:c r="C22" s="88" t="n">
        <x:v>22</x:v>
      </x:c>
      <x:c r="D22" s="89" t="n">
        <x:v>7</x:v>
      </x:c>
      <x:c r="E22" s="88" t="n">
        <x:v>24</x:v>
      </x:c>
      <x:c r="F22" s="88" t="str">
        <x:v>레이더</x:v>
      </x:c>
      <x:c r="G22" s="88" t="n">
        <x:v>22</x:v>
      </x:c>
      <x:c r="H22" s="99" t="str">
        <x:v>자동 점검 통과</x:v>
      </x:c>
      <x:c r="I22" s="96" t="n">
        <x:v>15.296000000000042</x:v>
      </x:c>
      <x:c r="J22" s="96" t="n">
        <x:v>211.68000000000004</x:v>
      </x:c>
      <x:c r="K22" s="96" t="n">
        <x:v>231.17600000000004</x:v>
      </x:c>
      <x:c r="L22" s="95" t="n">
        <x:v>322.54</x:v>
      </x:c>
      <x:c r="M22" s="95" t="n">
        <x:v>332.24000000000007</x:v>
      </x:c>
      <x:c r="N22" s="96" t="n">
        <x:v>603.692</x:v>
      </x:c>
      <x:c r="O22" s="96" t="n">
        <x:v>637.644</x:v>
      </x:c>
      <x:c r="P22" s="96" t="n">
        <x:v>652.888</x:v>
      </x:c>
      <x:c r="Q22" s="96" t="n">
        <x:v>669.5400000000001</x:v>
      </x:c>
      <x:c r="R22" s="96" t="n">
        <x:v>681.076</x:v>
      </x:c>
      <x:c r="S22" s="96" t="n">
        <x:v>723.024</x:v>
      </x:c>
      <x:c r="T22" s="96" t="n">
        <x:v>737.3000000000001</x:v>
      </x:c>
      <x:c r="U22" s="96" t="n">
        <x:v>746.856</x:v>
      </x:c>
      <x:c r="V22" s="96" t="n">
        <x:v>792.1840000000001</x:v>
      </x:c>
      <x:c r="W22" s="96" t="n">
        <x:v>802.32</x:v>
      </x:c>
      <x:c r="X22" s="96" t="n">
        <x:v>848.24</x:v>
      </x:c>
      <x:c r="Y22" s="96" t="n">
        <x:v>863.268</x:v>
      </x:c>
      <x:c r="Z22" s="96" t="n">
        <x:v>874.356</x:v>
      </x:c>
      <x:c r="AA22" s="96" t="n">
        <x:v>901.676</x:v>
      </x:c>
      <x:c r="AB22" s="96" t="n">
        <x:v>1085.964</x:v>
      </x:c>
      <x:c r="AC22" s="96" t="n">
        <x:v>1103.384</x:v>
      </x:c>
      <x:c r="AD22" s="96" t="n">
        <x:v>1127.688</x:v>
      </x:c>
      <x:c r="AE22" s="96" t="n">
        <x:v>1139.876</x:v>
      </x:c>
      <x:c r="AF22" s="96" t="n">
        <x:v>1151.364</x:v>
      </x:c>
      <x:c r="AG22" s="89"/>
      <x:c r="AH22" s="89"/>
      <x:c r="AI22" s="89"/>
      <x:c r="AJ22" s="89"/>
      <x:c r="AK22" s="89"/>
      <x:c r="AL22" s="89"/>
      <x:c r="AM22" s="89"/>
      <x:c r="AN22" s="89"/>
      <x:c r="AO22" s="89"/>
    </x:row>
    <x:row r="23">
      <x:c r="A23" s="88" t="n">
        <x:v>19</x:v>
      </x:c>
      <x:c r="B23" s="88" t="str">
        <x:v>S19_CHW</x:v>
      </x:c>
      <x:c r="C23" s="88" t="n">
        <x:v>22</x:v>
      </x:c>
      <x:c r="D23" s="89" t="n">
        <x:v>7</x:v>
      </x:c>
      <x:c r="E23" s="88" t="n">
        <x:v>25</x:v>
      </x:c>
      <x:c r="F23" s="88" t="str">
        <x:v>레이더</x:v>
      </x:c>
      <x:c r="G23" s="88" t="n">
        <x:v>22</x:v>
      </x:c>
      <x:c r="H23" s="99" t="str">
        <x:v>자동 점검 통과</x:v>
      </x:c>
      <x:c r="I23" s="96" t="n">
        <x:v>19.82800000000003</x:v>
      </x:c>
      <x:c r="J23" s="96" t="n">
        <x:v>215.90000000000003</x:v>
      </x:c>
      <x:c r="K23" s="96" t="n">
        <x:v>272.07200000000006</x:v>
      </x:c>
      <x:c r="L23" s="95" t="n">
        <x:v>408.44800000000004</x:v>
      </x:c>
      <x:c r="M23" s="103" t="n">
        <x:v>647.472</x:v>
      </x:c>
      <x:c r="N23" s="96" t="n">
        <x:v>662.052</x:v>
      </x:c>
      <x:c r="O23" s="96" t="n">
        <x:v>763.568</x:v>
      </x:c>
      <x:c r="P23" s="96" t="n">
        <x:v>783.8639999999999</x:v>
      </x:c>
      <x:c r="Q23" s="96" t="n">
        <x:v>799.476</x:v>
      </x:c>
      <x:c r="R23" s="96" t="n">
        <x:v>816.428</x:v>
      </x:c>
      <x:c r="S23" s="96" t="n">
        <x:v>926.766</x:v>
      </x:c>
      <x:c r="T23" s="103" t="n">
        <x:v>944.12</x:v>
      </x:c>
      <x:c r="U23" s="96" t="n">
        <x:v>954.068</x:v>
      </x:c>
      <x:c r="V23" s="96" t="n">
        <x:v>962.232</x:v>
      </x:c>
      <x:c r="W23" s="96" t="n">
        <x:v>1009.592</x:v>
      </x:c>
      <x:c r="X23" s="96" t="n">
        <x:v>1024.328</x:v>
      </x:c>
      <x:c r="Y23" s="96" t="n">
        <x:v>1076.0880000000002</x:v>
      </x:c>
      <x:c r="Z23" s="96" t="n">
        <x:v>1096.346</x:v>
      </x:c>
      <x:c r="AA23" s="96" t="n">
        <x:v>1106.604</x:v>
      </x:c>
      <x:c r="AB23" s="96" t="n">
        <x:v>1188.496</x:v>
      </x:c>
      <x:c r="AC23" s="96" t="n">
        <x:v>1372.364</x:v>
      </x:c>
      <x:c r="AD23" s="96" t="n">
        <x:v>1429.6920000000002</x:v>
      </x:c>
      <x:c r="AE23" s="96" t="n">
        <x:v>1454.906</x:v>
      </x:c>
      <x:c r="AF23" s="96" t="n">
        <x:v>1485.52</x:v>
      </x:c>
      <x:c r="AG23" s="96" t="n">
        <x:v>1507.4640000000002</x:v>
      </x:c>
      <x:c r="AH23" s="89"/>
      <x:c r="AI23" s="89"/>
      <x:c r="AJ23" s="89"/>
      <x:c r="AK23" s="89"/>
      <x:c r="AL23" s="89"/>
      <x:c r="AM23" s="89"/>
      <x:c r="AN23" s="89"/>
      <x:c r="AO23" s="89"/>
    </x:row>
    <x:row r="24">
      <x:c r="A24" s="88" t="n">
        <x:v>20</x:v>
      </x:c>
      <x:c r="B24" s="88" t="str">
        <x:v>S20_YSE</x:v>
      </x:c>
      <x:c r="C24" s="88" t="n">
        <x:v>22</x:v>
      </x:c>
      <x:c r="D24" s="89" t="n">
        <x:v>6.5</x:v>
      </x:c>
      <x:c r="E24" s="88" t="n">
        <x:v>25</x:v>
      </x:c>
      <x:c r="F24" s="88" t="str">
        <x:v>레이더</x:v>
      </x:c>
      <x:c r="G24" s="88" t="n">
        <x:v>22</x:v>
      </x:c>
      <x:c r="H24" s="98" t="str">
        <x:v>대체 후보 있음</x:v>
      </x:c>
      <x:c r="I24" s="96" t="n">
        <x:v>11.204000000000049</x:v>
      </x:c>
      <x:c r="J24" s="96" t="n">
        <x:v>207.54800000000006</x:v>
      </x:c>
      <x:c r="K24" s="96" t="n">
        <x:v>229.71200000000005</x:v>
      </x:c>
      <x:c r="L24" s="95" t="n">
        <x:v>455.576</x:v>
      </x:c>
      <x:c r="M24" s="96" t="n">
        <x:v>600.7440000000001</x:v>
      </x:c>
      <x:c r="N24" s="96" t="n">
        <x:v>648.9960000000001</x:v>
      </x:c>
      <x:c r="O24" s="96" t="n">
        <x:v>661.7120000000001</x:v>
      </x:c>
      <x:c r="P24" s="96" t="n">
        <x:v>681.0520000000001</x:v>
      </x:c>
      <x:c r="Q24" s="96" t="n">
        <x:v>693.2280000000001</x:v>
      </x:c>
      <x:c r="R24" s="96" t="n">
        <x:v>756.1440000000001</x:v>
      </x:c>
      <x:c r="S24" s="103" t="n">
        <x:v>766.3520000000001</x:v>
      </x:c>
      <x:c r="T24" s="96" t="n">
        <x:v>770.7160000000001</x:v>
      </x:c>
      <x:c r="U24" s="96" t="n">
        <x:v>789.3400000000001</x:v>
      </x:c>
      <x:c r="V24" s="96" t="n">
        <x:v>836.5000000000001</x:v>
      </x:c>
      <x:c r="W24" s="96" t="n">
        <x:v>847.8760000000001</x:v>
      </x:c>
      <x:c r="X24" s="96" t="n">
        <x:v>890.6000000000001</x:v>
      </x:c>
      <x:c r="Y24" s="96" t="n">
        <x:v>894.6840000000001</x:v>
      </x:c>
      <x:c r="Z24" s="103" t="n">
        <x:v>916.3040000000001</x:v>
      </x:c>
      <x:c r="AA24" s="96" t="n">
        <x:v>927.4040000000001</x:v>
      </x:c>
      <x:c r="AB24" s="96" t="n">
        <x:v>965.7680000000001</x:v>
      </x:c>
      <x:c r="AC24" s="96" t="n">
        <x:v>1155.384</x:v>
      </x:c>
      <x:c r="AD24" s="96" t="n">
        <x:v>1178.794</x:v>
      </x:c>
      <x:c r="AE24" s="96" t="n">
        <x:v>1203.0320000000002</x:v>
      </x:c>
      <x:c r="AF24" s="96" t="n">
        <x:v>1225.256</x:v>
      </x:c>
      <x:c r="AG24" s="96" t="n">
        <x:v>1234.496</x:v>
      </x:c>
      <x:c r="AH24" s="89"/>
      <x:c r="AI24" s="89"/>
      <x:c r="AJ24" s="89"/>
      <x:c r="AK24" s="89"/>
      <x:c r="AL24" s="89"/>
      <x:c r="AM24" s="89"/>
      <x:c r="AN24" s="89"/>
      <x:c r="AO24" s="89"/>
    </x:row>
    <x:row r="25">
      <x:c r="A25" s="88" t="n">
        <x:v>21</x:v>
      </x:c>
      <x:c r="B25" s="88" t="str">
        <x:v>S21_PSJ</x:v>
      </x:c>
      <x:c r="C25" s="88" t="n">
        <x:v>22</x:v>
      </x:c>
      <x:c r="D25" s="89" t="n">
        <x:v>7.5</x:v>
      </x:c>
      <x:c r="E25" s="88" t="n">
        <x:v>25</x:v>
      </x:c>
      <x:c r="F25" s="88" t="str">
        <x:v>레이더</x:v>
      </x:c>
      <x:c r="G25" s="88" t="n">
        <x:v>22</x:v>
      </x:c>
      <x:c r="H25" s="99" t="str">
        <x:v>자동 점검 통과</x:v>
      </x:c>
      <x:c r="I25" s="96" t="n">
        <x:v>19.952000000000034</x:v>
      </x:c>
      <x:c r="J25" s="96" t="n">
        <x:v>214.06000000000003</x:v>
      </x:c>
      <x:c r="K25" s="96" t="n">
        <x:v>235.40400000000005</x:v>
      </x:c>
      <x:c r="L25" s="96" t="n">
        <x:v>612.2120000000001</x:v>
      </x:c>
      <x:c r="M25" s="95" t="n">
        <x:v>637.4040000000001</x:v>
      </x:c>
      <x:c r="N25" s="96" t="n">
        <x:v>654.908</x:v>
      </x:c>
      <x:c r="O25" s="96" t="n">
        <x:v>668.36</x:v>
      </x:c>
      <x:c r="P25" s="96" t="n">
        <x:v>688.34</x:v>
      </x:c>
      <x:c r="Q25" s="96" t="n">
        <x:v>698.5160000000001</x:v>
      </x:c>
      <x:c r="R25" s="96" t="n">
        <x:v>793.5480000000001</x:v>
      </x:c>
      <x:c r="S25" s="96" t="n">
        <x:v>807.974</x:v>
      </x:c>
      <x:c r="T25" s="96" t="n">
        <x:v>816.4200000000001</x:v>
      </x:c>
      <x:c r="U25" s="96" t="n">
        <x:v>862.9000000000001</x:v>
      </x:c>
      <x:c r="V25" s="96" t="n">
        <x:v>875.248</x:v>
      </x:c>
      <x:c r="W25" s="96" t="n">
        <x:v>921.344</x:v>
      </x:c>
      <x:c r="X25" s="96" t="n">
        <x:v>937.5920000000001</x:v>
      </x:c>
      <x:c r="Y25" s="103" t="n">
        <x:v>958.3520000000001</x:v>
      </x:c>
      <x:c r="Z25" s="96" t="n">
        <x:v>970.58</x:v>
      </x:c>
      <x:c r="AA25" s="96" t="n">
        <x:v>1012.864</x:v>
      </x:c>
      <x:c r="AB25" s="103" t="n">
        <x:v>1020.416</x:v>
      </x:c>
      <x:c r="AC25" s="96" t="n">
        <x:v>1208.9679999999998</x:v>
      </x:c>
      <x:c r="AD25" s="96" t="n">
        <x:v>1248.0639999999999</x:v>
      </x:c>
      <x:c r="AE25" s="96" t="n">
        <x:v>1270.892</x:v>
      </x:c>
      <x:c r="AF25" s="96" t="n">
        <x:v>1306.696</x:v>
      </x:c>
      <x:c r="AG25" s="96" t="n">
        <x:v>1317.132</x:v>
      </x:c>
      <x:c r="AH25" s="89"/>
      <x:c r="AI25" s="89"/>
      <x:c r="AJ25" s="89"/>
      <x:c r="AK25" s="89"/>
      <x:c r="AL25" s="89"/>
      <x:c r="AM25" s="89"/>
      <x:c r="AN25" s="89"/>
      <x:c r="AO25" s="89"/>
    </x:row>
    <x:row r="26">
      <x:c r="A26" s="88" t="n">
        <x:v>22</x:v>
      </x:c>
      <x:c r="B26" s="88" t="str">
        <x:v>S22_KJH</x:v>
      </x:c>
      <x:c r="C26" s="88" t="n">
        <x:v>22</x:v>
      </x:c>
      <x:c r="D26" s="89" t="n">
        <x:v>4.5</x:v>
      </x:c>
      <x:c r="E26" s="88" t="n">
        <x:v>24</x:v>
      </x:c>
      <x:c r="F26" s="88" t="str">
        <x:v>레이더</x:v>
      </x:c>
      <x:c r="G26" s="88" t="n">
        <x:v>22</x:v>
      </x:c>
      <x:c r="H26" s="97" t="str">
        <x:v>후보군 검토 필요</x:v>
      </x:c>
      <x:c r="I26" s="104" t="n">
        <x:v>222.04000000000005</x:v>
      </x:c>
      <x:c r="J26" s="104" t="n">
        <x:v>304.812</x:v>
      </x:c>
      <x:c r="K26" s="104" t="n">
        <x:v>314.732</x:v>
      </x:c>
      <x:c r="L26" s="104" t="n">
        <x:v>681.412</x:v>
      </x:c>
      <x:c r="M26" s="104" t="n">
        <x:v>698.652</x:v>
      </x:c>
      <x:c r="N26" s="104" t="n">
        <x:v>715.7880000000001</x:v>
      </x:c>
      <x:c r="O26" s="104" t="n">
        <x:v>733.628</x:v>
      </x:c>
      <x:c r="P26" s="104" t="n">
        <x:v>813.892</x:v>
      </x:c>
      <x:c r="Q26" s="104" t="n">
        <x:v>830.1160000000001</x:v>
      </x:c>
      <x:c r="R26" s="104" t="n">
        <x:v>834.9520000000001</x:v>
      </x:c>
      <x:c r="S26" s="104" t="n">
        <x:v>847.676</x:v>
      </x:c>
      <x:c r="T26" s="104" t="n">
        <x:v>894.5480000000001</x:v>
      </x:c>
      <x:c r="U26" s="103" t="n">
        <x:v>903.916</x:v>
      </x:c>
      <x:c r="V26" s="104" t="n">
        <x:v>912.0200000000001</x:v>
      </x:c>
      <x:c r="W26" s="103" t="n">
        <x:v>948.576</x:v>
      </x:c>
      <x:c r="X26" s="104" t="n">
        <x:v>953.1560000000001</x:v>
      </x:c>
      <x:c r="Y26" s="104" t="n">
        <x:v>969.6840000000001</x:v>
      </x:c>
      <x:c r="Z26" s="104" t="n">
        <x:v>982.248</x:v>
      </x:c>
      <x:c r="AA26" s="104" t="n">
        <x:v>1050.3039999999999</x:v>
      </x:c>
      <x:c r="AB26" s="104" t="n">
        <x:v>1238.176</x:v>
      </x:c>
      <x:c r="AC26" s="104" t="n">
        <x:v>1285.02</x:v>
      </x:c>
      <x:c r="AD26" s="104" t="n">
        <x:v>1309.4759999999999</x:v>
      </x:c>
      <x:c r="AE26" s="104" t="n">
        <x:v>1342.136</x:v>
      </x:c>
      <x:c r="AF26" s="104" t="n">
        <x:v>1355.8799999999999</x:v>
      </x:c>
      <x:c r="AG26" s="89"/>
      <x:c r="AH26" s="89"/>
      <x:c r="AI26" s="89"/>
      <x:c r="AJ26" s="89"/>
      <x:c r="AK26" s="89"/>
      <x:c r="AL26" s="89"/>
      <x:c r="AM26" s="89"/>
      <x:c r="AN26" s="89"/>
      <x:c r="AO26" s="89"/>
    </x:row>
    <x:row r="27">
      <x:c r="A27" s="88" t="n">
        <x:v>23</x:v>
      </x:c>
      <x:c r="B27" s="88" t="str">
        <x:v>S23_KDM</x:v>
      </x:c>
      <x:c r="C27" s="88" t="n">
        <x:v>22</x:v>
      </x:c>
      <x:c r="D27" s="89" t="n">
        <x:v>8</x:v>
      </x:c>
      <x:c r="E27" s="88" t="n">
        <x:v>32</x:v>
      </x:c>
      <x:c r="F27" s="88" t="str">
        <x:v>레이더</x:v>
      </x:c>
      <x:c r="G27" s="88" t="n">
        <x:v>22</x:v>
      </x:c>
      <x:c r="H27" s="99" t="str">
        <x:v>자동 점검 통과</x:v>
      </x:c>
      <x:c r="I27" s="96" t="n">
        <x:v>17.03200000000001</x:v>
      </x:c>
      <x:c r="J27" s="96" t="n">
        <x:v>212.8</x:v>
      </x:c>
      <x:c r="K27" s="96" t="n">
        <x:v>229.692</x:v>
      </x:c>
      <x:c r="L27" s="95" t="n">
        <x:v>303.844</x:v>
      </x:c>
      <x:c r="M27" s="95" t="n">
        <x:v>314.196</x:v>
      </x:c>
      <x:c r="N27" s="95" t="n">
        <x:v>324.152</x:v>
      </x:c>
      <x:c r="O27" s="95" t="n">
        <x:v>333.6</x:v>
      </x:c>
      <x:c r="P27" s="95" t="n">
        <x:v>344.072</x:v>
      </x:c>
      <x:c r="Q27" s="95" t="n">
        <x:v>363.56</x:v>
      </x:c>
      <x:c r="R27" s="95" t="n">
        <x:v>392.26</x:v>
      </x:c>
      <x:c r="S27" s="95" t="n">
        <x:v>581.6800000000001</x:v>
      </x:c>
      <x:c r="T27" s="96" t="n">
        <x:v>603.5240000000001</x:v>
      </x:c>
      <x:c r="U27" s="96" t="n">
        <x:v>659.9960000000001</x:v>
      </x:c>
      <x:c r="V27" s="96" t="n">
        <x:v>671.0880000000001</x:v>
      </x:c>
      <x:c r="W27" s="96" t="n">
        <x:v>691.2120000000001</x:v>
      </x:c>
      <x:c r="X27" s="96" t="n">
        <x:v>702.5680000000001</x:v>
      </x:c>
      <x:c r="Y27" s="96" t="n">
        <x:v>756.1120000000001</x:v>
      </x:c>
      <x:c r="Z27" s="96" t="n">
        <x:v>762.3066666666667</x:v>
      </x:c>
      <x:c r="AA27" s="96" t="n">
        <x:v>777.9040000000001</x:v>
      </x:c>
      <x:c r="AB27" s="96" t="n">
        <x:v>819.5640000000001</x:v>
      </x:c>
      <x:c r="AC27" s="96" t="n">
        <x:v>831.408</x:v>
      </x:c>
      <x:c r="AD27" s="103" t="n">
        <x:v>841.3760000000001</x:v>
      </x:c>
      <x:c r="AE27" s="96" t="n">
        <x:v>880.892</x:v>
      </x:c>
      <x:c r="AF27" s="96" t="n">
        <x:v>899.908</x:v>
      </x:c>
      <x:c r="AG27" s="96" t="n">
        <x:v>907.7600000000001</x:v>
      </x:c>
      <x:c r="AH27" s="96" t="n">
        <x:v>946.6360000000001</x:v>
      </x:c>
      <x:c r="AI27" s="96" t="n">
        <x:v>1130.296</x:v>
      </x:c>
      <x:c r="AJ27" s="96" t="n">
        <x:v>1147.392</x:v>
      </x:c>
      <x:c r="AK27" s="96" t="n">
        <x:v>1170.656</x:v>
      </x:c>
      <x:c r="AL27" s="96" t="n">
        <x:v>1193.716</x:v>
      </x:c>
      <x:c r="AM27" s="103" t="n">
        <x:v>1202.568</x:v>
      </x:c>
      <x:c r="AN27" s="96" t="n">
        <x:v>1211.424</x:v>
      </x:c>
      <x:c r="AO27" s="89"/>
    </x:row>
    <x:row r="28">
      <x:c r="A28" s="88" t="n">
        <x:v>24</x:v>
      </x:c>
      <x:c r="B28" s="88" t="str">
        <x:v>S24_KHJ</x:v>
      </x:c>
      <x:c r="C28" s="88" t="n">
        <x:v>22</x:v>
      </x:c>
      <x:c r="D28" s="89" t="n">
        <x:v>7.5</x:v>
      </x:c>
      <x:c r="E28" s="88" t="n">
        <x:v>27</x:v>
      </x:c>
      <x:c r="F28" s="88" t="str">
        <x:v>BIOPAC only</x:v>
      </x:c>
      <x:c r="G28" s="88" t="n">
        <x:v>0</x:v>
      </x:c>
      <x:c r="H28" s="94" t="str">
        <x:v>원본 누락</x:v>
      </x:c>
      <x:c r="I28" s="89" t="n">
        <x:v>31.216</x:v>
      </x:c>
      <x:c r="J28" s="89" t="n">
        <x:v>223.514</x:v>
      </x:c>
      <x:c r="K28" s="89" t="n">
        <x:v>252.228</x:v>
      </x:c>
      <x:c r="L28" s="89" t="n">
        <x:v>478.376</x:v>
      </x:c>
      <x:c r="M28" s="89" t="n">
        <x:v>624.2280000000001</x:v>
      </x:c>
      <x:c r="N28" s="89" t="n">
        <x:v>634.784</x:v>
      </x:c>
      <x:c r="O28" s="89" t="n">
        <x:v>692.024</x:v>
      </x:c>
      <x:c r="P28" s="89" t="n">
        <x:v>696.056</x:v>
      </x:c>
      <x:c r="Q28" s="89" t="n">
        <x:v>711.212</x:v>
      </x:c>
      <x:c r="R28" s="89" t="n">
        <x:v>727.148</x:v>
      </x:c>
      <x:c r="S28" s="89" t="n">
        <x:v>739.528</x:v>
      </x:c>
      <x:c r="T28" s="89" t="n">
        <x:v>820.468</x:v>
      </x:c>
      <x:c r="U28" s="89" t="n">
        <x:v>841.34</x:v>
      </x:c>
      <x:c r="V28" s="89" t="n">
        <x:v>852.294</x:v>
      </x:c>
      <x:c r="W28" s="89" t="n">
        <x:v>859.132</x:v>
      </x:c>
      <x:c r="X28" s="89" t="n">
        <x:v>899.2139999999999</x:v>
      </x:c>
      <x:c r="Y28" s="89" t="n">
        <x:v>907.82</x:v>
      </x:c>
      <x:c r="Z28" s="89" t="n">
        <x:v>956.9680000000001</x:v>
      </x:c>
      <x:c r="AA28" s="89" t="n">
        <x:v>984.156</x:v>
      </x:c>
      <x:c r="AB28" s="89" t="n">
        <x:v>1056.436</x:v>
      </x:c>
      <x:c r="AC28" s="89" t="n">
        <x:v>1240.9</x:v>
      </x:c>
      <x:c r="AD28" s="89" t="n">
        <x:v>1276.02</x:v>
      </x:c>
      <x:c r="AE28" s="89" t="n">
        <x:v>1289.632</x:v>
      </x:c>
      <x:c r="AF28" s="89" t="n">
        <x:v>1294.388</x:v>
      </x:c>
      <x:c r="AG28" s="89" t="n">
        <x:v>1317.1493333333335</x:v>
      </x:c>
      <x:c r="AH28" s="89" t="n">
        <x:v>1345.4</x:v>
      </x:c>
      <x:c r="AI28" s="89" t="n">
        <x:v>1360.308</x:v>
      </x:c>
      <x:c r="AJ28" s="89"/>
      <x:c r="AK28" s="89"/>
      <x:c r="AL28" s="89"/>
      <x:c r="AM28" s="89"/>
      <x:c r="AN28" s="89"/>
      <x:c r="AO28" s="89"/>
    </x:row>
    <x:row r="29">
      <x:c r="A29" s="88" t="n">
        <x:v>25</x:v>
      </x:c>
      <x:c r="B29" s="88" t="str">
        <x:v>S25_GEC</x:v>
      </x:c>
      <x:c r="C29" s="88" t="n">
        <x:v>22</x:v>
      </x:c>
      <x:c r="D29" s="89" t="n">
        <x:v>8.5</x:v>
      </x:c>
      <x:c r="E29" s="88" t="n">
        <x:v>27</x:v>
      </x:c>
      <x:c r="F29" s="88" t="str">
        <x:v>레이더</x:v>
      </x:c>
      <x:c r="G29" s="88" t="n">
        <x:v>22</x:v>
      </x:c>
      <x:c r="H29" s="98" t="str">
        <x:v>대체 후보 있음</x:v>
      </x:c>
      <x:c r="I29" s="96" t="n">
        <x:v>18.704000000000022</x:v>
      </x:c>
      <x:c r="J29" s="96" t="n">
        <x:v>216.50800000000004</x:v>
      </x:c>
      <x:c r="K29" s="103" t="n">
        <x:v>220.78400000000002</x:v>
      </x:c>
      <x:c r="L29" s="96" t="n">
        <x:v>236.96800000000002</x:v>
      </x:c>
      <x:c r="M29" s="96" t="n">
        <x:v>609.884</x:v>
      </x:c>
      <x:c r="N29" s="96" t="n">
        <x:v>699.87</x:v>
      </x:c>
      <x:c r="O29" s="96" t="n">
        <x:v>722.632</x:v>
      </x:c>
      <x:c r="P29" s="96" t="n">
        <x:v>738.604</x:v>
      </x:c>
      <x:c r="Q29" s="96" t="n">
        <x:v>749.264</x:v>
      </x:c>
      <x:c r="R29" s="96" t="n">
        <x:v>847.968</x:v>
      </x:c>
      <x:c r="S29" s="96" t="n">
        <x:v>863.676</x:v>
      </x:c>
      <x:c r="T29" s="96" t="n">
        <x:v>874.524</x:v>
      </x:c>
      <x:c r="U29" s="103" t="n">
        <x:v>919.492</x:v>
      </x:c>
      <x:c r="V29" s="96" t="n">
        <x:v>923.876</x:v>
      </x:c>
      <x:c r="W29" s="96" t="n">
        <x:v>933.948</x:v>
      </x:c>
      <x:c r="X29" s="103" t="n">
        <x:v>983.884</x:v>
      </x:c>
      <x:c r="Y29" s="96" t="n">
        <x:v>989.248</x:v>
      </x:c>
      <x:c r="Z29" s="96" t="n">
        <x:v>1008.116</x:v>
      </x:c>
      <x:c r="AA29" s="96" t="n">
        <x:v>1021.892</x:v>
      </x:c>
      <x:c r="AB29" s="96" t="n">
        <x:v>1093.524</x:v>
      </x:c>
      <x:c r="AC29" s="96" t="n">
        <x:v>1283.88</x:v>
      </x:c>
      <x:c r="AD29" s="103" t="n">
        <x:v>1311.692</x:v>
      </x:c>
      <x:c r="AE29" s="96" t="n">
        <x:v>1319.396</x:v>
      </x:c>
      <x:c r="AF29" s="103" t="n">
        <x:v>1324.748</x:v>
      </x:c>
      <x:c r="AG29" s="96" t="n">
        <x:v>1345.38</x:v>
      </x:c>
      <x:c r="AH29" s="96" t="n">
        <x:v>1373.112</x:v>
      </x:c>
      <x:c r="AI29" s="96" t="n">
        <x:v>1387.38</x:v>
      </x:c>
      <x:c r="AJ29" s="89"/>
      <x:c r="AK29" s="89"/>
      <x:c r="AL29" s="89"/>
      <x:c r="AM29" s="89"/>
      <x:c r="AN29" s="89"/>
      <x:c r="AO29" s="89"/>
    </x:row>
    <x:row r="30">
      <x:c r="A30" s="88" t="n">
        <x:v>26</x:v>
      </x:c>
      <x:c r="B30" s="88" t="str">
        <x:v>S26_LDW</x:v>
      </x:c>
      <x:c r="C30" s="88" t="n">
        <x:v>22</x:v>
      </x:c>
      <x:c r="D30" s="89" t="n">
        <x:v>8</x:v>
      </x:c>
      <x:c r="E30" s="88" t="n">
        <x:v>24</x:v>
      </x:c>
      <x:c r="F30" s="88" t="str">
        <x:v>레이더</x:v>
      </x:c>
      <x:c r="G30" s="88" t="n">
        <x:v>22</x:v>
      </x:c>
      <x:c r="H30" s="99" t="str">
        <x:v>자동 점검 통과</x:v>
      </x:c>
      <x:c r="I30" s="96" t="n">
        <x:v>12.588000000000042</x:v>
      </x:c>
      <x:c r="J30" s="96" t="n">
        <x:v>206.84400000000005</x:v>
      </x:c>
      <x:c r="K30" s="96" t="n">
        <x:v>257.132</x:v>
      </x:c>
      <x:c r="L30" s="96" t="n">
        <x:v>633.0600000000001</x:v>
      </x:c>
      <x:c r="M30" s="96" t="n">
        <x:v>687.072</x:v>
      </x:c>
      <x:c r="N30" s="96" t="n">
        <x:v>699.96</x:v>
      </x:c>
      <x:c r="O30" s="96" t="n">
        <x:v>718.672</x:v>
      </x:c>
      <x:c r="P30" s="96" t="n">
        <x:v>730.8000000000001</x:v>
      </x:c>
      <x:c r="Q30" s="96" t="n">
        <x:v>788.4200000000001</x:v>
      </x:c>
      <x:c r="R30" s="103" t="n">
        <x:v>794.936</x:v>
      </x:c>
      <x:c r="S30" s="96" t="n">
        <x:v>804.976</x:v>
      </x:c>
      <x:c r="T30" s="96" t="n">
        <x:v>817.904</x:v>
      </x:c>
      <x:c r="U30" s="96" t="n">
        <x:v>864.6493333333334</x:v>
      </x:c>
      <x:c r="V30" s="96" t="n">
        <x:v>874.236</x:v>
      </x:c>
      <x:c r="W30" s="103" t="n">
        <x:v>879.344</x:v>
      </x:c>
      <x:c r="X30" s="96" t="n">
        <x:v>923.3600000000001</x:v>
      </x:c>
      <x:c r="Y30" s="96" t="n">
        <x:v>944.8960000000001</x:v>
      </x:c>
      <x:c r="Z30" s="96" t="n">
        <x:v>958.112</x:v>
      </x:c>
      <x:c r="AA30" s="96" t="n">
        <x:v>1021.684</x:v>
      </x:c>
      <x:c r="AB30" s="96" t="n">
        <x:v>1213.6293333333333</x:v>
      </x:c>
      <x:c r="AC30" s="96" t="n">
        <x:v>1230.5200000000002</x:v>
      </x:c>
      <x:c r="AD30" s="96" t="n">
        <x:v>1256.652</x:v>
      </x:c>
      <x:c r="AE30" s="96" t="n">
        <x:v>1277.9920000000002</x:v>
      </x:c>
      <x:c r="AF30" s="96" t="n">
        <x:v>1291.4080000000001</x:v>
      </x:c>
      <x:c r="AG30" s="89"/>
      <x:c r="AH30" s="89"/>
      <x:c r="AI30" s="89"/>
      <x:c r="AJ30" s="89"/>
      <x:c r="AK30" s="89"/>
      <x:c r="AL30" s="89"/>
      <x:c r="AM30" s="89"/>
      <x:c r="AN30" s="89"/>
      <x:c r="AO30" s="89"/>
    </x:row>
    <x:row r="31">
      <x:c r="A31" s="88" t="n">
        <x:v>27</x:v>
      </x:c>
      <x:c r="B31" s="88" t="str">
        <x:v>S27_HDH</x:v>
      </x:c>
      <x:c r="C31" s="88" t="n">
        <x:v>22</x:v>
      </x:c>
      <x:c r="D31" s="89" t="n">
        <x:v>8</x:v>
      </x:c>
      <x:c r="E31" s="88" t="n">
        <x:v>33</x:v>
      </x:c>
      <x:c r="F31" s="88" t="str">
        <x:v>레이더</x:v>
      </x:c>
      <x:c r="G31" s="88" t="n">
        <x:v>22</x:v>
      </x:c>
      <x:c r="H31" s="94" t="str">
        <x:v>수동값/원시 불일치</x:v>
      </x:c>
      <x:c r="I31" s="103" t="n">
        <x:v>-2.083999999999936</x:v>
      </x:c>
      <x:c r="J31" s="96" t="n">
        <x:v>4.8680000000000625</x:v>
      </x:c>
      <x:c r="K31" s="103" t="n">
        <x:v>201.85333333333338</x:v>
      </x:c>
      <x:c r="L31" s="103" t="n">
        <x:v>224.43040000000008</x:v>
      </x:c>
      <x:c r="M31" s="95" t="n">
        <x:v>294.83200000000005</x:v>
      </x:c>
      <x:c r="N31" s="95" t="n">
        <x:v>333.85600000000005</x:v>
      </x:c>
      <x:c r="O31" s="95" t="n">
        <x:v>343.6240000000001</x:v>
      </x:c>
      <x:c r="P31" s="95" t="n">
        <x:v>480.2752000000001</x:v>
      </x:c>
      <x:c r="Q31" s="95" t="n">
        <x:v>494.9800000000001</x:v>
      </x:c>
      <x:c r="R31" s="95" t="n">
        <x:v>535.9920000000001</x:v>
      </x:c>
      <x:c r="S31" s="95" t="n">
        <x:v>546.6620000000001</x:v>
      </x:c>
      <x:c r="T31" s="95" t="n">
        <x:v>580.2640000000001</x:v>
      </x:c>
      <x:c r="U31" s="96" t="n">
        <x:v>598.373</x:v>
      </x:c>
      <x:c r="V31" s="96" t="n">
        <x:v>648.4440000000001</x:v>
      </x:c>
      <x:c r="W31" s="96" t="n">
        <x:v>665.6626666666668</x:v>
      </x:c>
      <x:c r="X31" s="103" t="n">
        <x:v>684.2653333333335</x:v>
      </x:c>
      <x:c r="Y31" s="103" t="n">
        <x:v>698.0120000000001</x:v>
      </x:c>
      <x:c r="Z31" s="96" t="n">
        <x:v>754.6417142857144</x:v>
      </x:c>
      <x:c r="AA31" s="103" t="n">
        <x:v>762.7600000000001</x:v>
      </x:c>
      <x:c r="AB31" s="96" t="n">
        <x:v>768.6224000000001</x:v>
      </x:c>
      <x:c r="AC31" s="96" t="n">
        <x:v>779.8220000000001</x:v>
      </x:c>
      <x:c r="AD31" s="103" t="n">
        <x:v>786.4840000000002</x:v>
      </x:c>
      <x:c r="AE31" s="96" t="n">
        <x:v>826.4820000000001</x:v>
      </x:c>
      <x:c r="AF31" s="103" t="n">
        <x:v>840.8826666666669</x:v>
      </x:c>
      <x:c r="AG31" s="96" t="n">
        <x:v>890.0660000000001</x:v>
      </x:c>
      <x:c r="AH31" s="96" t="n">
        <x:v>911.0400000000002</x:v>
      </x:c>
      <x:c r="AI31" s="96" t="n">
        <x:v>921.5666666666667</x:v>
      </x:c>
      <x:c r="AJ31" s="103" t="n">
        <x:v>969.8104000000001</x:v>
      </x:c>
      <x:c r="AK31" s="96" t="n">
        <x:v>1158.0295</x:v>
      </x:c>
      <x:c r="AL31" s="96" t="n">
        <x:v>1184.4899999999998</x:v>
      </x:c>
      <x:c r="AM31" s="96" t="n">
        <x:v>1205.3973333333333</x:v>
      </x:c>
      <x:c r="AN31" s="96" t="n">
        <x:v>1224.254</x:v>
      </x:c>
      <x:c r="AO31" s="96" t="n">
        <x:v>1236.2933333333333</x:v>
      </x:c>
    </x:row>
    <x:row r="32">
      <x:c r="A32" s="88" t="n">
        <x:v>28</x:v>
      </x:c>
      <x:c r="B32" s="88" t="str">
        <x:v>S28_KDH</x:v>
      </x:c>
      <x:c r="C32" s="88" t="n">
        <x:v>22</x:v>
      </x:c>
      <x:c r="D32" s="89" t="n">
        <x:v>7</x:v>
      </x:c>
      <x:c r="E32" s="88" t="n">
        <x:v>25</x:v>
      </x:c>
      <x:c r="F32" s="88" t="str">
        <x:v>레이더</x:v>
      </x:c>
      <x:c r="G32" s="88" t="n">
        <x:v>22</x:v>
      </x:c>
      <x:c r="H32" s="99" t="str">
        <x:v>자동 점검 통과</x:v>
      </x:c>
      <x:c r="I32" s="96" t="n">
        <x:v>14.424000000000055</x:v>
      </x:c>
      <x:c r="J32" s="96" t="n">
        <x:v>207.58000000000004</x:v>
      </x:c>
      <x:c r="K32" s="103" t="n">
        <x:v>214.39200000000005</x:v>
      </x:c>
      <x:c r="L32" s="96" t="n">
        <x:v>238.92400000000004</x:v>
      </x:c>
      <x:c r="M32" s="96" t="n">
        <x:v>616.316</x:v>
      </x:c>
      <x:c r="N32" s="96" t="n">
        <x:v>674.368</x:v>
      </x:c>
      <x:c r="O32" s="96" t="n">
        <x:v>690.6840000000001</x:v>
      </x:c>
      <x:c r="P32" s="96" t="n">
        <x:v>709.596</x:v>
      </x:c>
      <x:c r="Q32" s="96" t="n">
        <x:v>724.6600000000001</x:v>
      </x:c>
      <x:c r="R32" s="96" t="n">
        <x:v>788.84</x:v>
      </x:c>
      <x:c r="S32" s="103" t="n">
        <x:v>797.86</x:v>
      </x:c>
      <x:c r="T32" s="96" t="n">
        <x:v>804.416</x:v>
      </x:c>
      <x:c r="U32" s="96" t="n">
        <x:v>817.7</x:v>
      </x:c>
      <x:c r="V32" s="96" t="n">
        <x:v>865.7080000000001</x:v>
      </x:c>
      <x:c r="W32" s="96" t="n">
        <x:v>881.24</x:v>
      </x:c>
      <x:c r="X32" s="103" t="n">
        <x:v>887.404</x:v>
      </x:c>
      <x:c r="Y32" s="96" t="n">
        <x:v>928.0600000000001</x:v>
      </x:c>
      <x:c r="Z32" s="96" t="n">
        <x:v>946.028</x:v>
      </x:c>
      <x:c r="AA32" s="96" t="n">
        <x:v>957.956</x:v>
      </x:c>
      <x:c r="AB32" s="96" t="n">
        <x:v>1002.46</x:v>
      </x:c>
      <x:c r="AC32" s="96" t="n">
        <x:v>1191.396</x:v>
      </x:c>
      <x:c r="AD32" s="96" t="n">
        <x:v>1214.4840000000002</x:v>
      </x:c>
      <x:c r="AE32" s="96" t="n">
        <x:v>1239.976</x:v>
      </x:c>
      <x:c r="AF32" s="96" t="n">
        <x:v>1265.272</x:v>
      </x:c>
      <x:c r="AG32" s="96" t="n">
        <x:v>1278.26</x:v>
      </x:c>
      <x:c r="AH32" s="89"/>
      <x:c r="AI32" s="89"/>
      <x:c r="AJ32" s="89"/>
      <x:c r="AK32" s="89"/>
      <x:c r="AL32" s="89"/>
      <x:c r="AM32" s="89"/>
      <x:c r="AN32" s="89"/>
      <x:c r="AO32" s="89"/>
    </x:row>
    <x:row r="33">
      <x:c r="A33" s="88" t="n">
        <x:v>29</x:v>
      </x:c>
      <x:c r="B33" s="88" t="str">
        <x:v>S29_LHS</x:v>
      </x:c>
      <x:c r="C33" s="88" t="n">
        <x:v>22</x:v>
      </x:c>
      <x:c r="D33" s="89" t="n">
        <x:v>8.5</x:v>
      </x:c>
      <x:c r="E33" s="88" t="n">
        <x:v>23</x:v>
      </x:c>
      <x:c r="F33" s="88" t="str">
        <x:v>레이더</x:v>
      </x:c>
      <x:c r="G33" s="88" t="n">
        <x:v>22</x:v>
      </x:c>
      <x:c r="H33" s="94" t="str">
        <x:v>수동값/원시 불일치</x:v>
      </x:c>
      <x:c r="I33" s="96" t="n">
        <x:v>17.784000000000002</x:v>
      </x:c>
      <x:c r="J33" s="96" t="n">
        <x:v>209.82400000000004</x:v>
      </x:c>
      <x:c r="K33" s="96" t="n">
        <x:v>232.38400000000001</x:v>
      </x:c>
      <x:c r="L33" s="96" t="n">
        <x:v>606.668</x:v>
      </x:c>
      <x:c r="M33" s="96" t="n">
        <x:v>652.4859999999999</x:v>
      </x:c>
      <x:c r="N33" s="96" t="n">
        <x:v>666.664</x:v>
      </x:c>
      <x:c r="O33" s="96" t="n">
        <x:v>682.42</x:v>
      </x:c>
      <x:c r="P33" s="96" t="n">
        <x:v>695.828</x:v>
      </x:c>
      <x:c r="Q33" s="96" t="n">
        <x:v>764.14</x:v>
      </x:c>
      <x:c r="R33" s="96" t="n">
        <x:v>781.232</x:v>
      </x:c>
      <x:c r="S33" s="96" t="n">
        <x:v>790.8</x:v>
      </x:c>
      <x:c r="T33" s="96" t="n">
        <x:v>837.3399999999999</x:v>
      </x:c>
      <x:c r="U33" s="96" t="n">
        <x:v>848.692</x:v>
      </x:c>
      <x:c r="V33" s="96" t="n">
        <x:v>896.944</x:v>
      </x:c>
      <x:c r="W33" s="96" t="n">
        <x:v>914.5</x:v>
      </x:c>
      <x:c r="X33" s="96" t="n">
        <x:v>927.2239999999999</x:v>
      </x:c>
      <x:c r="Y33" s="103" t="n">
        <x:v>969.6959999999999</x:v>
      </x:c>
      <x:c r="Z33" s="103" t="n">
        <x:v>975</x:v>
      </x:c>
      <x:c r="AA33" s="96" t="n">
        <x:v>1158.54</x:v>
      </x:c>
      <x:c r="AB33" s="96" t="n">
        <x:v>1186.98</x:v>
      </x:c>
      <x:c r="AC33" s="96" t="n">
        <x:v>1210.2746666666667</x:v>
      </x:c>
      <x:c r="AD33" s="96" t="n">
        <x:v>1236.9279999999999</x:v>
      </x:c>
      <x:c r="AE33" s="96" t="n">
        <x:v>1251.6200000000001</x:v>
      </x:c>
      <x:c r="AF33" s="89"/>
      <x:c r="AG33" s="89"/>
      <x:c r="AH33" s="89"/>
      <x:c r="AI33" s="89"/>
      <x:c r="AJ33" s="89"/>
      <x:c r="AK33" s="89"/>
      <x:c r="AL33" s="89"/>
      <x:c r="AM33" s="89"/>
      <x:c r="AN33" s="89"/>
      <x:c r="AO33" s="89"/>
    </x:row>
    <x:row r="34">
      <x:c r="A34" s="90" t="n">
        <x:v>30</x:v>
      </x:c>
      <x:c r="B34" s="90" t="str">
        <x:v>S30_SJE</x:v>
      </x:c>
      <x:c r="C34" s="90" t="n">
        <x:v>22</x:v>
      </x:c>
      <x:c r="D34" s="91" t="n">
        <x:v>5.5</x:v>
      </x:c>
      <x:c r="E34" s="90" t="n">
        <x:v>23</x:v>
      </x:c>
      <x:c r="F34" s="90" t="str">
        <x:v>레이더</x:v>
      </x:c>
      <x:c r="G34" s="90" t="n">
        <x:v>22</x:v>
      </x:c>
      <x:c r="H34" s="100" t="str">
        <x:v>수동값/원시 불일치</x:v>
      </x:c>
      <x:c r="I34" s="105" t="n">
        <x:v>-1.6880000000000006</x:v>
      </x:c>
      <x:c r="J34" s="101" t="n">
        <x:v>5.479999999999999</x:v>
      </x:c>
      <x:c r="K34" s="105" t="n">
        <x:v>243.912</x:v>
      </x:c>
      <x:c r="L34" s="105" t="n">
        <x:v>615.9159999999999</x:v>
      </x:c>
      <x:c r="M34" s="101" t="n">
        <x:v>676.876</x:v>
      </x:c>
      <x:c r="N34" s="105" t="n">
        <x:v>687.358</x:v>
      </x:c>
      <x:c r="O34" s="102" t="n">
        <x:v>703.3</x:v>
      </x:c>
      <x:c r="P34" s="102" t="n">
        <x:v>711.1519999999999</x:v>
      </x:c>
      <x:c r="Q34" s="105" t="n">
        <x:v>781.1759999999999</x:v>
      </x:c>
      <x:c r="R34" s="101" t="n">
        <x:v>791.6999999999999</x:v>
      </x:c>
      <x:c r="S34" s="101" t="n">
        <x:v>801.188</x:v>
      </x:c>
      <x:c r="T34" s="105" t="n">
        <x:v>840.288</x:v>
      </x:c>
      <x:c r="U34" s="101" t="n">
        <x:v>844.548</x:v>
      </x:c>
      <x:c r="V34" s="101" t="n">
        <x:v>854.096</x:v>
      </x:c>
      <x:c r="W34" s="101" t="n">
        <x:v>895.516</x:v>
      </x:c>
      <x:c r="X34" s="101" t="n">
        <x:v>912.26</x:v>
      </x:c>
      <x:c r="Y34" s="105" t="n">
        <x:v>921.168</x:v>
      </x:c>
      <x:c r="Z34" s="101" t="n">
        <x:v>970.672</x:v>
      </x:c>
      <x:c r="AA34" s="101" t="n">
        <x:v>1159.432</x:v>
      </x:c>
      <x:c r="AB34" s="102" t="n">
        <x:v>1192.824</x:v>
      </x:c>
      <x:c r="AC34" s="105" t="n">
        <x:v>1212.304</x:v>
      </x:c>
      <x:c r="AD34" s="101" t="n">
        <x:v>1244.4160000000002</x:v>
      </x:c>
      <x:c r="AE34" s="101" t="n">
        <x:v>1254.7720000000002</x:v>
      </x:c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</x:row>
  </x:sheetData>
  <x:mergeCells>
    <x:mergeCell ref="A1:AO1"/>
    <x:mergeCell ref="A2:A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4" hidden="0" customWidth="1"/>
    <x:col min="4" max="4" width="2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 ht="30" customHeight="1">
      <x:c r="A1" s="49" t="str">
        <x:v>선택 마커 번호표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30" customHeight="1">
      <x:c r="A2" s="52" t="str">
        <x:v>M01, M02… 번호를 시나리오 시작·종료 경계에 직접 연결했습니다. 초록=현재 선택, 파랑=시간패턴 추천(미확정), 빈칸=선택 불가/경계 누락.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4" ht="24" customHeight="1">
      <x:c r="A4" s="106" t="str">
        <x:v>초기 프로토콜 — S01~S03 / 20개 마커</x:v>
      </x:c>
      <x:c r="B4" s="106"/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</x:row>
    <x:row r="5">
      <x:c r="A5" s="65" t="str">
        <x:v>번호</x:v>
      </x:c>
      <x:c r="B5" s="65" t="str">
        <x:v>참가자</x:v>
      </x:c>
      <x:c r="C5" s="65" t="str">
        <x:v>값 출처</x:v>
      </x:c>
      <x:c r="D5" s="65" t="str">
        <x:v>판정</x:v>
      </x:c>
      <x:c r="E5" s="109" t="str">
        <x:v>M01</x:v>
      </x:c>
      <x:c r="F5" s="109" t="str">
        <x:v>M02</x:v>
      </x:c>
      <x:c r="G5" s="109" t="str">
        <x:v>M03</x:v>
      </x:c>
      <x:c r="H5" s="109" t="str">
        <x:v>M04</x:v>
      </x:c>
      <x:c r="I5" s="109" t="str">
        <x:v>M05</x:v>
      </x:c>
      <x:c r="J5" s="109" t="str">
        <x:v>M06</x:v>
      </x:c>
      <x:c r="K5" s="109" t="str">
        <x:v>M07</x:v>
      </x:c>
      <x:c r="L5" s="109" t="str">
        <x:v>M08</x:v>
      </x:c>
      <x:c r="M5" s="109" t="str">
        <x:v>M09</x:v>
      </x:c>
      <x:c r="N5" s="109" t="str">
        <x:v>M10</x:v>
      </x:c>
      <x:c r="O5" s="109" t="str">
        <x:v>M11</x:v>
      </x:c>
      <x:c r="P5" s="109" t="str">
        <x:v>M12</x:v>
      </x:c>
      <x:c r="Q5" s="109" t="str">
        <x:v>M13</x:v>
      </x:c>
      <x:c r="R5" s="109" t="str">
        <x:v>M14</x:v>
      </x:c>
      <x:c r="S5" s="109" t="str">
        <x:v>M15</x:v>
      </x:c>
      <x:c r="T5" s="109" t="str">
        <x:v>M16</x:v>
      </x:c>
      <x:c r="U5" s="109" t="str">
        <x:v>M17</x:v>
      </x:c>
      <x:c r="V5" s="109" t="str">
        <x:v>M18</x:v>
      </x:c>
      <x:c r="W5" s="109" t="str">
        <x:v>M19</x:v>
      </x:c>
      <x:c r="X5" s="109" t="str">
        <x:v>M20</x:v>
      </x:c>
    </x:row>
    <x:row r="6">
      <x:c r="A6" s="65"/>
      <x:c r="B6" s="65"/>
      <x:c r="C6" s="65"/>
      <x:c r="D6" s="65"/>
      <x:c r="E6" s="113" t="str">
        <x:v>1 시작</x:v>
      </x:c>
      <x:c r="F6" s="113" t="str">
        <x:v>1 종료</x:v>
      </x:c>
      <x:c r="G6" s="118" t="str">
        <x:v>2 시작</x:v>
      </x:c>
      <x:c r="H6" s="118" t="str">
        <x:v>2 종료</x:v>
      </x:c>
      <x:c r="I6" s="123" t="str">
        <x:v>3-1 시작</x:v>
      </x:c>
      <x:c r="J6" s="123" t="str">
        <x:v>3-1 종료</x:v>
      </x:c>
      <x:c r="K6" s="123" t="str">
        <x:v>3-2 시작</x:v>
      </x:c>
      <x:c r="L6" s="123" t="str">
        <x:v>3-2 종료</x:v>
      </x:c>
      <x:c r="M6" s="128" t="str">
        <x:v>4-1 시작</x:v>
      </x:c>
      <x:c r="N6" s="128" t="str">
        <x:v>4-1 종료</x:v>
      </x:c>
      <x:c r="O6" s="128" t="str">
        <x:v>4-2 시작</x:v>
      </x:c>
      <x:c r="P6" s="128" t="str">
        <x:v>4-2 종료</x:v>
      </x:c>
      <x:c r="Q6" s="128" t="str">
        <x:v>4-3 시작</x:v>
      </x:c>
      <x:c r="R6" s="128" t="str">
        <x:v>4-3 종료</x:v>
      </x:c>
      <x:c r="S6" s="133" t="str">
        <x:v>5 시작</x:v>
      </x:c>
      <x:c r="T6" s="133" t="str">
        <x:v>5 종료</x:v>
      </x:c>
      <x:c r="U6" s="138" t="str">
        <x:v>6 시작</x:v>
      </x:c>
      <x:c r="V6" s="138" t="str">
        <x:v>6 종료</x:v>
      </x:c>
      <x:c r="W6" s="143" t="str">
        <x:v>7 시작</x:v>
      </x:c>
      <x:c r="X6" s="143" t="str">
        <x:v>7 종료</x:v>
      </x:c>
    </x:row>
    <x:row r="7">
      <x:c r="A7" s="86" t="n">
        <x:v>1</x:v>
      </x:c>
      <x:c r="B7" s="86" t="str">
        <x:v>S01_CMS</x:v>
      </x:c>
      <x:c r="C7" s="86" t="str">
        <x:v>없음</x:v>
      </x:c>
      <x:c r="D7" s="92" t="str">
        <x:v>후보군 검토 필요</x:v>
      </x:c>
      <x:c r="E7" s="87"/>
      <x:c r="F7" s="87"/>
      <x:c r="G7" s="87"/>
      <x:c r="H7" s="87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87"/>
      <x:c r="T7" s="87"/>
      <x:c r="U7" s="87"/>
      <x:c r="V7" s="87"/>
      <x:c r="W7" s="87"/>
      <x:c r="X7" s="87"/>
    </x:row>
    <x:row r="8">
      <x:c r="A8" s="88" t="n">
        <x:v>2</x:v>
      </x:c>
      <x:c r="B8" s="88" t="str">
        <x:v>S02_RJS</x:v>
      </x:c>
      <x:c r="C8" s="88" t="str">
        <x:v>기존 엑셀값</x:v>
      </x:c>
      <x:c r="D8" s="94" t="str">
        <x:v>수동값/원시 불일치</x:v>
      </x:c>
      <x:c r="E8" s="144" t="n">
        <x:v>25</x:v>
      </x:c>
      <x:c r="F8" s="144" t="n">
        <x:v>217</x:v>
      </x:c>
      <x:c r="G8" s="144" t="n">
        <x:v>245</x:v>
      </x:c>
      <x:c r="H8" s="144" t="n">
        <x:v>611</x:v>
      </x:c>
      <x:c r="I8" s="144" t="n">
        <x:v>708</x:v>
      </x:c>
      <x:c r="J8" s="144" t="n">
        <x:v>723</x:v>
      </x:c>
      <x:c r="K8" s="144" t="n">
        <x:v>740</x:v>
      </x:c>
      <x:c r="L8" s="144" t="n">
        <x:v>754</x:v>
      </x:c>
      <x:c r="M8" s="144" t="n">
        <x:v>842</x:v>
      </x:c>
      <x:c r="N8" s="144" t="n">
        <x:v>896</x:v>
      </x:c>
      <x:c r="O8" s="144" t="n">
        <x:v>896</x:v>
      </x:c>
      <x:c r="P8" s="144" t="n">
        <x:v>944</x:v>
      </x:c>
      <x:c r="Q8" s="144" t="n">
        <x:v>946</x:v>
      </x:c>
      <x:c r="R8" s="144" t="n">
        <x:v>1000</x:v>
      </x:c>
      <x:c r="S8" s="144" t="n">
        <x:v>1020</x:v>
      </x:c>
      <x:c r="T8" s="144" t="n">
        <x:v>1184</x:v>
      </x:c>
      <x:c r="U8" s="144" t="n">
        <x:v>1232</x:v>
      </x:c>
      <x:c r="V8" s="144" t="n">
        <x:v>1259</x:v>
      </x:c>
      <x:c r="W8" s="144" t="n">
        <x:v>1286</x:v>
      </x:c>
      <x:c r="X8" s="144" t="n">
        <x:v>1295</x:v>
      </x:c>
    </x:row>
    <x:row r="9">
      <x:c r="A9" s="90" t="n">
        <x:v>3</x:v>
      </x:c>
      <x:c r="B9" s="90" t="str">
        <x:v>S03_PSJ</x:v>
      </x:c>
      <x:c r="C9" s="90" t="str">
        <x:v>기존 엑셀값</x:v>
      </x:c>
      <x:c r="D9" s="100" t="str">
        <x:v>선택 마커 수 불일치</x:v>
      </x:c>
      <x:c r="E9" s="145" t="n">
        <x:v>23</x:v>
      </x:c>
      <x:c r="F9" s="145" t="n">
        <x:v>210</x:v>
      </x:c>
      <x:c r="G9" s="145" t="n">
        <x:v>276</x:v>
      </x:c>
      <x:c r="H9" s="145" t="n">
        <x:v>646</x:v>
      </x:c>
      <x:c r="I9" s="91"/>
      <x:c r="J9" s="145" t="n">
        <x:v>736</x:v>
      </x:c>
      <x:c r="K9" s="91"/>
      <x:c r="L9" s="91"/>
      <x:c r="M9" s="145" t="n">
        <x:v>934</x:v>
      </x:c>
      <x:c r="N9" s="145" t="n">
        <x:v>945</x:v>
      </x:c>
      <x:c r="O9" s="145" t="n">
        <x:v>971</x:v>
      </x:c>
      <x:c r="P9" s="145" t="n">
        <x:v>1010</x:v>
      </x:c>
      <x:c r="Q9" s="145" t="n">
        <x:v>1028</x:v>
      </x:c>
      <x:c r="R9" s="145" t="n">
        <x:v>1072</x:v>
      </x:c>
      <x:c r="S9" s="145" t="n">
        <x:v>1168</x:v>
      </x:c>
      <x:c r="T9" s="145" t="n">
        <x:v>1358</x:v>
      </x:c>
      <x:c r="U9" s="145" t="n">
        <x:v>1412</x:v>
      </x:c>
      <x:c r="V9" s="145" t="n">
        <x:v>1433</x:v>
      </x:c>
      <x:c r="W9" s="145" t="n">
        <x:v>1466</x:v>
      </x:c>
      <x:c r="X9" s="145" t="n">
        <x:v>1478</x:v>
      </x:c>
    </x:row>
    <x:row r="12" ht="24" customHeight="1">
      <x:c r="A12" s="106" t="str">
        <x:v>변경 프로토콜 — S04~S30 / 22개 마커</x:v>
      </x:c>
      <x:c r="B12" s="106"/>
      <x:c r="C12" s="106"/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65" t="str">
        <x:v>번호</x:v>
      </x:c>
      <x:c r="B13" s="65" t="str">
        <x:v>참가자</x:v>
      </x:c>
      <x:c r="C13" s="65" t="str">
        <x:v>값 출처</x:v>
      </x:c>
      <x:c r="D13" s="65" t="str">
        <x:v>판정</x:v>
      </x:c>
      <x:c r="E13" s="109" t="str">
        <x:v>M01</x:v>
      </x:c>
      <x:c r="F13" s="109" t="str">
        <x:v>M02</x:v>
      </x:c>
      <x:c r="G13" s="109" t="str">
        <x:v>M03</x:v>
      </x:c>
      <x:c r="H13" s="109" t="str">
        <x:v>M04</x:v>
      </x:c>
      <x:c r="I13" s="109" t="str">
        <x:v>M05</x:v>
      </x:c>
      <x:c r="J13" s="109" t="str">
        <x:v>M06</x:v>
      </x:c>
      <x:c r="K13" s="109" t="str">
        <x:v>M07</x:v>
      </x:c>
      <x:c r="L13" s="109" t="str">
        <x:v>M08</x:v>
      </x:c>
      <x:c r="M13" s="109" t="str">
        <x:v>M09</x:v>
      </x:c>
      <x:c r="N13" s="109" t="str">
        <x:v>M10</x:v>
      </x:c>
      <x:c r="O13" s="109" t="str">
        <x:v>M11</x:v>
      </x:c>
      <x:c r="P13" s="109" t="str">
        <x:v>M12</x:v>
      </x:c>
      <x:c r="Q13" s="109" t="str">
        <x:v>M13</x:v>
      </x:c>
      <x:c r="R13" s="109" t="str">
        <x:v>M14</x:v>
      </x:c>
      <x:c r="S13" s="109" t="str">
        <x:v>M15</x:v>
      </x:c>
      <x:c r="T13" s="109" t="str">
        <x:v>M16</x:v>
      </x:c>
      <x:c r="U13" s="109" t="str">
        <x:v>M17</x:v>
      </x:c>
      <x:c r="V13" s="109" t="str">
        <x:v>M18</x:v>
      </x:c>
      <x:c r="W13" s="109" t="str">
        <x:v>M19</x:v>
      </x:c>
      <x:c r="X13" s="109" t="str">
        <x:v>M20</x:v>
      </x:c>
      <x:c r="Y13" s="109" t="str">
        <x:v>M21</x:v>
      </x:c>
      <x:c r="Z13" s="109" t="str">
        <x:v>M22</x:v>
      </x:c>
    </x:row>
    <x:row r="14">
      <x:c r="A14" s="65"/>
      <x:c r="B14" s="65"/>
      <x:c r="C14" s="65"/>
      <x:c r="D14" s="65"/>
      <x:c r="E14" s="113" t="str">
        <x:v>1 시작</x:v>
      </x:c>
      <x:c r="F14" s="113" t="str">
        <x:v>1 종료</x:v>
      </x:c>
      <x:c r="G14" s="118" t="str">
        <x:v>2 시작</x:v>
      </x:c>
      <x:c r="H14" s="118" t="str">
        <x:v>2 종료</x:v>
      </x:c>
      <x:c r="I14" s="123" t="str">
        <x:v>3-1 시작</x:v>
      </x:c>
      <x:c r="J14" s="123" t="str">
        <x:v>3-1 종료</x:v>
      </x:c>
      <x:c r="K14" s="123" t="str">
        <x:v>3-2 시작</x:v>
      </x:c>
      <x:c r="L14" s="123" t="str">
        <x:v>3-2 종료</x:v>
      </x:c>
      <x:c r="M14" s="128" t="str">
        <x:v>4-1 시작</x:v>
      </x:c>
      <x:c r="N14" s="128" t="str">
        <x:v>4-1 종료</x:v>
      </x:c>
      <x:c r="O14" s="128" t="str">
        <x:v>4-2 시작</x:v>
      </x:c>
      <x:c r="P14" s="128" t="str">
        <x:v>4-2 종료</x:v>
      </x:c>
      <x:c r="Q14" s="128" t="str">
        <x:v>4-3 시작</x:v>
      </x:c>
      <x:c r="R14" s="128" t="str">
        <x:v>4-3 종료</x:v>
      </x:c>
      <x:c r="S14" s="128" t="str">
        <x:v>4-4 시작</x:v>
      </x:c>
      <x:c r="T14" s="128" t="str">
        <x:v>4-4 종료</x:v>
      </x:c>
      <x:c r="U14" s="133" t="str">
        <x:v>5 시작</x:v>
      </x:c>
      <x:c r="V14" s="133" t="str">
        <x:v>5 종료</x:v>
      </x:c>
      <x:c r="W14" s="138" t="str">
        <x:v>6 시작</x:v>
      </x:c>
      <x:c r="X14" s="138" t="str">
        <x:v>6 종료</x:v>
      </x:c>
      <x:c r="Y14" s="143" t="str">
        <x:v>7 시작</x:v>
      </x:c>
      <x:c r="Z14" s="143" t="str">
        <x:v>7 종료</x:v>
      </x:c>
    </x:row>
    <x:row r="15">
      <x:c r="A15" s="86" t="n">
        <x:v>4</x:v>
      </x:c>
      <x:c r="B15" s="86" t="str">
        <x:v>S04_KTW</x:v>
      </x:c>
      <x:c r="C15" s="86" t="str">
        <x:v>시간패턴 추천(미확정)</x:v>
      </x:c>
      <x:c r="D15" s="92" t="str">
        <x:v>후보군 검토 필요</x:v>
      </x:c>
      <x:c r="E15" s="147" t="n">
        <x:v>22.63000000000003</x:v>
      </x:c>
      <x:c r="F15" s="147" t="n">
        <x:v>223.48000000000002</x:v>
      </x:c>
      <x:c r="G15" s="147" t="n">
        <x:v>274.189</x:v>
      </x:c>
      <x:c r="H15" s="147" t="n">
        <x:v>647.2239999999999</x:v>
      </x:c>
      <x:c r="I15" s="147" t="n">
        <x:v>764.024</x:v>
      </x:c>
      <x:c r="J15" s="147" t="n">
        <x:v>774.656</x:v>
      </x:c>
      <x:c r="K15" s="147" t="n">
        <x:v>779.084</x:v>
      </x:c>
      <x:c r="L15" s="147" t="n">
        <x:v>794.786</x:v>
      </x:c>
      <x:c r="M15" s="147" t="n">
        <x:v>898.178</x:v>
      </x:c>
      <x:c r="N15" s="147" t="n">
        <x:v>902.7959999999999</x:v>
      </x:c>
      <x:c r="O15" s="147" t="n">
        <x:v>914.2099999999999</x:v>
      </x:c>
      <x:c r="P15" s="147" t="n">
        <x:v>931.2773333333333</x:v>
      </x:c>
      <x:c r="Q15" s="147" t="n">
        <x:v>976.98</x:v>
      </x:c>
      <x:c r="R15" s="147" t="n">
        <x:v>992.3439999999999</x:v>
      </x:c>
      <x:c r="S15" s="147" t="n">
        <x:v>1042.718</x:v>
      </x:c>
      <x:c r="T15" s="147" t="n">
        <x:v>1059.2240000000002</x:v>
      </x:c>
      <x:c r="U15" s="147" t="n">
        <x:v>1074.0400000000002</x:v>
      </x:c>
      <x:c r="V15" s="147" t="n">
        <x:v>1143.382</x:v>
      </x:c>
      <x:c r="W15" s="147" t="n">
        <x:v>1165.756</x:v>
      </x:c>
      <x:c r="X15" s="147" t="n">
        <x:v>1185.46</x:v>
      </x:c>
      <x:c r="Y15" s="147" t="n">
        <x:v>1228.478</x:v>
      </x:c>
      <x:c r="Z15" s="147" t="n">
        <x:v>1762.66</x:v>
      </x:c>
    </x:row>
    <x:row r="16">
      <x:c r="A16" s="88" t="n">
        <x:v>5</x:v>
      </x:c>
      <x:c r="B16" s="88" t="str">
        <x:v>S05_LHS</x:v>
      </x:c>
      <x:c r="C16" s="88" t="str">
        <x:v>$2 최종 선택</x:v>
      </x:c>
      <x:c r="D16" s="98" t="str">
        <x:v>대체 후보 있음</x:v>
      </x:c>
      <x:c r="E16" s="144" t="n">
        <x:v>15</x:v>
      </x:c>
      <x:c r="F16" s="144" t="n">
        <x:v>210</x:v>
      </x:c>
      <x:c r="G16" s="144" t="n">
        <x:v>241</x:v>
      </x:c>
      <x:c r="H16" s="144" t="n">
        <x:v>612</x:v>
      </x:c>
      <x:c r="I16" s="144" t="n">
        <x:v>620</x:v>
      </x:c>
      <x:c r="J16" s="144" t="n">
        <x:v>656</x:v>
      </x:c>
      <x:c r="K16" s="144" t="n">
        <x:v>784</x:v>
      </x:c>
      <x:c r="L16" s="144" t="n">
        <x:v>820</x:v>
      </x:c>
      <x:c r="M16" s="144" t="n">
        <x:v>931</x:v>
      </x:c>
      <x:c r="N16" s="144" t="n">
        <x:v>947</x:v>
      </x:c>
      <x:c r="O16" s="144" t="n">
        <x:v>963</x:v>
      </x:c>
      <x:c r="P16" s="144" t="n">
        <x:v>1008</x:v>
      </x:c>
      <x:c r="Q16" s="144" t="n">
        <x:v>1022</x:v>
      </x:c>
      <x:c r="R16" s="144" t="n">
        <x:v>1068</x:v>
      </x:c>
      <x:c r="S16" s="144" t="n">
        <x:v>1072</x:v>
      </x:c>
      <x:c r="T16" s="144" t="n">
        <x:v>1089</x:v>
      </x:c>
      <x:c r="U16" s="144" t="n">
        <x:v>1201</x:v>
      </x:c>
      <x:c r="V16" s="144" t="n">
        <x:v>1389</x:v>
      </x:c>
      <x:c r="W16" s="144" t="n">
        <x:v>1438</x:v>
      </x:c>
      <x:c r="X16" s="144" t="n">
        <x:v>1466</x:v>
      </x:c>
      <x:c r="Y16" s="144" t="n">
        <x:v>1498</x:v>
      </x:c>
      <x:c r="Z16" s="144" t="n">
        <x:v>1509</x:v>
      </x:c>
    </x:row>
    <x:row r="17">
      <x:c r="A17" s="88" t="n">
        <x:v>6</x:v>
      </x:c>
      <x:c r="B17" s="88" t="str">
        <x:v>S06_LDW</x:v>
      </x:c>
      <x:c r="C17" s="88" t="str">
        <x:v>$2 최종 선택</x:v>
      </x:c>
      <x:c r="D17" s="94" t="str">
        <x:v>수동값/원시 불일치</x:v>
      </x:c>
      <x:c r="E17" s="144" t="n">
        <x:v>22</x:v>
      </x:c>
      <x:c r="F17" s="144" t="n">
        <x:v>214</x:v>
      </x:c>
      <x:c r="G17" s="144" t="n">
        <x:v>264</x:v>
      </x:c>
      <x:c r="H17" s="144" t="n">
        <x:v>638</x:v>
      </x:c>
      <x:c r="I17" s="144" t="n">
        <x:v>748.4</x:v>
      </x:c>
      <x:c r="J17" s="144" t="n">
        <x:v>763.3</x:v>
      </x:c>
      <x:c r="K17" s="144" t="n">
        <x:v>778.2</x:v>
      </x:c>
      <x:c r="L17" s="144" t="n">
        <x:v>792.3</x:v>
      </x:c>
      <x:c r="M17" s="144" t="n">
        <x:v>919</x:v>
      </x:c>
      <x:c r="N17" s="144" t="n">
        <x:v>934.5</x:v>
      </x:c>
      <x:c r="O17" s="144" t="n">
        <x:v>947</x:v>
      </x:c>
      <x:c r="P17" s="144" t="n">
        <x:v>994</x:v>
      </x:c>
      <x:c r="Q17" s="144" t="n">
        <x:v>1009.8</x:v>
      </x:c>
      <x:c r="R17" s="144" t="n">
        <x:v>1059.2</x:v>
      </x:c>
      <x:c r="S17" s="144" t="n">
        <x:v>1075.4</x:v>
      </x:c>
      <x:c r="T17" s="144" t="n">
        <x:v>1086</x:v>
      </x:c>
      <x:c r="U17" s="144" t="n">
        <x:v>1160.7</x:v>
      </x:c>
      <x:c r="V17" s="144" t="n">
        <x:v>1346.5</x:v>
      </x:c>
      <x:c r="W17" s="144" t="n">
        <x:v>1394.6</x:v>
      </x:c>
      <x:c r="X17" s="144" t="n">
        <x:v>1424.2</x:v>
      </x:c>
      <x:c r="Y17" s="144" t="n">
        <x:v>1458.5</x:v>
      </x:c>
      <x:c r="Z17" s="144" t="n">
        <x:v>1471.3</x:v>
      </x:c>
    </x:row>
    <x:row r="18">
      <x:c r="A18" s="88" t="n">
        <x:v>7</x:v>
      </x:c>
      <x:c r="B18" s="88" t="str">
        <x:v>S07_KDM</x:v>
      </x:c>
      <x:c r="C18" s="88" t="str">
        <x:v>$2 최종 선택</x:v>
      </x:c>
      <x:c r="D18" s="99" t="str">
        <x:v>자동 점검 통과</x:v>
      </x:c>
      <x:c r="E18" s="144" t="n">
        <x:v>16.57200000000004</x:v>
      </x:c>
      <x:c r="F18" s="144" t="n">
        <x:v>214.34500000000006</x:v>
      </x:c>
      <x:c r="G18" s="144" t="n">
        <x:v>275.59800000000007</x:v>
      </x:c>
      <x:c r="H18" s="144" t="n">
        <x:v>646.7800000000001</x:v>
      </x:c>
      <x:c r="I18" s="144" t="n">
        <x:v>766.097333</x:v>
      </x:c>
      <x:c r="J18" s="144" t="n">
        <x:v>784.6600000000001</x:v>
      </x:c>
      <x:c r="K18" s="144" t="n">
        <x:v>799.32</x:v>
      </x:c>
      <x:c r="L18" s="144" t="n">
        <x:v>815.6</x:v>
      </x:c>
      <x:c r="M18" s="144" t="n">
        <x:v>905.98</x:v>
      </x:c>
      <x:c r="N18" s="144" t="n">
        <x:v>922.08</x:v>
      </x:c>
      <x:c r="O18" s="144" t="n">
        <x:v>933.84</x:v>
      </x:c>
      <x:c r="P18" s="144" t="n">
        <x:v>979.4680000000001</x:v>
      </x:c>
      <x:c r="Q18" s="144" t="n">
        <x:v>988.268</x:v>
      </x:c>
      <x:c r="R18" s="144" t="n">
        <x:v>1035.108</x:v>
      </x:c>
      <x:c r="S18" s="144" t="n">
        <x:v>1046.708</x:v>
      </x:c>
      <x:c r="T18" s="144" t="n">
        <x:v>1056.98</x:v>
      </x:c>
      <x:c r="U18" s="144" t="n">
        <x:v>1133.8</x:v>
      </x:c>
      <x:c r="V18" s="144" t="n">
        <x:v>1320.304</x:v>
      </x:c>
      <x:c r="W18" s="144" t="n">
        <x:v>1377.064</x:v>
      </x:c>
      <x:c r="X18" s="144" t="n">
        <x:v>1400.7</x:v>
      </x:c>
      <x:c r="Y18" s="144" t="n">
        <x:v>1426.924</x:v>
      </x:c>
      <x:c r="Z18" s="144" t="n">
        <x:v>1439.6000000000001</x:v>
      </x:c>
    </x:row>
    <x:row r="19">
      <x:c r="A19" s="88" t="n">
        <x:v>8</x:v>
      </x:c>
      <x:c r="B19" s="88" t="str">
        <x:v>S08_MDO</x:v>
      </x:c>
      <x:c r="C19" s="88" t="str">
        <x:v>$2 최종 선택</x:v>
      </x:c>
      <x:c r="D19" s="99" t="str">
        <x:v>자동 점검 통과</x:v>
      </x:c>
      <x:c r="E19" s="144" t="n">
        <x:v>23.796000000000053</x:v>
      </x:c>
      <x:c r="F19" s="144" t="n">
        <x:v>220.16400000000004</x:v>
      </x:c>
      <x:c r="G19" s="144" t="n">
        <x:v>260.4440000000001</x:v>
      </x:c>
      <x:c r="H19" s="144" t="n">
        <x:v>645.896</x:v>
      </x:c>
      <x:c r="I19" s="144" t="n">
        <x:v>698.452</x:v>
      </x:c>
      <x:c r="J19" s="144" t="n">
        <x:v>707.68</x:v>
      </x:c>
      <x:c r="K19" s="144" t="n">
        <x:v>721.928</x:v>
      </x:c>
      <x:c r="L19" s="144" t="n">
        <x:v>732.524</x:v>
      </x:c>
      <x:c r="M19" s="144" t="n">
        <x:v>808.628</x:v>
      </x:c>
      <x:c r="N19" s="144" t="n">
        <x:v>822.044</x:v>
      </x:c>
      <x:c r="O19" s="144" t="n">
        <x:v>831.704</x:v>
      </x:c>
      <x:c r="P19" s="144" t="n">
        <x:v>876.16</x:v>
      </x:c>
      <x:c r="Q19" s="144" t="n">
        <x:v>885.78</x:v>
      </x:c>
      <x:c r="R19" s="144" t="n">
        <x:v>933.436</x:v>
      </x:c>
      <x:c r="S19" s="144" t="n">
        <x:v>948.336</x:v>
      </x:c>
      <x:c r="T19" s="144" t="n">
        <x:v>968.676</x:v>
      </x:c>
      <x:c r="U19" s="144" t="n">
        <x:v>1021.268</x:v>
      </x:c>
      <x:c r="V19" s="144" t="n">
        <x:v>1206.628</x:v>
      </x:c>
      <x:c r="W19" s="144" t="n">
        <x:v>1226.092</x:v>
      </x:c>
      <x:c r="X19" s="144" t="n">
        <x:v>1247.944</x:v>
      </x:c>
      <x:c r="Y19" s="144" t="n">
        <x:v>1274.416</x:v>
      </x:c>
      <x:c r="Z19" s="144" t="n">
        <x:v>1286.188</x:v>
      </x:c>
    </x:row>
    <x:row r="20">
      <x:c r="A20" s="88" t="n">
        <x:v>9</x:v>
      </x:c>
      <x:c r="B20" s="88" t="str">
        <x:v>S09_HDH</x:v>
      </x:c>
      <x:c r="C20" s="88" t="str">
        <x:v>$2 최종 선택</x:v>
      </x:c>
      <x:c r="D20" s="99" t="str">
        <x:v>자동 점검 통과</x:v>
      </x:c>
      <x:c r="E20" s="144" t="n">
        <x:v>16.915000000000067</x:v>
      </x:c>
      <x:c r="F20" s="144" t="n">
        <x:v>209.82400000000007</x:v>
      </x:c>
      <x:c r="G20" s="144" t="n">
        <x:v>272.42800000000005</x:v>
      </x:c>
      <x:c r="H20" s="144" t="n">
        <x:v>647.296</x:v>
      </x:c>
      <x:c r="I20" s="144" t="n">
        <x:v>781.8704</x:v>
      </x:c>
      <x:c r="J20" s="144" t="n">
        <x:v>803.2750000000001</x:v>
      </x:c>
      <x:c r="K20" s="144" t="n">
        <x:v>825.5600000000001</x:v>
      </x:c>
      <x:c r="L20" s="144" t="n">
        <x:v>841.4920000000001</x:v>
      </x:c>
      <x:c r="M20" s="144" t="n">
        <x:v>951.802</x:v>
      </x:c>
      <x:c r="N20" s="144" t="n">
        <x:v>969.796</x:v>
      </x:c>
      <x:c r="O20" s="144" t="n">
        <x:v>987.9432</x:v>
      </x:c>
      <x:c r="P20" s="144" t="n">
        <x:v>1036.132</x:v>
      </x:c>
      <x:c r="Q20" s="144" t="n">
        <x:v>1049.458</x:v>
      </x:c>
      <x:c r="R20" s="144" t="n">
        <x:v>1099.0800000000002</x:v>
      </x:c>
      <x:c r="S20" s="144" t="n">
        <x:v>1121.848</x:v>
      </x:c>
      <x:c r="T20" s="144" t="n">
        <x:v>1134.633333</x:v>
      </x:c>
      <x:c r="U20" s="144" t="n">
        <x:v>1206.624</x:v>
      </x:c>
      <x:c r="V20" s="144" t="n">
        <x:v>1394.844</x:v>
      </x:c>
      <x:c r="W20" s="144" t="n">
        <x:v>1445.0352</x:v>
      </x:c>
      <x:c r="X20" s="144" t="n">
        <x:v>1473.045333</x:v>
      </x:c>
      <x:c r="Y20" s="144" t="n">
        <x:v>1499.3208</x:v>
      </x:c>
      <x:c r="Z20" s="144" t="n">
        <x:v>1510.877</x:v>
      </x:c>
    </x:row>
    <x:row r="21">
      <x:c r="A21" s="88" t="n">
        <x:v>10</x:v>
      </x:c>
      <x:c r="B21" s="88" t="str">
        <x:v>S10_JKH</x:v>
      </x:c>
      <x:c r="C21" s="88" t="str">
        <x:v>$2 최종 선택</x:v>
      </x:c>
      <x:c r="D21" s="98" t="str">
        <x:v>대체 후보 있음</x:v>
      </x:c>
      <x:c r="E21" s="144" t="n">
        <x:v>26.144000000000062</x:v>
      </x:c>
      <x:c r="F21" s="144" t="n">
        <x:v>212.46800000000005</x:v>
      </x:c>
      <x:c r="G21" s="144" t="n">
        <x:v>244.70000000000005</x:v>
      </x:c>
      <x:c r="H21" s="144" t="n">
        <x:v>625.8240000000001</x:v>
      </x:c>
      <x:c r="I21" s="144" t="n">
        <x:v>652.6720000000001</x:v>
      </x:c>
      <x:c r="J21" s="144" t="n">
        <x:v>666.1960000000001</x:v>
      </x:c>
      <x:c r="K21" s="144" t="n">
        <x:v>684.6240000000001</x:v>
      </x:c>
      <x:c r="L21" s="144" t="n">
        <x:v>701.3840000000001</x:v>
      </x:c>
      <x:c r="M21" s="144" t="n">
        <x:v>751.7160000000001</x:v>
      </x:c>
      <x:c r="N21" s="144" t="n">
        <x:v>765.1600000000001</x:v>
      </x:c>
      <x:c r="O21" s="144" t="n">
        <x:v>777.5160000000001</x:v>
      </x:c>
      <x:c r="P21" s="144" t="n">
        <x:v>823.6880000000001</x:v>
      </x:c>
      <x:c r="Q21" s="144" t="n">
        <x:v>835.2960000000002</x:v>
      </x:c>
      <x:c r="R21" s="144" t="n">
        <x:v>877.6040000000002</x:v>
      </x:c>
      <x:c r="S21" s="144" t="n">
        <x:v>881.8720000000001</x:v>
      </x:c>
      <x:c r="T21" s="144" t="n">
        <x:v>910.5320000000002</x:v>
      </x:c>
      <x:c r="U21" s="144" t="n">
        <x:v>934.7880000000001</x:v>
      </x:c>
      <x:c r="V21" s="144" t="n">
        <x:v>1117.952</x:v>
      </x:c>
      <x:c r="W21" s="144" t="n">
        <x:v>1134.608</x:v>
      </x:c>
      <x:c r="X21" s="144" t="n">
        <x:v>1158.2</x:v>
      </x:c>
      <x:c r="Y21" s="144" t="n">
        <x:v>1173.664</x:v>
      </x:c>
      <x:c r="Z21" s="144" t="n">
        <x:v>1187.068</x:v>
      </x:c>
    </x:row>
    <x:row r="22">
      <x:c r="A22" s="88" t="n">
        <x:v>11</x:v>
      </x:c>
      <x:c r="B22" s="88" t="str">
        <x:v>S11_SJE</x:v>
      </x:c>
      <x:c r="C22" s="88" t="str">
        <x:v>시간패턴 추천(미확정)</x:v>
      </x:c>
      <x:c r="D22" s="97" t="str">
        <x:v>후보군 검토 필요</x:v>
      </x:c>
      <x:c r="E22" s="148" t="n">
        <x:v>15.264000000000037</x:v>
      </x:c>
      <x:c r="F22" s="148" t="n">
        <x:v>207.4813333333334</x:v>
      </x:c>
      <x:c r="G22" s="148" t="n">
        <x:v>260.616</x:v>
      </x:c>
      <x:c r="H22" s="148" t="n">
        <x:v>635.6160000000001</x:v>
      </x:c>
      <x:c r="I22" s="148" t="n">
        <x:v>759.2120000000001</x:v>
      </x:c>
      <x:c r="J22" s="148" t="n">
        <x:v>771.8960000000001</x:v>
      </x:c>
      <x:c r="K22" s="148" t="n">
        <x:v>791.696</x:v>
      </x:c>
      <x:c r="L22" s="148" t="n">
        <x:v>802.0680000000001</x:v>
      </x:c>
      <x:c r="M22" s="148" t="n">
        <x:v>894.912</x:v>
      </x:c>
      <x:c r="N22" s="148" t="n">
        <x:v>903.9720000000001</x:v>
      </x:c>
      <x:c r="O22" s="148" t="n">
        <x:v>909.368</x:v>
      </x:c>
      <x:c r="P22" s="148" t="n">
        <x:v>914.0920000000001</x:v>
      </x:c>
      <x:c r="Q22" s="148" t="n">
        <x:v>938.5920000000001</x:v>
      </x:c>
      <x:c r="R22" s="148" t="n">
        <x:v>950.2700000000001</x:v>
      </x:c>
      <x:c r="S22" s="148" t="n">
        <x:v>957.388</x:v>
      </x:c>
      <x:c r="T22" s="148" t="n">
        <x:v>1011.2160000000001</x:v>
      </x:c>
      <x:c r="U22" s="148" t="n">
        <x:v>1044.084</x:v>
      </x:c>
      <x:c r="V22" s="148" t="n">
        <x:v>1049.052</x:v>
      </x:c>
      <x:c r="W22" s="148" t="n">
        <x:v>1062.816</x:v>
      </x:c>
      <x:c r="X22" s="148" t="n">
        <x:v>1072.508</x:v>
      </x:c>
      <x:c r="Y22" s="148" t="n">
        <x:v>1158.956</x:v>
      </x:c>
      <x:c r="Z22" s="148" t="n">
        <x:v>1461.282</x:v>
      </x:c>
    </x:row>
    <x:row r="23">
      <x:c r="A23" s="88" t="n">
        <x:v>12</x:v>
      </x:c>
      <x:c r="B23" s="88" t="str">
        <x:v>S12_KDH</x:v>
      </x:c>
      <x:c r="C23" s="88" t="str">
        <x:v>시간패턴 추천(미확정)</x:v>
      </x:c>
      <x:c r="D23" s="97" t="str">
        <x:v>후보군 검토 필요</x:v>
      </x:c>
      <x:c r="E23" s="148" t="n">
        <x:v>24.524</x:v>
      </x:c>
      <x:c r="F23" s="148" t="n">
        <x:v>222.644</x:v>
      </x:c>
      <x:c r="G23" s="148" t="n">
        <x:v>270.448</x:v>
      </x:c>
      <x:c r="H23" s="148" t="n">
        <x:v>764.472</x:v>
      </x:c>
      <x:c r="I23" s="148" t="n">
        <x:v>781.492</x:v>
      </x:c>
      <x:c r="J23" s="148" t="n">
        <x:v>797.544</x:v>
      </x:c>
      <x:c r="K23" s="148" t="n">
        <x:v>806.852</x:v>
      </x:c>
      <x:c r="L23" s="148" t="n">
        <x:v>812.872</x:v>
      </x:c>
      <x:c r="M23" s="148" t="n">
        <x:v>936.484</x:v>
      </x:c>
      <x:c r="N23" s="148" t="n">
        <x:v>941.544</x:v>
      </x:c>
      <x:c r="O23" s="148" t="n">
        <x:v>946.644</x:v>
      </x:c>
      <x:c r="P23" s="148" t="n">
        <x:v>965.288</x:v>
      </x:c>
      <x:c r="Q23" s="148" t="n">
        <x:v>973.068</x:v>
      </x:c>
      <x:c r="R23" s="148" t="n">
        <x:v>1010.792</x:v>
      </x:c>
      <x:c r="S23" s="148" t="n">
        <x:v>1024.304</x:v>
      </x:c>
      <x:c r="T23" s="148" t="n">
        <x:v>1033</x:v>
      </x:c>
      <x:c r="U23" s="148" t="n">
        <x:v>1089.332</x:v>
      </x:c>
      <x:c r="V23" s="148" t="n">
        <x:v>1358.624</x:v>
      </x:c>
      <x:c r="W23" s="148" t="n">
        <x:v>1416.58</x:v>
      </x:c>
      <x:c r="X23" s="148" t="n">
        <x:v>1446.1</x:v>
      </x:c>
      <x:c r="Y23" s="148" t="n">
        <x:v>1488.404</x:v>
      </x:c>
      <x:c r="Z23" s="148" t="n">
        <x:v>1498.612</x:v>
      </x:c>
    </x:row>
    <x:row r="24">
      <x:c r="A24" s="88" t="n">
        <x:v>13</x:v>
      </x:c>
      <x:c r="B24" s="88" t="str">
        <x:v>S13_KTW</x:v>
      </x:c>
      <x:c r="C24" s="88" t="str">
        <x:v>$2 최종 선택</x:v>
      </x:c>
      <x:c r="D24" s="94" t="str">
        <x:v>수동값/원시 불일치</x:v>
      </x:c>
      <x:c r="E24" s="144" t="n">
        <x:v>11.5</x:v>
      </x:c>
      <x:c r="F24" s="144" t="n">
        <x:v>205.2</x:v>
      </x:c>
      <x:c r="G24" s="144" t="n">
        <x:v>228.3</x:v>
      </x:c>
      <x:c r="H24" s="144" t="n">
        <x:v>597.4</x:v>
      </x:c>
      <x:c r="I24" s="144" t="n">
        <x:v>643.4</x:v>
      </x:c>
      <x:c r="J24" s="144" t="n">
        <x:v>656.8</x:v>
      </x:c>
      <x:c r="K24" s="144" t="n">
        <x:v>675.5</x:v>
      </x:c>
      <x:c r="L24" s="144" t="n">
        <x:v>684.9</x:v>
      </x:c>
      <x:c r="M24" s="144" t="n">
        <x:v>699.2</x:v>
      </x:c>
      <x:c r="N24" s="144" t="n">
        <x:v>743</x:v>
      </x:c>
      <x:c r="O24" s="144" t="n">
        <x:v>757.9</x:v>
      </x:c>
      <x:c r="P24" s="144" t="n">
        <x:v>795.8</x:v>
      </x:c>
      <x:c r="Q24" s="144" t="n">
        <x:v>813.2</x:v>
      </x:c>
      <x:c r="R24" s="144" t="n">
        <x:v>864.7</x:v>
      </x:c>
      <x:c r="S24" s="144" t="n">
        <x:v>874.3</x:v>
      </x:c>
      <x:c r="T24" s="144" t="n">
        <x:v>886.4</x:v>
      </x:c>
      <x:c r="U24" s="144" t="n">
        <x:v>920.5</x:v>
      </x:c>
      <x:c r="V24" s="144" t="n">
        <x:v>1109.9</x:v>
      </x:c>
      <x:c r="W24" s="144" t="n">
        <x:v>1129.3</x:v>
      </x:c>
      <x:c r="X24" s="144" t="n">
        <x:v>1153.3</x:v>
      </x:c>
      <x:c r="Y24" s="144" t="n">
        <x:v>1159.6</x:v>
      </x:c>
      <x:c r="Z24" s="144" t="n">
        <x:v>1178.9</x:v>
      </x:c>
    </x:row>
    <x:row r="25">
      <x:c r="A25" s="88" t="n">
        <x:v>14</x:v>
      </x:c>
      <x:c r="B25" s="88" t="str">
        <x:v>S14_MDO</x:v>
      </x:c>
      <x:c r="C25" s="88" t="str">
        <x:v>$2 최종 선택</x:v>
      </x:c>
      <x:c r="D25" s="98" t="str">
        <x:v>대체 후보 있음</x:v>
      </x:c>
      <x:c r="E25" s="144" t="n">
        <x:v>13.64800000000007</x:v>
      </x:c>
      <x:c r="F25" s="144" t="n">
        <x:v>208.91200000000006</x:v>
      </x:c>
      <x:c r="G25" s="144" t="n">
        <x:v>233.95200000000006</x:v>
      </x:c>
      <x:c r="H25" s="144" t="n">
        <x:v>607.4200000000001</x:v>
      </x:c>
      <x:c r="I25" s="144" t="n">
        <x:v>636.1480000000001</x:v>
      </x:c>
      <x:c r="J25" s="144" t="n">
        <x:v>649.344</x:v>
      </x:c>
      <x:c r="K25" s="144" t="n">
        <x:v>668.104</x:v>
      </x:c>
      <x:c r="L25" s="144" t="n">
        <x:v>679.0120000000001</x:v>
      </x:c>
      <x:c r="M25" s="144" t="n">
        <x:v>729.0680000000001</x:v>
      </x:c>
      <x:c r="N25" s="144" t="n">
        <x:v>741.3840000000001</x:v>
      </x:c>
      <x:c r="O25" s="144" t="n">
        <x:v>749.5480000000001</x:v>
      </x:c>
      <x:c r="P25" s="144" t="n">
        <x:v>790.892</x:v>
      </x:c>
      <x:c r="Q25" s="144" t="n">
        <x:v>802.3320000000001</x:v>
      </x:c>
      <x:c r="R25" s="144" t="n">
        <x:v>844.8960000000001</x:v>
      </x:c>
      <x:c r="S25" s="144" t="n">
        <x:v>860.676</x:v>
      </x:c>
      <x:c r="T25" s="144" t="n">
        <x:v>867.7280000000001</x:v>
      </x:c>
      <x:c r="U25" s="144" t="n">
        <x:v>892.368</x:v>
      </x:c>
      <x:c r="V25" s="144" t="n">
        <x:v>1077.236</x:v>
      </x:c>
      <x:c r="W25" s="144" t="n">
        <x:v>1089.304</x:v>
      </x:c>
      <x:c r="X25" s="144" t="n">
        <x:v>1109.664</x:v>
      </x:c>
      <x:c r="Y25" s="144" t="n">
        <x:v>1124.24</x:v>
      </x:c>
      <x:c r="Z25" s="144" t="n">
        <x:v>1135.3200000000002</x:v>
      </x:c>
    </x:row>
    <x:row r="26">
      <x:c r="A26" s="88" t="n">
        <x:v>15</x:v>
      </x:c>
      <x:c r="B26" s="88" t="str">
        <x:v>S15_JKH</x:v>
      </x:c>
      <x:c r="C26" s="88" t="str">
        <x:v>$2 최종 선택</x:v>
      </x:c>
      <x:c r="D26" s="98" t="str">
        <x:v>대체 후보 있음</x:v>
      </x:c>
      <x:c r="E26" s="144" t="n">
        <x:v>5.524000000000086</x:v>
      </x:c>
      <x:c r="F26" s="144" t="n">
        <x:v>199.3360000000001</x:v>
      </x:c>
      <x:c r="G26" s="144" t="n">
        <x:v>234.2160000000001</x:v>
      </x:c>
      <x:c r="H26" s="144" t="n">
        <x:v>599.1800000000001</x:v>
      </x:c>
      <x:c r="I26" s="144" t="n">
        <x:v>631.4640000000002</x:v>
      </x:c>
      <x:c r="J26" s="144" t="n">
        <x:v>642.4000000000001</x:v>
      </x:c>
      <x:c r="K26" s="144" t="n">
        <x:v>657.8480000000001</x:v>
      </x:c>
      <x:c r="L26" s="144" t="n">
        <x:v>673.8000000000001</x:v>
      </x:c>
      <x:c r="M26" s="144" t="n">
        <x:v>708.3960000000001</x:v>
      </x:c>
      <x:c r="N26" s="144" t="n">
        <x:v>724.7840000000001</x:v>
      </x:c>
      <x:c r="O26" s="144" t="n">
        <x:v>732.8800000000001</x:v>
      </x:c>
      <x:c r="P26" s="144" t="n">
        <x:v>782.1360000000001</x:v>
      </x:c>
      <x:c r="Q26" s="144" t="n">
        <x:v>790.7320000000001</x:v>
      </x:c>
      <x:c r="R26" s="144" t="n">
        <x:v>836.4340000000001</x:v>
      </x:c>
      <x:c r="S26" s="144" t="n">
        <x:v>849.2120000000001</x:v>
      </x:c>
      <x:c r="T26" s="144" t="n">
        <x:v>871.4640000000002</x:v>
      </x:c>
      <x:c r="U26" s="144" t="n">
        <x:v>889.3600000000001</x:v>
      </x:c>
      <x:c r="V26" s="144" t="n">
        <x:v>1077.292</x:v>
      </x:c>
      <x:c r="W26" s="144" t="n">
        <x:v>1094.244</x:v>
      </x:c>
      <x:c r="X26" s="144" t="n">
        <x:v>1120.156</x:v>
      </x:c>
      <x:c r="Y26" s="144" t="n">
        <x:v>1134.564</x:v>
      </x:c>
      <x:c r="Z26" s="144" t="n">
        <x:v>1147.924</x:v>
      </x:c>
    </x:row>
    <x:row r="27">
      <x:c r="A27" s="88" t="n">
        <x:v>16</x:v>
      </x:c>
      <x:c r="B27" s="88" t="str">
        <x:v>S16_LJH</x:v>
      </x:c>
      <x:c r="C27" s="88" t="str">
        <x:v>$2 최종 선택</x:v>
      </x:c>
      <x:c r="D27" s="98" t="str">
        <x:v>시간 구간 확인 필요</x:v>
      </x:c>
      <x:c r="E27" s="144" t="n">
        <x:v>12.91600000000005</x:v>
      </x:c>
      <x:c r="F27" s="144" t="n">
        <x:v>206.04400000000004</x:v>
      </x:c>
      <x:c r="G27" s="144" t="n">
        <x:v>282.012</x:v>
      </x:c>
      <x:c r="H27" s="144" t="n">
        <x:v>759.14</x:v>
      </x:c>
      <x:c r="I27" s="144" t="n">
        <x:v>771.148</x:v>
      </x:c>
      <x:c r="J27" s="144" t="n">
        <x:v>780.772</x:v>
      </x:c>
      <x:c r="K27" s="144" t="n">
        <x:v>800.294</x:v>
      </x:c>
      <x:c r="L27" s="144" t="n">
        <x:v>814.0880000000001</x:v>
      </x:c>
      <x:c r="M27" s="144" t="n">
        <x:v>928.9680000000001</x:v>
      </x:c>
      <x:c r="N27" s="144" t="n">
        <x:v>945.196</x:v>
      </x:c>
      <x:c r="O27" s="144" t="n">
        <x:v>956.196</x:v>
      </x:c>
      <x:c r="P27" s="144" t="n">
        <x:v>1004.2180000000001</x:v>
      </x:c>
      <x:c r="Q27" s="144" t="n">
        <x:v>1016.964</x:v>
      </x:c>
      <x:c r="R27" s="144" t="n">
        <x:v>1062.2600000000002</x:v>
      </x:c>
      <x:c r="S27" s="144" t="n">
        <x:v>1077.6160000000002</x:v>
      </x:c>
      <x:c r="T27" s="144" t="n">
        <x:v>1088.9560000000001</x:v>
      </x:c>
      <x:c r="U27" s="144" t="n">
        <x:v>1179.3480000000002</x:v>
      </x:c>
      <x:c r="V27" s="144" t="n">
        <x:v>1372.268</x:v>
      </x:c>
      <x:c r="W27" s="144" t="n">
        <x:v>1424.5800000000002</x:v>
      </x:c>
      <x:c r="X27" s="144" t="n">
        <x:v>1455.8080000000002</x:v>
      </x:c>
      <x:c r="Y27" s="144" t="n">
        <x:v>1486.3120000000001</x:v>
      </x:c>
      <x:c r="Z27" s="144" t="n">
        <x:v>1506.3560000000002</x:v>
      </x:c>
    </x:row>
    <x:row r="28">
      <x:c r="A28" s="88" t="n">
        <x:v>17</x:v>
      </x:c>
      <x:c r="B28" s="88" t="str">
        <x:v>S17_RJS</x:v>
      </x:c>
      <x:c r="C28" s="88" t="str">
        <x:v>$2 최종 선택</x:v>
      </x:c>
      <x:c r="D28" s="99" t="str">
        <x:v>자동 점검 통과</x:v>
      </x:c>
      <x:c r="E28" s="144" t="n">
        <x:v>15.872500000000063</x:v>
      </x:c>
      <x:c r="F28" s="144" t="n">
        <x:v>209.80933300000004</x:v>
      </x:c>
      <x:c r="G28" s="144" t="n">
        <x:v>232.94600000000005</x:v>
      </x:c>
      <x:c r="H28" s="144" t="n">
        <x:v>604.3144</x:v>
      </x:c>
      <x:c r="I28" s="144" t="n">
        <x:v>663.212</x:v>
      </x:c>
      <x:c r="J28" s="144" t="n">
        <x:v>676.838667</x:v>
      </x:c>
      <x:c r="K28" s="144" t="n">
        <x:v>692.6408</x:v>
      </x:c>
      <x:c r="L28" s="144" t="n">
        <x:v>705.416</x:v>
      </x:c>
      <x:c r="M28" s="144" t="n">
        <x:v>756.346667</x:v>
      </x:c>
      <x:c r="N28" s="144" t="n">
        <x:v>770.616667</x:v>
      </x:c>
      <x:c r="O28" s="144" t="n">
        <x:v>782.38</x:v>
      </x:c>
      <x:c r="P28" s="144" t="n">
        <x:v>828.0905</x:v>
      </x:c>
      <x:c r="Q28" s="144" t="n">
        <x:v>842.662857</x:v>
      </x:c>
      <x:c r="R28" s="144" t="n">
        <x:v>892.4200000000001</x:v>
      </x:c>
      <x:c r="S28" s="144" t="n">
        <x:v>910.9165</x:v>
      </x:c>
      <x:c r="T28" s="144" t="n">
        <x:v>923.938667</x:v>
      </x:c>
      <x:c r="U28" s="144" t="n">
        <x:v>960.7520000000001</x:v>
      </x:c>
      <x:c r="V28" s="144" t="n">
        <x:v>1148.8215000000002</x:v>
      </x:c>
      <x:c r="W28" s="144" t="n">
        <x:v>1189.3660000000002</x:v>
      </x:c>
      <x:c r="X28" s="144" t="n">
        <x:v>1214.3860000000002</x:v>
      </x:c>
      <x:c r="Y28" s="144" t="n">
        <x:v>1240.4320000000002</x:v>
      </x:c>
      <x:c r="Z28" s="144" t="n">
        <x:v>1253.5580000000002</x:v>
      </x:c>
    </x:row>
    <x:row r="29">
      <x:c r="A29" s="88" t="n">
        <x:v>18</x:v>
      </x:c>
      <x:c r="B29" s="88" t="str">
        <x:v>S18_LJH</x:v>
      </x:c>
      <x:c r="C29" s="88" t="str">
        <x:v>$2 최종 선택</x:v>
      </x:c>
      <x:c r="D29" s="99" t="str">
        <x:v>자동 점검 통과</x:v>
      </x:c>
      <x:c r="E29" s="144" t="n">
        <x:v>15.296000000000042</x:v>
      </x:c>
      <x:c r="F29" s="144" t="n">
        <x:v>211.68000000000004</x:v>
      </x:c>
      <x:c r="G29" s="144" t="n">
        <x:v>231.17600000000004</x:v>
      </x:c>
      <x:c r="H29" s="144" t="n">
        <x:v>603.692</x:v>
      </x:c>
      <x:c r="I29" s="144" t="n">
        <x:v>637.644</x:v>
      </x:c>
      <x:c r="J29" s="144" t="n">
        <x:v>652.888</x:v>
      </x:c>
      <x:c r="K29" s="144" t="n">
        <x:v>669.5400000000001</x:v>
      </x:c>
      <x:c r="L29" s="144" t="n">
        <x:v>681.076</x:v>
      </x:c>
      <x:c r="M29" s="144" t="n">
        <x:v>723.024</x:v>
      </x:c>
      <x:c r="N29" s="144" t="n">
        <x:v>737.3000000000001</x:v>
      </x:c>
      <x:c r="O29" s="144" t="n">
        <x:v>746.856</x:v>
      </x:c>
      <x:c r="P29" s="144" t="n">
        <x:v>792.1840000000001</x:v>
      </x:c>
      <x:c r="Q29" s="144" t="n">
        <x:v>802.32</x:v>
      </x:c>
      <x:c r="R29" s="144" t="n">
        <x:v>848.24</x:v>
      </x:c>
      <x:c r="S29" s="144" t="n">
        <x:v>863.268</x:v>
      </x:c>
      <x:c r="T29" s="144" t="n">
        <x:v>874.356</x:v>
      </x:c>
      <x:c r="U29" s="144" t="n">
        <x:v>901.676</x:v>
      </x:c>
      <x:c r="V29" s="144" t="n">
        <x:v>1085.964</x:v>
      </x:c>
      <x:c r="W29" s="144" t="n">
        <x:v>1103.384</x:v>
      </x:c>
      <x:c r="X29" s="144" t="n">
        <x:v>1127.688</x:v>
      </x:c>
      <x:c r="Y29" s="144" t="n">
        <x:v>1139.876</x:v>
      </x:c>
      <x:c r="Z29" s="144" t="n">
        <x:v>1151.364</x:v>
      </x:c>
    </x:row>
    <x:row r="30">
      <x:c r="A30" s="88" t="n">
        <x:v>19</x:v>
      </x:c>
      <x:c r="B30" s="88" t="str">
        <x:v>S19_CHW</x:v>
      </x:c>
      <x:c r="C30" s="88" t="str">
        <x:v>$2 최종 선택</x:v>
      </x:c>
      <x:c r="D30" s="99" t="str">
        <x:v>자동 점검 통과</x:v>
      </x:c>
      <x:c r="E30" s="144" t="n">
        <x:v>19.82800000000003</x:v>
      </x:c>
      <x:c r="F30" s="144" t="n">
        <x:v>215.90000000000003</x:v>
      </x:c>
      <x:c r="G30" s="144" t="n">
        <x:v>272.07200000000006</x:v>
      </x:c>
      <x:c r="H30" s="144" t="n">
        <x:v>662.052</x:v>
      </x:c>
      <x:c r="I30" s="144" t="n">
        <x:v>763.568</x:v>
      </x:c>
      <x:c r="J30" s="144" t="n">
        <x:v>783.864</x:v>
      </x:c>
      <x:c r="K30" s="144" t="n">
        <x:v>799.476</x:v>
      </x:c>
      <x:c r="L30" s="144" t="n">
        <x:v>816.428</x:v>
      </x:c>
      <x:c r="M30" s="144" t="n">
        <x:v>926.766</x:v>
      </x:c>
      <x:c r="N30" s="144" t="n">
        <x:v>954.068</x:v>
      </x:c>
      <x:c r="O30" s="144" t="n">
        <x:v>962.232</x:v>
      </x:c>
      <x:c r="P30" s="144" t="n">
        <x:v>1009.592</x:v>
      </x:c>
      <x:c r="Q30" s="144" t="n">
        <x:v>1024.328</x:v>
      </x:c>
      <x:c r="R30" s="144" t="n">
        <x:v>1076.0880000000002</x:v>
      </x:c>
      <x:c r="S30" s="144" t="n">
        <x:v>1096.346</x:v>
      </x:c>
      <x:c r="T30" s="144" t="n">
        <x:v>1106.604</x:v>
      </x:c>
      <x:c r="U30" s="144" t="n">
        <x:v>1188.496</x:v>
      </x:c>
      <x:c r="V30" s="144" t="n">
        <x:v>1372.364</x:v>
      </x:c>
      <x:c r="W30" s="144" t="n">
        <x:v>1429.692</x:v>
      </x:c>
      <x:c r="X30" s="144" t="n">
        <x:v>1454.9060000000002</x:v>
      </x:c>
      <x:c r="Y30" s="144" t="n">
        <x:v>1485.52</x:v>
      </x:c>
      <x:c r="Z30" s="144" t="n">
        <x:v>1507.4640000000002</x:v>
      </x:c>
    </x:row>
    <x:row r="31">
      <x:c r="A31" s="88" t="n">
        <x:v>20</x:v>
      </x:c>
      <x:c r="B31" s="88" t="str">
        <x:v>S20_YSE</x:v>
      </x:c>
      <x:c r="C31" s="88" t="str">
        <x:v>$2 최종 선택</x:v>
      </x:c>
      <x:c r="D31" s="98" t="str">
        <x:v>대체 후보 있음</x:v>
      </x:c>
      <x:c r="E31" s="144" t="n">
        <x:v>11.204000000000049</x:v>
      </x:c>
      <x:c r="F31" s="144" t="n">
        <x:v>207.54800000000006</x:v>
      </x:c>
      <x:c r="G31" s="144" t="n">
        <x:v>229.71200000000005</x:v>
      </x:c>
      <x:c r="H31" s="144" t="n">
        <x:v>600.7440000000001</x:v>
      </x:c>
      <x:c r="I31" s="144" t="n">
        <x:v>648.9960000000001</x:v>
      </x:c>
      <x:c r="J31" s="144" t="n">
        <x:v>661.7120000000001</x:v>
      </x:c>
      <x:c r="K31" s="144" t="n">
        <x:v>681.0520000000001</x:v>
      </x:c>
      <x:c r="L31" s="144" t="n">
        <x:v>693.2280000000001</x:v>
      </x:c>
      <x:c r="M31" s="144" t="n">
        <x:v>756.1440000000001</x:v>
      </x:c>
      <x:c r="N31" s="144" t="n">
        <x:v>770.7160000000001</x:v>
      </x:c>
      <x:c r="O31" s="144" t="n">
        <x:v>789.3400000000001</x:v>
      </x:c>
      <x:c r="P31" s="144" t="n">
        <x:v>836.5000000000001</x:v>
      </x:c>
      <x:c r="Q31" s="144" t="n">
        <x:v>847.8760000000001</x:v>
      </x:c>
      <x:c r="R31" s="144" t="n">
        <x:v>890.6000000000001</x:v>
      </x:c>
      <x:c r="S31" s="144" t="n">
        <x:v>894.6840000000001</x:v>
      </x:c>
      <x:c r="T31" s="144" t="n">
        <x:v>927.4040000000001</x:v>
      </x:c>
      <x:c r="U31" s="144" t="n">
        <x:v>965.7680000000001</x:v>
      </x:c>
      <x:c r="V31" s="144" t="n">
        <x:v>1155.384</x:v>
      </x:c>
      <x:c r="W31" s="144" t="n">
        <x:v>1178.794</x:v>
      </x:c>
      <x:c r="X31" s="144" t="n">
        <x:v>1203.0320000000002</x:v>
      </x:c>
      <x:c r="Y31" s="144" t="n">
        <x:v>1225.256</x:v>
      </x:c>
      <x:c r="Z31" s="144" t="n">
        <x:v>1234.496</x:v>
      </x:c>
    </x:row>
    <x:row r="32">
      <x:c r="A32" s="88" t="n">
        <x:v>21</x:v>
      </x:c>
      <x:c r="B32" s="88" t="str">
        <x:v>S21_PSJ</x:v>
      </x:c>
      <x:c r="C32" s="88" t="str">
        <x:v>$2 최종 선택</x:v>
      </x:c>
      <x:c r="D32" s="99" t="str">
        <x:v>자동 점검 통과</x:v>
      </x:c>
      <x:c r="E32" s="144" t="n">
        <x:v>19.952000000000034</x:v>
      </x:c>
      <x:c r="F32" s="144" t="n">
        <x:v>214.06000000000003</x:v>
      </x:c>
      <x:c r="G32" s="144" t="n">
        <x:v>235.40400000000005</x:v>
      </x:c>
      <x:c r="H32" s="144" t="n">
        <x:v>612.2120000000001</x:v>
      </x:c>
      <x:c r="I32" s="144" t="n">
        <x:v>654.908</x:v>
      </x:c>
      <x:c r="J32" s="144" t="n">
        <x:v>668.36</x:v>
      </x:c>
      <x:c r="K32" s="144" t="n">
        <x:v>688.34</x:v>
      </x:c>
      <x:c r="L32" s="144" t="n">
        <x:v>698.5160000000001</x:v>
      </x:c>
      <x:c r="M32" s="144" t="n">
        <x:v>793.5480000000001</x:v>
      </x:c>
      <x:c r="N32" s="144" t="n">
        <x:v>807.974</x:v>
      </x:c>
      <x:c r="O32" s="144" t="n">
        <x:v>816.4200000000001</x:v>
      </x:c>
      <x:c r="P32" s="144" t="n">
        <x:v>862.9000000000001</x:v>
      </x:c>
      <x:c r="Q32" s="144" t="n">
        <x:v>875.248</x:v>
      </x:c>
      <x:c r="R32" s="144" t="n">
        <x:v>921.344</x:v>
      </x:c>
      <x:c r="S32" s="144" t="n">
        <x:v>937.5920000000001</x:v>
      </x:c>
      <x:c r="T32" s="144" t="n">
        <x:v>970.58</x:v>
      </x:c>
      <x:c r="U32" s="144" t="n">
        <x:v>1012.864</x:v>
      </x:c>
      <x:c r="V32" s="144" t="n">
        <x:v>1208.9679999999998</x:v>
      </x:c>
      <x:c r="W32" s="144" t="n">
        <x:v>1248.0639999999999</x:v>
      </x:c>
      <x:c r="X32" s="144" t="n">
        <x:v>1270.892</x:v>
      </x:c>
      <x:c r="Y32" s="144" t="n">
        <x:v>1306.696</x:v>
      </x:c>
      <x:c r="Z32" s="144" t="n">
        <x:v>1317.132</x:v>
      </x:c>
    </x:row>
    <x:row r="33">
      <x:c r="A33" s="88" t="n">
        <x:v>22</x:v>
      </x:c>
      <x:c r="B33" s="88" t="str">
        <x:v>S22_KJH</x:v>
      </x:c>
      <x:c r="C33" s="88" t="str">
        <x:v>시간패턴 추천(미확정)</x:v>
      </x:c>
      <x:c r="D33" s="97" t="str">
        <x:v>후보군 검토 필요</x:v>
      </x:c>
      <x:c r="E33" s="148" t="n">
        <x:v>222.04000000000005</x:v>
      </x:c>
      <x:c r="F33" s="148" t="n">
        <x:v>304.812</x:v>
      </x:c>
      <x:c r="G33" s="148" t="n">
        <x:v>314.732</x:v>
      </x:c>
      <x:c r="H33" s="148" t="n">
        <x:v>681.412</x:v>
      </x:c>
      <x:c r="I33" s="148" t="n">
        <x:v>698.652</x:v>
      </x:c>
      <x:c r="J33" s="148" t="n">
        <x:v>715.7880000000001</x:v>
      </x:c>
      <x:c r="K33" s="148" t="n">
        <x:v>733.628</x:v>
      </x:c>
      <x:c r="L33" s="148" t="n">
        <x:v>813.892</x:v>
      </x:c>
      <x:c r="M33" s="148" t="n">
        <x:v>830.1160000000001</x:v>
      </x:c>
      <x:c r="N33" s="148" t="n">
        <x:v>834.9520000000001</x:v>
      </x:c>
      <x:c r="O33" s="148" t="n">
        <x:v>847.676</x:v>
      </x:c>
      <x:c r="P33" s="148" t="n">
        <x:v>894.5480000000001</x:v>
      </x:c>
      <x:c r="Q33" s="148" t="n">
        <x:v>912.0200000000001</x:v>
      </x:c>
      <x:c r="R33" s="148" t="n">
        <x:v>953.1560000000001</x:v>
      </x:c>
      <x:c r="S33" s="148" t="n">
        <x:v>969.6840000000001</x:v>
      </x:c>
      <x:c r="T33" s="148" t="n">
        <x:v>982.248</x:v>
      </x:c>
      <x:c r="U33" s="148" t="n">
        <x:v>1050.3039999999999</x:v>
      </x:c>
      <x:c r="V33" s="148" t="n">
        <x:v>1238.176</x:v>
      </x:c>
      <x:c r="W33" s="148" t="n">
        <x:v>1285.02</x:v>
      </x:c>
      <x:c r="X33" s="148" t="n">
        <x:v>1309.4759999999999</x:v>
      </x:c>
      <x:c r="Y33" s="148" t="n">
        <x:v>1342.136</x:v>
      </x:c>
      <x:c r="Z33" s="148" t="n">
        <x:v>1355.8799999999999</x:v>
      </x:c>
    </x:row>
    <x:row r="34">
      <x:c r="A34" s="88" t="n">
        <x:v>23</x:v>
      </x:c>
      <x:c r="B34" s="88" t="str">
        <x:v>S23_KDM</x:v>
      </x:c>
      <x:c r="C34" s="88" t="str">
        <x:v>$2 최종 선택</x:v>
      </x:c>
      <x:c r="D34" s="99" t="str">
        <x:v>자동 점검 통과</x:v>
      </x:c>
      <x:c r="E34" s="144" t="n">
        <x:v>17.03200000000001</x:v>
      </x:c>
      <x:c r="F34" s="144" t="n">
        <x:v>212.8</x:v>
      </x:c>
      <x:c r="G34" s="144" t="n">
        <x:v>229.692</x:v>
      </x:c>
      <x:c r="H34" s="144" t="n">
        <x:v>603.5240000000001</x:v>
      </x:c>
      <x:c r="I34" s="144" t="n">
        <x:v>659.9960000000001</x:v>
      </x:c>
      <x:c r="J34" s="144" t="n">
        <x:v>671.0880000000001</x:v>
      </x:c>
      <x:c r="K34" s="144" t="n">
        <x:v>691.2120000000001</x:v>
      </x:c>
      <x:c r="L34" s="144" t="n">
        <x:v>702.5680000000001</x:v>
      </x:c>
      <x:c r="M34" s="144" t="n">
        <x:v>756.1120000000001</x:v>
      </x:c>
      <x:c r="N34" s="144" t="n">
        <x:v>762.3066670000001</x:v>
      </x:c>
      <x:c r="O34" s="144" t="n">
        <x:v>777.9040000000001</x:v>
      </x:c>
      <x:c r="P34" s="144" t="n">
        <x:v>819.5640000000001</x:v>
      </x:c>
      <x:c r="Q34" s="144" t="n">
        <x:v>831.408</x:v>
      </x:c>
      <x:c r="R34" s="144" t="n">
        <x:v>880.892</x:v>
      </x:c>
      <x:c r="S34" s="144" t="n">
        <x:v>899.908</x:v>
      </x:c>
      <x:c r="T34" s="144" t="n">
        <x:v>907.7600000000001</x:v>
      </x:c>
      <x:c r="U34" s="144" t="n">
        <x:v>946.6360000000001</x:v>
      </x:c>
      <x:c r="V34" s="144" t="n">
        <x:v>1130.296</x:v>
      </x:c>
      <x:c r="W34" s="144" t="n">
        <x:v>1147.392</x:v>
      </x:c>
      <x:c r="X34" s="144" t="n">
        <x:v>1170.656</x:v>
      </x:c>
      <x:c r="Y34" s="144" t="n">
        <x:v>1193.716</x:v>
      </x:c>
      <x:c r="Z34" s="144" t="n">
        <x:v>1211.424</x:v>
      </x:c>
    </x:row>
    <x:row r="35">
      <x:c r="A35" s="88" t="n">
        <x:v>24</x:v>
      </x:c>
      <x:c r="B35" s="88" t="str">
        <x:v>S24_KHJ</x:v>
      </x:c>
      <x:c r="C35" s="88" t="str">
        <x:v>없음</x:v>
      </x:c>
      <x:c r="D35" s="94" t="str">
        <x:v>원본 누락</x:v>
      </x:c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8" t="n">
        <x:v>25</x:v>
      </x:c>
      <x:c r="B36" s="88" t="str">
        <x:v>S25_GEC</x:v>
      </x:c>
      <x:c r="C36" s="88" t="str">
        <x:v>$2 최종 선택</x:v>
      </x:c>
      <x:c r="D36" s="98" t="str">
        <x:v>대체 후보 있음</x:v>
      </x:c>
      <x:c r="E36" s="144" t="n">
        <x:v>19</x:v>
      </x:c>
      <x:c r="F36" s="144" t="n">
        <x:v>216.6</x:v>
      </x:c>
      <x:c r="G36" s="144" t="n">
        <x:v>237</x:v>
      </x:c>
      <x:c r="H36" s="144" t="n">
        <x:v>611.8</x:v>
      </x:c>
      <x:c r="I36" s="144" t="n">
        <x:v>700.7</x:v>
      </x:c>
      <x:c r="J36" s="144" t="n">
        <x:v>722.7</x:v>
      </x:c>
      <x:c r="K36" s="144" t="n">
        <x:v>739.9</x:v>
      </x:c>
      <x:c r="L36" s="144" t="n">
        <x:v>749.3</x:v>
      </x:c>
      <x:c r="M36" s="144" t="n">
        <x:v>848.9</x:v>
      </x:c>
      <x:c r="N36" s="144" t="n">
        <x:v>863.8</x:v>
      </x:c>
      <x:c r="O36" s="144" t="n">
        <x:v>874.6</x:v>
      </x:c>
      <x:c r="P36" s="144" t="n">
        <x:v>923.9</x:v>
      </x:c>
      <x:c r="Q36" s="144" t="n">
        <x:v>934</x:v>
      </x:c>
      <x:c r="R36" s="144" t="n">
        <x:v>989.2</x:v>
      </x:c>
      <x:c r="S36" s="144" t="n">
        <x:v>1008.1</x:v>
      </x:c>
      <x:c r="T36" s="144" t="n">
        <x:v>1021.9</x:v>
      </x:c>
      <x:c r="U36" s="144" t="n">
        <x:v>1093.6</x:v>
      </x:c>
      <x:c r="V36" s="144" t="n">
        <x:v>1283.9</x:v>
      </x:c>
      <x:c r="W36" s="144" t="n">
        <x:v>1319.4</x:v>
      </x:c>
      <x:c r="X36" s="144" t="n">
        <x:v>1345.4</x:v>
      </x:c>
      <x:c r="Y36" s="144" t="n">
        <x:v>1373.2</x:v>
      </x:c>
      <x:c r="Z36" s="144" t="n">
        <x:v>1387.4</x:v>
      </x:c>
    </x:row>
    <x:row r="37">
      <x:c r="A37" s="88" t="n">
        <x:v>26</x:v>
      </x:c>
      <x:c r="B37" s="88" t="str">
        <x:v>S26_LDW</x:v>
      </x:c>
      <x:c r="C37" s="88" t="str">
        <x:v>$2 최종 선택</x:v>
      </x:c>
      <x:c r="D37" s="99" t="str">
        <x:v>자동 점검 통과</x:v>
      </x:c>
      <x:c r="E37" s="144" t="n">
        <x:v>12.588000000000042</x:v>
      </x:c>
      <x:c r="F37" s="144" t="n">
        <x:v>206.84400000000005</x:v>
      </x:c>
      <x:c r="G37" s="144" t="n">
        <x:v>257.132</x:v>
      </x:c>
      <x:c r="H37" s="144" t="n">
        <x:v>633.0600000000001</x:v>
      </x:c>
      <x:c r="I37" s="144" t="n">
        <x:v>687.072</x:v>
      </x:c>
      <x:c r="J37" s="144" t="n">
        <x:v>699.96</x:v>
      </x:c>
      <x:c r="K37" s="144" t="n">
        <x:v>718.672</x:v>
      </x:c>
      <x:c r="L37" s="144" t="n">
        <x:v>730.8000000000001</x:v>
      </x:c>
      <x:c r="M37" s="144" t="n">
        <x:v>788.4200000000001</x:v>
      </x:c>
      <x:c r="N37" s="144" t="n">
        <x:v>804.976</x:v>
      </x:c>
      <x:c r="O37" s="144" t="n">
        <x:v>817.904</x:v>
      </x:c>
      <x:c r="P37" s="144" t="n">
        <x:v>864.6493330000001</x:v>
      </x:c>
      <x:c r="Q37" s="144" t="n">
        <x:v>874.236</x:v>
      </x:c>
      <x:c r="R37" s="144" t="n">
        <x:v>923.36</x:v>
      </x:c>
      <x:c r="S37" s="144" t="n">
        <x:v>944.8960000000001</x:v>
      </x:c>
      <x:c r="T37" s="144" t="n">
        <x:v>958.112</x:v>
      </x:c>
      <x:c r="U37" s="144" t="n">
        <x:v>1021.684</x:v>
      </x:c>
      <x:c r="V37" s="144" t="n">
        <x:v>1213.629333</x:v>
      </x:c>
      <x:c r="W37" s="144" t="n">
        <x:v>1230.5200000000002</x:v>
      </x:c>
      <x:c r="X37" s="144" t="n">
        <x:v>1256.652</x:v>
      </x:c>
      <x:c r="Y37" s="144" t="n">
        <x:v>1277.9920000000002</x:v>
      </x:c>
      <x:c r="Z37" s="144" t="n">
        <x:v>1291.4080000000001</x:v>
      </x:c>
    </x:row>
    <x:row r="38">
      <x:c r="A38" s="88" t="n">
        <x:v>27</x:v>
      </x:c>
      <x:c r="B38" s="88" t="str">
        <x:v>S27_HDH</x:v>
      </x:c>
      <x:c r="C38" s="88" t="str">
        <x:v>$2 최종 선택</x:v>
      </x:c>
      <x:c r="D38" s="94" t="str">
        <x:v>수동값/원시 불일치</x:v>
      </x:c>
      <x:c r="E38" s="144" t="n">
        <x:v>6.2</x:v>
      </x:c>
      <x:c r="F38" s="144" t="n">
        <x:v>198.3</x:v>
      </x:c>
      <x:c r="G38" s="144" t="n">
        <x:v>221.1</x:v>
      </x:c>
      <x:c r="H38" s="144" t="n">
        <x:v>596.9</x:v>
      </x:c>
      <x:c r="I38" s="144" t="n">
        <x:v>649.1</x:v>
      </x:c>
      <x:c r="J38" s="144" t="n">
        <x:v>663.7</x:v>
      </x:c>
      <x:c r="K38" s="144" t="n">
        <x:v>682.1</x:v>
      </x:c>
      <x:c r="L38" s="144" t="n">
        <x:v>695.7</x:v>
      </x:c>
      <x:c r="M38" s="144" t="n">
        <x:v>754</x:v>
      </x:c>
      <x:c r="N38" s="144" t="n">
        <x:v>767.2</x:v>
      </x:c>
      <x:c r="O38" s="144" t="n">
        <x:v>780.3</x:v>
      </x:c>
      <x:c r="P38" s="144" t="n">
        <x:v>825.9</x:v>
      </x:c>
      <x:c r="Q38" s="144" t="n">
        <x:v>838.1</x:v>
      </x:c>
      <x:c r="R38" s="144" t="n">
        <x:v>889</x:v>
      </x:c>
      <x:c r="S38" s="144" t="n">
        <x:v>910</x:v>
      </x:c>
      <x:c r="T38" s="144" t="n">
        <x:v>922.5</x:v>
      </x:c>
      <x:c r="U38" s="144" t="n">
        <x:v>972</x:v>
      </x:c>
      <x:c r="V38" s="144" t="n">
        <x:v>1159.6</x:v>
      </x:c>
      <x:c r="W38" s="144" t="n">
        <x:v>1183.3</x:v>
      </x:c>
      <x:c r="X38" s="144" t="n">
        <x:v>1205.4</x:v>
      </x:c>
      <x:c r="Y38" s="144" t="n">
        <x:v>1225.3</x:v>
      </x:c>
      <x:c r="Z38" s="144" t="n">
        <x:v>1236</x:v>
      </x:c>
    </x:row>
    <x:row r="39">
      <x:c r="A39" s="88" t="n">
        <x:v>28</x:v>
      </x:c>
      <x:c r="B39" s="88" t="str">
        <x:v>S28_KDH</x:v>
      </x:c>
      <x:c r="C39" s="88" t="str">
        <x:v>$2 최종 선택</x:v>
      </x:c>
      <x:c r="D39" s="99" t="str">
        <x:v>자동 점검 통과</x:v>
      </x:c>
      <x:c r="E39" s="144" t="n">
        <x:v>14.424000000000055</x:v>
      </x:c>
      <x:c r="F39" s="144" t="n">
        <x:v>207.58000000000004</x:v>
      </x:c>
      <x:c r="G39" s="144" t="n">
        <x:v>238.92400000000004</x:v>
      </x:c>
      <x:c r="H39" s="144" t="n">
        <x:v>616.316</x:v>
      </x:c>
      <x:c r="I39" s="144" t="n">
        <x:v>674.368</x:v>
      </x:c>
      <x:c r="J39" s="144" t="n">
        <x:v>690.6840000000001</x:v>
      </x:c>
      <x:c r="K39" s="144" t="n">
        <x:v>709.596</x:v>
      </x:c>
      <x:c r="L39" s="144" t="n">
        <x:v>724.6600000000001</x:v>
      </x:c>
      <x:c r="M39" s="144" t="n">
        <x:v>788.84</x:v>
      </x:c>
      <x:c r="N39" s="144" t="n">
        <x:v>804.416</x:v>
      </x:c>
      <x:c r="O39" s="144" t="n">
        <x:v>817.7</x:v>
      </x:c>
      <x:c r="P39" s="144" t="n">
        <x:v>865.7080000000001</x:v>
      </x:c>
      <x:c r="Q39" s="144" t="n">
        <x:v>881.24</x:v>
      </x:c>
      <x:c r="R39" s="144" t="n">
        <x:v>928.0600000000001</x:v>
      </x:c>
      <x:c r="S39" s="144" t="n">
        <x:v>946.028</x:v>
      </x:c>
      <x:c r="T39" s="144" t="n">
        <x:v>957.956</x:v>
      </x:c>
      <x:c r="U39" s="144" t="n">
        <x:v>1002.46</x:v>
      </x:c>
      <x:c r="V39" s="144" t="n">
        <x:v>1191.396</x:v>
      </x:c>
      <x:c r="W39" s="144" t="n">
        <x:v>1214.4840000000002</x:v>
      </x:c>
      <x:c r="X39" s="144" t="n">
        <x:v>1239.976</x:v>
      </x:c>
      <x:c r="Y39" s="144" t="n">
        <x:v>1265.272</x:v>
      </x:c>
      <x:c r="Z39" s="144" t="n">
        <x:v>1278.26</x:v>
      </x:c>
    </x:row>
    <x:row r="40">
      <x:c r="A40" s="88" t="n">
        <x:v>29</x:v>
      </x:c>
      <x:c r="B40" s="88" t="str">
        <x:v>S29_LHS</x:v>
      </x:c>
      <x:c r="C40" s="88" t="str">
        <x:v>$2 최종 선택</x:v>
      </x:c>
      <x:c r="D40" s="94" t="str">
        <x:v>수동값/원시 불일치</x:v>
      </x:c>
      <x:c r="E40" s="144" t="n">
        <x:v>17.784</x:v>
      </x:c>
      <x:c r="F40" s="144" t="n">
        <x:v>209.824</x:v>
      </x:c>
      <x:c r="G40" s="144" t="n">
        <x:v>232.384</x:v>
      </x:c>
      <x:c r="H40" s="144" t="n">
        <x:v>606.668</x:v>
      </x:c>
      <x:c r="I40" s="144" t="n">
        <x:v>652.486</x:v>
      </x:c>
      <x:c r="J40" s="144" t="n">
        <x:v>666.664</x:v>
      </x:c>
      <x:c r="K40" s="144" t="n">
        <x:v>682.42</x:v>
      </x:c>
      <x:c r="L40" s="144" t="n">
        <x:v>695.828</x:v>
      </x:c>
      <x:c r="M40" s="144" t="n">
        <x:v>764.14</x:v>
      </x:c>
      <x:c r="N40" s="144" t="n">
        <x:v>781.232</x:v>
      </x:c>
      <x:c r="O40" s="144" t="n">
        <x:v>790.8</x:v>
      </x:c>
      <x:c r="P40" s="144" t="n">
        <x:v>837.34</x:v>
      </x:c>
      <x:c r="Q40" s="144" t="n">
        <x:v>848.692</x:v>
      </x:c>
      <x:c r="R40" s="144" t="n">
        <x:v>896.944</x:v>
      </x:c>
      <x:c r="S40" s="144" t="n">
        <x:v>914.5</x:v>
      </x:c>
      <x:c r="T40" s="144" t="n">
        <x:v>927.224</x:v>
      </x:c>
      <x:c r="U40" s="144" t="n">
        <x:v>972.348</x:v>
      </x:c>
      <x:c r="V40" s="144" t="n">
        <x:v>1158.54</x:v>
      </x:c>
      <x:c r="W40" s="144" t="n">
        <x:v>1186.98</x:v>
      </x:c>
      <x:c r="X40" s="144" t="n">
        <x:v>1210.275</x:v>
      </x:c>
      <x:c r="Y40" s="144" t="n">
        <x:v>1236.928</x:v>
      </x:c>
      <x:c r="Z40" s="144" t="n">
        <x:v>1251.62</x:v>
      </x:c>
    </x:row>
    <x:row r="41">
      <x:c r="A41" s="90" t="n">
        <x:v>30</x:v>
      </x:c>
      <x:c r="B41" s="90" t="str">
        <x:v>S30_SJE</x:v>
      </x:c>
      <x:c r="C41" s="90" t="str">
        <x:v>$2 최종 선택</x:v>
      </x:c>
      <x:c r="D41" s="100" t="str">
        <x:v>수동값/원시 불일치</x:v>
      </x:c>
      <x:c r="E41" s="145" t="n">
        <x:v>6.45</x:v>
      </x:c>
      <x:c r="F41" s="145" t="n">
        <x:v>192.15</x:v>
      </x:c>
      <x:c r="G41" s="145" t="n">
        <x:v>237.275</x:v>
      </x:c>
      <x:c r="H41" s="145" t="n">
        <x:v>620.125</x:v>
      </x:c>
      <x:c r="I41" s="145" t="n">
        <x:v>661.775</x:v>
      </x:c>
      <x:c r="J41" s="145" t="n">
        <x:v>676.4</x:v>
      </x:c>
      <x:c r="K41" s="145" t="n">
        <x:v>730.025</x:v>
      </x:c>
      <x:c r="L41" s="145" t="n">
        <x:v>741.25</x:v>
      </x:c>
      <x:c r="M41" s="145" t="n">
        <x:v>755.025</x:v>
      </x:c>
      <x:c r="N41" s="145" t="n">
        <x:v>791.15</x:v>
      </x:c>
      <x:c r="O41" s="145" t="n">
        <x:v>800.675</x:v>
      </x:c>
      <x:c r="P41" s="145" t="n">
        <x:v>844.1</x:v>
      </x:c>
      <x:c r="Q41" s="145" t="n">
        <x:v>853.65</x:v>
      </x:c>
      <x:c r="R41" s="145" t="n">
        <x:v>896.7</x:v>
      </x:c>
      <x:c r="S41" s="145" t="n">
        <x:v>911.825</x:v>
      </x:c>
      <x:c r="T41" s="145" t="n">
        <x:v>968.925</x:v>
      </x:c>
      <x:c r="U41" s="145" t="n">
        <x:v>974.375</x:v>
      </x:c>
      <x:c r="V41" s="145" t="n">
        <x:v>1158.775</x:v>
      </x:c>
      <x:c r="W41" s="145" t="n">
        <x:v>1175.375</x:v>
      </x:c>
      <x:c r="X41" s="145" t="n">
        <x:v>1219.625</x:v>
      </x:c>
      <x:c r="Y41" s="145" t="n">
        <x:v>1243.925</x:v>
      </x:c>
      <x:c r="Z41" s="145" t="n">
        <x:v>1254.325</x:v>
      </x:c>
    </x:row>
  </x:sheetData>
  <x:mergeCells>
    <x:mergeCell ref="A1:Z1"/>
    <x:mergeCell ref="A2:Z2"/>
    <x:mergeCell ref="A4:X4"/>
    <x:mergeCell ref="A12:Z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12" hidden="0" customWidth="1"/>
    <x:col min="5" max="5" width="9" hidden="0" customWidth="1"/>
    <x:col min="6" max="6" width="13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</x:cols>
  <x:sheetData>
    <x:row r="1" ht="30" customHeight="1">
      <x:c r="A1" s="49" t="str">
        <x:v>전체 원시·후보·선택 마커 통합표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 ht="30" customHeight="1">
      <x:c r="A2" s="52" t="str">
        <x:v>참가자마다 RAW 8.5V → 전수 후보 → 선택값 → M번호/시나리오 순서입니다. 미선택 검출값은 회색, 선택값은 시나리오별 색으로 표시하며 파랑·빨강 글씨 셀에는 마우스를 올리면 검토 메모가 보입니다.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4" ht="22" customHeight="1">
      <x:c r="A4" s="150" t="str">
        <x:v>시나리오 색</x:v>
      </x:c>
      <x:c r="B4" s="154" t="str">
        <x:v>1번 호흡</x:v>
      </x:c>
      <x:c r="C4" s="158" t="str">
        <x:v>2번 호흡</x:v>
      </x:c>
      <x:c r="D4" s="162" t="str">
        <x:v>3번 픽업</x:v>
      </x:c>
      <x:c r="E4" s="162" t="str">
        <x:v>4번 낙상</x:v>
      </x:c>
      <x:c r="F4" s="166" t="str">
        <x:v>5번 코스</x:v>
      </x:c>
      <x:c r="G4" s="170" t="str">
        <x:v>6번 왕복</x:v>
      </x:c>
      <x:c r="H4" s="162" t="str">
        <x:v>7번 자유</x:v>
      </x:c>
      <x:c r="J4" s="173" t="str">
        <x:v>회색</x:v>
      </x:c>
      <x:c r="K4" s="173" t="str">
        <x:v>미선택 검출값</x:v>
      </x:c>
    </x:row>
    <x:row r="5" ht="22" customHeight="1">
      <x:c r="A5" s="150" t="str">
        <x:v>글자 색</x:v>
      </x:c>
      <x:c r="B5" s="175" t="str">
        <x:v>검정</x:v>
      </x:c>
      <x:c r="C5" s="175" t="str">
        <x:v>예상 오차범위 내</x:v>
      </x:c>
      <x:c r="D5" s="177" t="str">
        <x:v>파랑</x:v>
      </x:c>
      <x:c r="E5" s="177" t="str">
        <x:v>대체 후보/RAW 미일치</x:v>
      </x:c>
      <x:c r="F5" s="179" t="str">
        <x:v>빨강</x:v>
      </x:c>
      <x:c r="G5" s="179" t="str">
        <x:v>시간 이탈·미확정·수동 불일치</x:v>
      </x:c>
    </x:row>
    <x:row r="7" ht="28" customHeight="1">
      <x:c r="A7" s="65" t="str">
        <x:v>번호</x:v>
      </x:c>
      <x:c r="B7" s="65" t="str">
        <x:v>참가자</x:v>
      </x:c>
      <x:c r="C7" s="65" t="str">
        <x:v>행 종류</x:v>
      </x:c>
      <x:c r="D7" s="65" t="str">
        <x:v>시간축</x:v>
      </x:c>
      <x:c r="E7" s="65" t="str">
        <x:v>기대 수</x:v>
      </x:c>
      <x:c r="F7" s="65" t="str">
        <x:v>선택/추천 수</x:v>
      </x:c>
      <x:c r="G7" s="65" t="str">
        <x:v>판정</x:v>
      </x:c>
      <x:c r="H7" s="65" t="str">
        <x:v>E01</x:v>
      </x:c>
      <x:c r="I7" s="65" t="str">
        <x:v>E02</x:v>
      </x:c>
      <x:c r="J7" s="65" t="str">
        <x:v>E03</x:v>
      </x:c>
      <x:c r="K7" s="65" t="str">
        <x:v>E04</x:v>
      </x:c>
      <x:c r="L7" s="65" t="str">
        <x:v>E05</x:v>
      </x:c>
      <x:c r="M7" s="65" t="str">
        <x:v>E06</x:v>
      </x:c>
      <x:c r="N7" s="65" t="str">
        <x:v>E07</x:v>
      </x:c>
      <x:c r="O7" s="65" t="str">
        <x:v>E08</x:v>
      </x:c>
      <x:c r="P7" s="65" t="str">
        <x:v>E09</x:v>
      </x:c>
      <x:c r="Q7" s="65" t="str">
        <x:v>E10</x:v>
      </x:c>
      <x:c r="R7" s="65" t="str">
        <x:v>E11</x:v>
      </x:c>
      <x:c r="S7" s="65" t="str">
        <x:v>E12</x:v>
      </x:c>
      <x:c r="T7" s="65" t="str">
        <x:v>E13</x:v>
      </x:c>
      <x:c r="U7" s="65" t="str">
        <x:v>E14</x:v>
      </x:c>
      <x:c r="V7" s="65" t="str">
        <x:v>E15</x:v>
      </x:c>
      <x:c r="W7" s="65" t="str">
        <x:v>E16</x:v>
      </x:c>
      <x:c r="X7" s="65" t="str">
        <x:v>E17</x:v>
      </x:c>
      <x:c r="Y7" s="65" t="str">
        <x:v>E18</x:v>
      </x:c>
      <x:c r="Z7" s="65" t="str">
        <x:v>E19</x:v>
      </x:c>
      <x:c r="AA7" s="65" t="str">
        <x:v>E20</x:v>
      </x:c>
      <x:c r="AB7" s="65" t="str">
        <x:v>E21</x:v>
      </x:c>
      <x:c r="AC7" s="65" t="str">
        <x:v>E22</x:v>
      </x:c>
      <x:c r="AD7" s="65" t="str">
        <x:v>E23</x:v>
      </x:c>
      <x:c r="AE7" s="65" t="str">
        <x:v>E24</x:v>
      </x:c>
      <x:c r="AF7" s="65" t="str">
        <x:v>E25</x:v>
      </x:c>
      <x:c r="AG7" s="65" t="str">
        <x:v>E26</x:v>
      </x:c>
      <x:c r="AH7" s="65" t="str">
        <x:v>E27</x:v>
      </x:c>
      <x:c r="AI7" s="65" t="str">
        <x:v>E28</x:v>
      </x:c>
      <x:c r="AJ7" s="65" t="str">
        <x:v>E29</x:v>
      </x:c>
      <x:c r="AK7" s="65" t="str">
        <x:v>E30</x:v>
      </x:c>
      <x:c r="AL7" s="65" t="str">
        <x:v>E31</x:v>
      </x:c>
      <x:c r="AM7" s="65" t="str">
        <x:v>E32</x:v>
      </x:c>
      <x:c r="AN7" s="65" t="str">
        <x:v>E33</x:v>
      </x:c>
      <x:c r="AO7" s="65" t="str">
        <x:v>E34</x:v>
      </x:c>
      <x:c r="AP7" s="65" t="str">
        <x:v>E35</x:v>
      </x:c>
      <x:c r="AQ7" s="65" t="str">
        <x:v>E36</x:v>
      </x:c>
      <x:c r="AR7" s="65" t="str">
        <x:v>E37</x:v>
      </x:c>
      <x:c r="AS7" s="65" t="str">
        <x:v>E38</x:v>
      </x:c>
      <x:c r="AT7" s="65" t="str">
        <x:v>E39</x:v>
      </x:c>
      <x:c r="AU7" s="65" t="str">
        <x:v>E40</x:v>
      </x:c>
      <x:c r="AV7" s="65" t="str">
        <x:v>E41</x:v>
      </x:c>
      <x:c r="AW7" s="65" t="str">
        <x:v>E42</x:v>
      </x:c>
      <x:c r="AX7" s="65" t="str">
        <x:v>E43</x:v>
      </x:c>
      <x:c r="AY7" s="65" t="str">
        <x:v>E44</x:v>
      </x:c>
      <x:c r="AZ7" s="65" t="str">
        <x:v>E45</x:v>
      </x:c>
      <x:c r="BA7" s="65" t="str">
        <x:v>E46</x:v>
      </x:c>
      <x:c r="BB7" s="65" t="str">
        <x:v>E47</x:v>
      </x:c>
      <x:c r="BC7" s="65" t="str">
        <x:v>E48</x:v>
      </x:c>
      <x:c r="BD7" s="65" t="str">
        <x:v>E49</x:v>
      </x:c>
      <x:c r="BE7" s="65" t="str">
        <x:v>E50</x:v>
      </x:c>
      <x:c r="BF7" s="65" t="str">
        <x:v>E51</x:v>
      </x:c>
      <x:c r="BG7" s="65" t="str">
        <x:v>E52</x:v>
      </x:c>
      <x:c r="BH7" s="65" t="str">
        <x:v>E53</x:v>
      </x:c>
      <x:c r="BI7" s="65" t="str">
        <x:v>E54</x:v>
      </x:c>
      <x:c r="BJ7" s="65" t="str">
        <x:v>E55</x:v>
      </x:c>
    </x:row>
    <x:row r="8" ht="20" customHeight="1">
      <x:c r="A8" s="193" t="n">
        <x:v>1</x:v>
      </x:c>
      <x:c r="B8" s="193" t="str">
        <x:v>S01_CMS</x:v>
      </x:c>
      <x:c r="C8" s="193" t="str">
        <x:v>RAW 8.5V</x:v>
      </x:c>
      <x:c r="D8" s="193" t="str">
        <x:v>레이더(s)</x:v>
      </x:c>
      <x:c r="E8" s="193" t="n">
        <x:v>20</x:v>
      </x:c>
      <x:c r="F8" s="193" t="n">
        <x:v>0</x:v>
      </x:c>
      <x:c r="G8" s="194" t="str">
        <x:v>후보군 검토 필요</x:v>
      </x:c>
      <x:c r="H8" s="184" t="n">
        <x:v>58.512</x:v>
      </x:c>
      <x:c r="I8" s="184" t="n">
        <x:v>245.772</x:v>
      </x:c>
      <x:c r="J8" s="184" t="n">
        <x:v>302.51599999999996</x:v>
      </x:c>
      <x:c r="K8" s="184" t="n">
        <x:v>729.192</x:v>
      </x:c>
      <x:c r="L8" s="184" t="n">
        <x:v>842.1160000000001</x:v>
      </x:c>
      <x:c r="M8" s="184" t="n">
        <x:v>860.008</x:v>
      </x:c>
      <x:c r="N8" s="184" t="n">
        <x:v>878.34</x:v>
      </x:c>
      <x:c r="O8" s="184" t="n">
        <x:v>1012.928</x:v>
      </x:c>
      <x:c r="P8" s="184"/>
      <x:c r="Q8" s="184" t="n">
        <x:v>1026.12</x:v>
      </x:c>
      <x:c r="R8" s="184" t="n">
        <x:v>1080.3</x:v>
      </x:c>
      <x:c r="S8" s="184" t="n">
        <x:v>1131.4</x:v>
      </x:c>
      <x:c r="T8" s="184" t="n">
        <x:v>1414.324</x:v>
      </x:c>
      <x:c r="U8" s="184" t="n">
        <x:v>1478.724</x:v>
      </x:c>
      <x:c r="V8" s="184" t="n">
        <x:v>1491.42</x:v>
      </x:c>
      <x:c r="W8" s="184"/>
      <x:c r="X8" s="184"/>
      <x:c r="Y8" s="184"/>
      <x:c r="Z8" s="184"/>
      <x:c r="AA8" s="184"/>
      <x:c r="AB8" s="184"/>
      <x:c r="AC8" s="184"/>
      <x:c r="AD8" s="184"/>
      <x:c r="AE8" s="184"/>
      <x:c r="AF8" s="184"/>
      <x:c r="AG8" s="184"/>
      <x:c r="AH8" s="184"/>
      <x:c r="AI8" s="184"/>
      <x:c r="AJ8" s="184"/>
      <x:c r="AK8" s="184"/>
      <x:c r="AL8" s="184"/>
      <x:c r="AM8" s="184"/>
      <x:c r="AN8" s="184"/>
      <x:c r="AO8" s="184"/>
      <x:c r="AP8" s="184"/>
      <x:c r="AQ8" s="184"/>
      <x:c r="AR8" s="184"/>
      <x:c r="AS8" s="184"/>
      <x:c r="AT8" s="184"/>
      <x:c r="AU8" s="184"/>
      <x:c r="AV8" s="184"/>
      <x:c r="AW8" s="184"/>
      <x:c r="AX8" s="184"/>
      <x:c r="AY8" s="184"/>
      <x:c r="AZ8" s="184"/>
      <x:c r="BA8" s="184"/>
      <x:c r="BB8" s="184"/>
      <x:c r="BC8" s="184"/>
      <x:c r="BD8" s="184"/>
      <x:c r="BE8" s="184"/>
      <x:c r="BF8" s="184"/>
      <x:c r="BG8" s="184"/>
      <x:c r="BH8" s="184"/>
      <x:c r="BI8" s="184"/>
      <x:c r="BJ8" s="184"/>
    </x:row>
    <x:row r="9" ht="20" customHeight="1">
      <x:c r="A9" s="190"/>
      <x:c r="B9" s="190"/>
      <x:c r="C9" s="190" t="str">
        <x:v>전수 후보</x:v>
      </x:c>
      <x:c r="D9" s="190" t="str">
        <x:v>레이더(s)</x:v>
      </x:c>
      <x:c r="E9" s="190"/>
      <x:c r="F9" s="190"/>
      <x:c r="G9" s="190"/>
      <x:c r="H9" s="184" t="n">
        <x:v>58.512</x:v>
      </x:c>
      <x:c r="I9" s="184" t="n">
        <x:v>245.772</x:v>
      </x:c>
      <x:c r="J9" s="184" t="n">
        <x:v>302.51599999999996</x:v>
      </x:c>
      <x:c r="K9" s="184" t="n">
        <x:v>729.192</x:v>
      </x:c>
      <x:c r="L9" s="184" t="n">
        <x:v>842.1160000000001</x:v>
      </x:c>
      <x:c r="M9" s="184" t="n">
        <x:v>860.008</x:v>
      </x:c>
      <x:c r="N9" s="184" t="n">
        <x:v>878.34</x:v>
      </x:c>
      <x:c r="O9" s="184" t="n">
        <x:v>1012.928</x:v>
      </x:c>
      <x:c r="P9" s="184" t="n">
        <x:v>1020.2320000000001</x:v>
      </x:c>
      <x:c r="Q9" s="184" t="n">
        <x:v>1026.12</x:v>
      </x:c>
      <x:c r="R9" s="184" t="n">
        <x:v>1080.3</x:v>
      </x:c>
      <x:c r="S9" s="184" t="n">
        <x:v>1131.4</x:v>
      </x:c>
      <x:c r="T9" s="184" t="n">
        <x:v>1414.324</x:v>
      </x:c>
      <x:c r="U9" s="184" t="n">
        <x:v>1478.724</x:v>
      </x:c>
      <x:c r="V9" s="184" t="n">
        <x:v>1491.42</x:v>
      </x:c>
      <x:c r="W9" s="184"/>
      <x:c r="X9" s="184"/>
      <x:c r="Y9" s="184"/>
      <x:c r="Z9" s="184"/>
      <x:c r="AA9" s="184"/>
      <x:c r="AB9" s="184"/>
      <x:c r="AC9" s="184"/>
      <x:c r="AD9" s="184"/>
      <x:c r="AE9" s="184"/>
      <x:c r="AF9" s="184"/>
      <x:c r="AG9" s="184"/>
      <x:c r="AH9" s="184"/>
      <x:c r="AI9" s="184"/>
      <x:c r="AJ9" s="184"/>
      <x:c r="AK9" s="184"/>
      <x:c r="AL9" s="184"/>
      <x:c r="AM9" s="184"/>
      <x:c r="AN9" s="184"/>
      <x:c r="AO9" s="184"/>
      <x:c r="AP9" s="184"/>
      <x:c r="AQ9" s="184"/>
      <x:c r="AR9" s="184"/>
      <x:c r="AS9" s="184"/>
      <x:c r="AT9" s="184"/>
      <x:c r="AU9" s="184"/>
      <x:c r="AV9" s="184"/>
      <x:c r="AW9" s="184"/>
      <x:c r="AX9" s="184"/>
      <x:c r="AY9" s="184"/>
      <x:c r="AZ9" s="184"/>
      <x:c r="BA9" s="184"/>
      <x:c r="BB9" s="184"/>
      <x:c r="BC9" s="184"/>
      <x:c r="BD9" s="184"/>
      <x:c r="BE9" s="184"/>
      <x:c r="BF9" s="184"/>
      <x:c r="BG9" s="184"/>
      <x:c r="BH9" s="184"/>
      <x:c r="BI9" s="184"/>
      <x:c r="BJ9" s="184"/>
    </x:row>
    <x:row r="10" ht="20" customHeight="1">
      <x:c r="A10" s="190"/>
      <x:c r="B10" s="190"/>
      <x:c r="C10" s="190" t="str">
        <x:v>추천값(미확정)</x:v>
      </x:c>
      <x:c r="D10" s="190" t="str">
        <x:v>레이더(s)</x:v>
      </x:c>
      <x:c r="E10" s="190"/>
      <x:c r="F10" s="190"/>
      <x:c r="G10" s="190"/>
      <x:c r="H10" s="184"/>
      <x:c r="I10" s="184"/>
      <x:c r="J10" s="184"/>
      <x:c r="K10" s="184"/>
      <x:c r="L10" s="184"/>
      <x:c r="M10" s="184"/>
      <x:c r="N10" s="184"/>
      <x:c r="O10" s="184"/>
      <x:c r="P10" s="184"/>
      <x:c r="Q10" s="184"/>
      <x:c r="R10" s="184"/>
      <x:c r="S10" s="184"/>
      <x:c r="T10" s="184"/>
      <x:c r="U10" s="184"/>
      <x:c r="V10" s="184"/>
      <x:c r="W10" s="184"/>
      <x:c r="X10" s="184"/>
      <x:c r="Y10" s="184"/>
      <x:c r="Z10" s="184"/>
      <x:c r="AA10" s="184"/>
      <x:c r="AB10" s="184"/>
      <x:c r="AC10" s="184"/>
      <x:c r="AD10" s="184"/>
      <x:c r="AE10" s="184"/>
      <x:c r="AF10" s="184"/>
      <x:c r="AG10" s="184"/>
      <x:c r="AH10" s="184"/>
      <x:c r="AI10" s="184"/>
      <x:c r="AJ10" s="184"/>
      <x:c r="AK10" s="184"/>
      <x:c r="AL10" s="184"/>
      <x:c r="AM10" s="184"/>
      <x:c r="AN10" s="184"/>
      <x:c r="AO10" s="184"/>
      <x:c r="AP10" s="184"/>
      <x:c r="AQ10" s="184"/>
      <x:c r="AR10" s="184"/>
      <x:c r="AS10" s="184"/>
      <x:c r="AT10" s="184"/>
      <x:c r="AU10" s="184"/>
      <x:c r="AV10" s="184"/>
      <x:c r="AW10" s="184"/>
      <x:c r="AX10" s="184"/>
      <x:c r="AY10" s="184"/>
      <x:c r="AZ10" s="184"/>
      <x:c r="BA10" s="184"/>
      <x:c r="BB10" s="184"/>
      <x:c r="BC10" s="184"/>
      <x:c r="BD10" s="184"/>
      <x:c r="BE10" s="184"/>
      <x:c r="BF10" s="184"/>
      <x:c r="BG10" s="184"/>
      <x:c r="BH10" s="184"/>
      <x:c r="BI10" s="184"/>
      <x:c r="BJ10" s="184"/>
    </x:row>
    <x:row r="11" ht="34" customHeight="1">
      <x:c r="A11" s="195"/>
      <x:c r="B11" s="195"/>
      <x:c r="C11" s="195" t="str">
        <x:v>M번호 / 시나리오</x:v>
      </x:c>
      <x:c r="D11" s="195" t="str">
        <x:v>레이더(s)</x:v>
      </x:c>
      <x:c r="E11" s="195"/>
      <x:c r="F11" s="195"/>
      <x:c r="G11" s="195"/>
      <x:c r="H11" s="196"/>
      <x:c r="I11" s="196"/>
      <x:c r="J11" s="196"/>
      <x:c r="K11" s="196"/>
      <x:c r="L11" s="196"/>
      <x:c r="M11" s="196"/>
      <x:c r="N11" s="196"/>
      <x:c r="O11" s="196"/>
      <x:c r="P11" s="196"/>
      <x:c r="Q11" s="196"/>
      <x:c r="R11" s="196"/>
      <x:c r="S11" s="196"/>
      <x:c r="T11" s="196"/>
      <x:c r="U11" s="196"/>
      <x:c r="V11" s="196"/>
      <x:c r="W11" s="196"/>
      <x:c r="X11" s="196"/>
      <x:c r="Y11" s="196"/>
      <x:c r="Z11" s="196"/>
      <x:c r="AA11" s="196"/>
      <x:c r="AB11" s="196"/>
      <x:c r="AC11" s="196"/>
      <x:c r="AD11" s="196"/>
      <x:c r="AE11" s="196"/>
      <x:c r="AF11" s="196"/>
      <x:c r="AG11" s="196"/>
      <x:c r="AH11" s="196"/>
      <x:c r="AI11" s="196"/>
      <x:c r="AJ11" s="196"/>
      <x:c r="AK11" s="196"/>
      <x:c r="AL11" s="196"/>
      <x:c r="AM11" s="196"/>
      <x:c r="AN11" s="196"/>
      <x:c r="AO11" s="196"/>
      <x:c r="AP11" s="196"/>
      <x:c r="AQ11" s="196"/>
      <x:c r="AR11" s="196"/>
      <x:c r="AS11" s="196"/>
      <x:c r="AT11" s="196"/>
      <x:c r="AU11" s="196"/>
      <x:c r="AV11" s="196"/>
      <x:c r="AW11" s="196"/>
      <x:c r="AX11" s="196"/>
      <x:c r="AY11" s="196"/>
      <x:c r="AZ11" s="196"/>
      <x:c r="BA11" s="196"/>
      <x:c r="BB11" s="196"/>
      <x:c r="BC11" s="196"/>
      <x:c r="BD11" s="196"/>
      <x:c r="BE11" s="196"/>
      <x:c r="BF11" s="196"/>
      <x:c r="BG11" s="196"/>
      <x:c r="BH11" s="196"/>
      <x:c r="BI11" s="196"/>
      <x:c r="BJ11" s="196"/>
    </x:row>
    <x:row r="12" ht="20" customHeight="1">
      <x:c r="A12" s="198" t="n">
        <x:v>2</x:v>
      </x:c>
      <x:c r="B12" s="198" t="str">
        <x:v>S02_RJS</x:v>
      </x:c>
      <x:c r="C12" s="198" t="str">
        <x:v>RAW 8.5V</x:v>
      </x:c>
      <x:c r="D12" s="198" t="str">
        <x:v>레이더(s)</x:v>
      </x:c>
      <x:c r="E12" s="198" t="n">
        <x:v>20</x:v>
      </x:c>
      <x:c r="F12" s="198" t="n">
        <x:v>20</x:v>
      </x:c>
      <x:c r="G12" s="199" t="str">
        <x:v>수동값/원시 불일치</x:v>
      </x:c>
      <x:c r="H12" s="184" t="n">
        <x:v>18.93133333333333</x:v>
      </x:c>
      <x:c r="I12" s="202"/>
      <x:c r="J12" s="184" t="n">
        <x:v>210.88733333333332</x:v>
      </x:c>
      <x:c r="K12" s="202"/>
      <x:c r="L12" s="184" t="n">
        <x:v>238.78799999999998</x:v>
      </x:c>
      <x:c r="M12" s="206"/>
      <x:c r="N12" s="184"/>
      <x:c r="O12" s="184"/>
      <x:c r="P12" s="184"/>
      <x:c r="Q12" s="184"/>
      <x:c r="R12" s="184"/>
      <x:c r="S12" s="184"/>
      <x:c r="T12" s="184"/>
      <x:c r="U12" s="184"/>
      <x:c r="V12" s="184"/>
      <x:c r="W12" s="208" t="n">
        <x:v>611.2039999999998</x:v>
      </x:c>
      <x:c r="X12" s="184"/>
      <x:c r="Y12" s="184"/>
      <x:c r="Z12" s="184" t="n">
        <x:v>701.676</x:v>
      </x:c>
      <x:c r="AA12" s="212"/>
      <x:c r="AB12" s="184" t="n">
        <x:v>716.4584</x:v>
      </x:c>
      <x:c r="AC12" s="212"/>
      <x:c r="AD12" s="184" t="n">
        <x:v>733.9114285714285</x:v>
      </x:c>
      <x:c r="AE12" s="212"/>
      <x:c r="AF12" s="184" t="n">
        <x:v>747.7528</x:v>
      </x:c>
      <x:c r="AG12" s="212"/>
      <x:c r="AH12" s="184"/>
      <x:c r="AI12" s="184" t="n">
        <x:v>834.5485714285713</x:v>
      </x:c>
      <x:c r="AJ12" s="217"/>
      <x:c r="AK12" s="184"/>
      <x:c r="AL12" s="217"/>
      <x:c r="AM12" s="184"/>
      <x:c r="AN12" s="219"/>
      <x:c r="AO12" s="217"/>
      <x:c r="AP12" s="184"/>
      <x:c r="AQ12" s="219"/>
      <x:c r="AR12" s="223"/>
      <x:c r="AS12" s="223"/>
      <x:c r="AT12" s="184" t="n">
        <x:v>1225.3839999999998</x:v>
      </x:c>
      <x:c r="AU12" s="227"/>
      <x:c r="AV12" s="184" t="n">
        <x:v>1254.6629999999998</x:v>
      </x:c>
      <x:c r="AW12" s="227"/>
      <x:c r="AX12" s="184" t="n">
        <x:v>1279.4186666666665</x:v>
      </x:c>
      <x:c r="AY12" s="231" t="n">
        <x:v>1289.202</x:v>
      </x:c>
      <x:c r="AZ12" s="233"/>
      <x:c r="BA12" s="184"/>
      <x:c r="BB12" s="184"/>
      <x:c r="BC12" s="184"/>
      <x:c r="BD12" s="184"/>
      <x:c r="BE12" s="184"/>
      <x:c r="BF12" s="184"/>
      <x:c r="BG12" s="184"/>
      <x:c r="BH12" s="184"/>
      <x:c r="BI12" s="184"/>
      <x:c r="BJ12" s="184"/>
    </x:row>
    <x:row r="13" ht="20" customHeight="1">
      <x:c r="A13" s="190"/>
      <x:c r="B13" s="190"/>
      <x:c r="C13" s="190" t="str">
        <x:v>전수 후보</x:v>
      </x:c>
      <x:c r="D13" s="190" t="str">
        <x:v>레이더(s)</x:v>
      </x:c>
      <x:c r="E13" s="190"/>
      <x:c r="F13" s="190"/>
      <x:c r="G13" s="190"/>
      <x:c r="H13" s="184" t="n">
        <x:v>15.624000000000002</x:v>
      </x:c>
      <x:c r="I13" s="202"/>
      <x:c r="J13" s="184" t="n">
        <x:v>213.592</x:v>
      </x:c>
      <x:c r="K13" s="202"/>
      <x:c r="L13" s="184" t="n">
        <x:v>239.15800000000002</x:v>
      </x:c>
      <x:c r="M13" s="206"/>
      <x:c r="N13" s="184" t="n">
        <x:v>395.264</x:v>
      </x:c>
      <x:c r="O13" s="184" t="n">
        <x:v>480.32599999999996</x:v>
      </x:c>
      <x:c r="P13" s="184" t="n">
        <x:v>489.204</x:v>
      </x:c>
      <x:c r="Q13" s="184" t="n">
        <x:v>494.8</x:v>
      </x:c>
      <x:c r="R13" s="184" t="n">
        <x:v>503.092</x:v>
      </x:c>
      <x:c r="S13" s="184" t="n">
        <x:v>507.38399999999996</x:v>
      </x:c>
      <x:c r="T13" s="184" t="n">
        <x:v>516.7239999999999</x:v>
      </x:c>
      <x:c r="U13" s="184" t="n">
        <x:v>522.8639999999999</x:v>
      </x:c>
      <x:c r="V13" s="184" t="n">
        <x:v>532.952</x:v>
      </x:c>
      <x:c r="W13" s="208" t="n">
        <x:v>612.568</x:v>
      </x:c>
      <x:c r="X13" s="184" t="n">
        <x:v>643.5319999999999</x:v>
      </x:c>
      <x:c r="Y13" s="184" t="n">
        <x:v>683.8119999999999</x:v>
      </x:c>
      <x:c r="Z13" s="184" t="n">
        <x:v>702.3066666666666</x:v>
      </x:c>
      <x:c r="AA13" s="212"/>
      <x:c r="AB13" s="214" t="n">
        <x:v>715.7586666666667</x:v>
      </x:c>
      <x:c r="AC13" s="212"/>
      <x:c r="AD13" s="214" t="n">
        <x:v>734.06</x:v>
      </x:c>
      <x:c r="AE13" s="212"/>
      <x:c r="AF13" s="214" t="n">
        <x:v>747.56</x:v>
      </x:c>
      <x:c r="AG13" s="212"/>
      <x:c r="AH13" s="214" t="n">
        <x:v>768.1479999999999</x:v>
      </x:c>
      <x:c r="AI13" s="214" t="n">
        <x:v>836.156</x:v>
      </x:c>
      <x:c r="AJ13" s="217"/>
      <x:c r="AK13" s="184" t="n">
        <x:v>844.8639999999999</x:v>
      </x:c>
      <x:c r="AL13" s="217" t="n">
        <x:v>894.64</x:v>
      </x:c>
      <x:c r="AM13" s="214" t="n">
        <x:v>908.756</x:v>
      </x:c>
      <x:c r="AN13" s="219" t="n">
        <x:v>942.168</x:v>
      </x:c>
      <x:c r="AO13" s="217"/>
      <x:c r="AP13" s="214" t="n">
        <x:v>959.2719999999999</x:v>
      </x:c>
      <x:c r="AQ13" s="219" t="n">
        <x:v>999.756</x:v>
      </x:c>
      <x:c r="AR13" s="223"/>
      <x:c r="AS13" s="223"/>
      <x:c r="AT13" s="184" t="n">
        <x:v>1225.984</x:v>
      </x:c>
      <x:c r="AU13" s="227"/>
      <x:c r="AV13" s="184" t="n">
        <x:v>1256.652</x:v>
      </x:c>
      <x:c r="AW13" s="227"/>
      <x:c r="AX13" s="214" t="n">
        <x:v>1279.088</x:v>
      </x:c>
      <x:c r="AY13" s="231" t="n">
        <x:v>1286.7659999999998</x:v>
      </x:c>
      <x:c r="AZ13" s="233"/>
      <x:c r="BA13" s="184"/>
      <x:c r="BB13" s="184"/>
      <x:c r="BC13" s="184"/>
      <x:c r="BD13" s="184"/>
      <x:c r="BE13" s="184"/>
      <x:c r="BF13" s="184"/>
      <x:c r="BG13" s="184"/>
      <x:c r="BH13" s="184"/>
      <x:c r="BI13" s="184"/>
      <x:c r="BJ13" s="184"/>
    </x:row>
    <x:row r="14" ht="20" customHeight="1">
      <x:c r="A14" s="190"/>
      <x:c r="B14" s="190"/>
      <x:c r="C14" s="190" t="str">
        <x:v>선택값</x:v>
      </x:c>
      <x:c r="D14" s="190" t="str">
        <x:v>레이더(s)</x:v>
      </x:c>
      <x:c r="E14" s="190"/>
      <x:c r="F14" s="190"/>
      <x:c r="G14" s="190"/>
      <x:c r="H14" s="184"/>
      <x:c r="I14" s="202" t="n">
        <x:v>25</x:v>
      </x:c>
      <x:c r="J14" s="184"/>
      <x:c r="K14" s="202" t="n">
        <x:v>217</x:v>
      </x:c>
      <x:c r="L14" s="184"/>
      <x:c r="M14" s="206" t="n">
        <x:v>245</x:v>
      </x:c>
      <x:c r="N14" s="184"/>
      <x:c r="O14" s="184"/>
      <x:c r="P14" s="184"/>
      <x:c r="Q14" s="184"/>
      <x:c r="R14" s="184"/>
      <x:c r="S14" s="184"/>
      <x:c r="T14" s="184"/>
      <x:c r="U14" s="184"/>
      <x:c r="V14" s="184"/>
      <x:c r="W14" s="208" t="n">
        <x:v>611</x:v>
      </x:c>
      <x:c r="X14" s="184"/>
      <x:c r="Y14" s="184"/>
      <x:c r="Z14" s="184"/>
      <x:c r="AA14" s="212" t="n">
        <x:v>708</x:v>
      </x:c>
      <x:c r="AB14" s="184"/>
      <x:c r="AC14" s="212" t="n">
        <x:v>723</x:v>
      </x:c>
      <x:c r="AD14" s="184"/>
      <x:c r="AE14" s="212" t="n">
        <x:v>740</x:v>
      </x:c>
      <x:c r="AF14" s="184"/>
      <x:c r="AG14" s="212" t="n">
        <x:v>754</x:v>
      </x:c>
      <x:c r="AH14" s="184"/>
      <x:c r="AI14" s="184"/>
      <x:c r="AJ14" s="217" t="n">
        <x:v>842</x:v>
      </x:c>
      <x:c r="AK14" s="184"/>
      <x:c r="AL14" s="217" t="n">
        <x:v>896</x:v>
      </x:c>
      <x:c r="AM14" s="184"/>
      <x:c r="AN14" s="219" t="n">
        <x:v>944</x:v>
      </x:c>
      <x:c r="AO14" s="217" t="n">
        <x:v>946</x:v>
      </x:c>
      <x:c r="AP14" s="184"/>
      <x:c r="AQ14" s="219" t="n">
        <x:v>1000</x:v>
      </x:c>
      <x:c r="AR14" s="223" t="n">
        <x:v>1020</x:v>
      </x:c>
      <x:c r="AS14" s="223" t="n">
        <x:v>1184</x:v>
      </x:c>
      <x:c r="AT14" s="184"/>
      <x:c r="AU14" s="227" t="n">
        <x:v>1232</x:v>
      </x:c>
      <x:c r="AV14" s="184"/>
      <x:c r="AW14" s="227" t="n">
        <x:v>1259</x:v>
      </x:c>
      <x:c r="AX14" s="184"/>
      <x:c r="AY14" s="231" t="n">
        <x:v>1286</x:v>
      </x:c>
      <x:c r="AZ14" s="233" t="n">
        <x:v>1295</x:v>
      </x:c>
      <x:c r="BA14" s="184"/>
      <x:c r="BB14" s="184"/>
      <x:c r="BC14" s="184"/>
      <x:c r="BD14" s="184"/>
      <x:c r="BE14" s="184"/>
      <x:c r="BF14" s="184"/>
      <x:c r="BG14" s="184"/>
      <x:c r="BH14" s="184"/>
      <x:c r="BI14" s="184"/>
      <x:c r="BJ14" s="184"/>
    </x:row>
    <x:row r="15" ht="34" customHeight="1">
      <x:c r="A15" s="195"/>
      <x:c r="B15" s="195"/>
      <x:c r="C15" s="195" t="str">
        <x:v>M번호 / 시나리오</x:v>
      </x:c>
      <x:c r="D15" s="195" t="str">
        <x:v>레이더(s)</x:v>
      </x:c>
      <x:c r="E15" s="195"/>
      <x:c r="F15" s="195"/>
      <x:c r="G15" s="195"/>
      <x:c r="H15" s="196"/>
      <x:c r="I15" s="203" t="str">
        <x:v>M01 1 시작</x:v>
      </x:c>
      <x:c r="J15" s="196"/>
      <x:c r="K15" s="203" t="str">
        <x:v>M02 1 종료</x:v>
      </x:c>
      <x:c r="L15" s="196"/>
      <x:c r="M15" s="207" t="str">
        <x:v>M03 2 시작</x:v>
      </x:c>
      <x:c r="N15" s="196"/>
      <x:c r="O15" s="196"/>
      <x:c r="P15" s="196"/>
      <x:c r="Q15" s="196"/>
      <x:c r="R15" s="196"/>
      <x:c r="S15" s="196"/>
      <x:c r="T15" s="196"/>
      <x:c r="U15" s="196"/>
      <x:c r="V15" s="196"/>
      <x:c r="W15" s="209" t="str">
        <x:v>M04 2 종료</x:v>
      </x:c>
      <x:c r="X15" s="196"/>
      <x:c r="Y15" s="196"/>
      <x:c r="Z15" s="196"/>
      <x:c r="AA15" s="213" t="str">
        <x:v>M05 3-1 시작</x:v>
      </x:c>
      <x:c r="AB15" s="196"/>
      <x:c r="AC15" s="213" t="str">
        <x:v>M06 3-1 종료</x:v>
      </x:c>
      <x:c r="AD15" s="196"/>
      <x:c r="AE15" s="213" t="str">
        <x:v>M07 3-2 시작</x:v>
      </x:c>
      <x:c r="AF15" s="196"/>
      <x:c r="AG15" s="213" t="str">
        <x:v>M08 3-2 종료</x:v>
      </x:c>
      <x:c r="AH15" s="196"/>
      <x:c r="AI15" s="196"/>
      <x:c r="AJ15" s="218" t="str">
        <x:v>M09 4-1 시작</x:v>
      </x:c>
      <x:c r="AK15" s="196"/>
      <x:c r="AL15" s="218" t="str">
        <x:v>M10 4-1 종료 / M11 4-2 시작</x:v>
      </x:c>
      <x:c r="AM15" s="196"/>
      <x:c r="AN15" s="220" t="str">
        <x:v>M12 4-2 종료</x:v>
      </x:c>
      <x:c r="AO15" s="218" t="str">
        <x:v>M13 4-3 시작</x:v>
      </x:c>
      <x:c r="AP15" s="196"/>
      <x:c r="AQ15" s="220" t="str">
        <x:v>M14 4-3 종료</x:v>
      </x:c>
      <x:c r="AR15" s="224" t="str">
        <x:v>M15 5 시작</x:v>
      </x:c>
      <x:c r="AS15" s="224" t="str">
        <x:v>M16 5 종료</x:v>
      </x:c>
      <x:c r="AT15" s="196"/>
      <x:c r="AU15" s="228" t="str">
        <x:v>M17 6 시작</x:v>
      </x:c>
      <x:c r="AV15" s="196"/>
      <x:c r="AW15" s="228" t="str">
        <x:v>M18 6 종료</x:v>
      </x:c>
      <x:c r="AX15" s="196"/>
      <x:c r="AY15" s="232" t="str">
        <x:v>M19 7 시작</x:v>
      </x:c>
      <x:c r="AZ15" s="234" t="str">
        <x:v>M20 7 종료</x:v>
      </x:c>
      <x:c r="BA15" s="196"/>
      <x:c r="BB15" s="196"/>
      <x:c r="BC15" s="196"/>
      <x:c r="BD15" s="196"/>
      <x:c r="BE15" s="196"/>
      <x:c r="BF15" s="196"/>
      <x:c r="BG15" s="196"/>
      <x:c r="BH15" s="196"/>
      <x:c r="BI15" s="196"/>
      <x:c r="BJ15" s="196"/>
    </x:row>
    <x:row r="16" ht="20" customHeight="1">
      <x:c r="A16" s="198" t="n">
        <x:v>3</x:v>
      </x:c>
      <x:c r="B16" s="198" t="str">
        <x:v>S03_PSJ</x:v>
      </x:c>
      <x:c r="C16" s="198" t="str">
        <x:v>RAW 8.5V</x:v>
      </x:c>
      <x:c r="D16" s="198" t="str">
        <x:v>레이더(s)</x:v>
      </x:c>
      <x:c r="E16" s="198" t="n">
        <x:v>20</x:v>
      </x:c>
      <x:c r="F16" s="198" t="n">
        <x:v>17</x:v>
      </x:c>
      <x:c r="G16" s="199" t="str">
        <x:v>선택 마커 수 불일치</x:v>
      </x:c>
      <x:c r="H16" s="184" t="n">
        <x:v>18.744</x:v>
      </x:c>
      <x:c r="I16" s="235" t="n">
        <x:v>24.644</x:v>
      </x:c>
      <x:c r="J16" s="202"/>
      <x:c r="K16" s="184" t="n">
        <x:v>218.36</x:v>
      </x:c>
      <x:c r="L16" s="208" t="n">
        <x:v>276.85999999999996</x:v>
      </x:c>
      <x:c r="M16" s="208" t="n">
        <x:v>647.456</x:v>
      </x:c>
      <x:c r="N16" s="212"/>
      <x:c r="O16" s="184" t="n">
        <x:v>750.1</x:v>
      </x:c>
      <x:c r="P16" s="184" t="n">
        <x:v>774.1</x:v>
      </x:c>
      <x:c r="Q16" s="184" t="n">
        <x:v>792.6519999999999</x:v>
      </x:c>
      <x:c r="R16" s="184" t="n">
        <x:v>805.14</x:v>
      </x:c>
      <x:c r="S16" s="184" t="n">
        <x:v>825.424</x:v>
      </x:c>
      <x:c r="T16" s="184" t="n">
        <x:v>930.6279999999999</x:v>
      </x:c>
      <x:c r="U16" s="217"/>
      <x:c r="V16" s="217"/>
      <x:c r="W16" s="184" t="n">
        <x:v>951.784</x:v>
      </x:c>
      <x:c r="X16" s="184" t="n">
        <x:v>968.732</x:v>
      </x:c>
      <x:c r="Y16" s="217"/>
      <x:c r="Z16" s="217"/>
      <x:c r="AA16" s="184" t="n">
        <x:v>1012.292</x:v>
      </x:c>
      <x:c r="AB16" s="184" t="n">
        <x:v>1024.2640000000001</x:v>
      </x:c>
      <x:c r="AC16" s="217"/>
      <x:c r="AD16" s="217"/>
      <x:c r="AE16" s="184" t="n">
        <x:v>1076.776</x:v>
      </x:c>
      <x:c r="AF16" s="237" t="n">
        <x:v>1168.428</x:v>
      </x:c>
      <x:c r="AG16" s="184" t="n">
        <x:v>1355.4500000000003</x:v>
      </x:c>
      <x:c r="AH16" s="223"/>
      <x:c r="AI16" s="239" t="n">
        <x:v>1411.028</x:v>
      </x:c>
      <x:c r="AJ16" s="227"/>
      <x:c r="AK16" s="184" t="n">
        <x:v>1438.928</x:v>
      </x:c>
      <x:c r="AL16" s="233"/>
      <x:c r="AM16" s="184" t="n">
        <x:v>1468.2613333333334</x:v>
      </x:c>
      <x:c r="AN16" s="231" t="n">
        <x:v>1479.66</x:v>
      </x:c>
      <x:c r="AO16" s="184"/>
      <x:c r="AP16" s="184"/>
      <x:c r="AQ16" s="184"/>
      <x:c r="AR16" s="184"/>
      <x:c r="AS16" s="184"/>
      <x:c r="AT16" s="184"/>
      <x:c r="AU16" s="184"/>
      <x:c r="AV16" s="184"/>
      <x:c r="AW16" s="184"/>
      <x:c r="AX16" s="184"/>
      <x:c r="AY16" s="184"/>
      <x:c r="AZ16" s="184"/>
      <x:c r="BA16" s="184"/>
      <x:c r="BB16" s="184"/>
      <x:c r="BC16" s="184"/>
      <x:c r="BD16" s="184"/>
      <x:c r="BE16" s="184"/>
      <x:c r="BF16" s="184"/>
      <x:c r="BG16" s="184"/>
      <x:c r="BH16" s="184"/>
      <x:c r="BI16" s="184"/>
      <x:c r="BJ16" s="184"/>
    </x:row>
    <x:row r="17" ht="20" customHeight="1">
      <x:c r="A17" s="190"/>
      <x:c r="B17" s="190"/>
      <x:c r="C17" s="190" t="str">
        <x:v>전수 후보</x:v>
      </x:c>
      <x:c r="D17" s="190" t="str">
        <x:v>레이더(s)</x:v>
      </x:c>
      <x:c r="E17" s="190"/>
      <x:c r="F17" s="190"/>
      <x:c r="G17" s="190"/>
      <x:c r="H17" s="214" t="n">
        <x:v>18.744</x:v>
      </x:c>
      <x:c r="I17" s="235" t="n">
        <x:v>24.644</x:v>
      </x:c>
      <x:c r="J17" s="202"/>
      <x:c r="K17" s="184" t="n">
        <x:v>218.36</x:v>
      </x:c>
      <x:c r="L17" s="208" t="n">
        <x:v>276.85999999999996</x:v>
      </x:c>
      <x:c r="M17" s="208" t="n">
        <x:v>647.456</x:v>
      </x:c>
      <x:c r="N17" s="212"/>
      <x:c r="O17" s="184" t="n">
        <x:v>750.1</x:v>
      </x:c>
      <x:c r="P17" s="184" t="n">
        <x:v>774.1</x:v>
      </x:c>
      <x:c r="Q17" s="184" t="n">
        <x:v>792.6519999999999</x:v>
      </x:c>
      <x:c r="R17" s="184" t="n">
        <x:v>805.14</x:v>
      </x:c>
      <x:c r="S17" s="184" t="n">
        <x:v>825.424</x:v>
      </x:c>
      <x:c r="T17" s="214" t="n">
        <x:v>930.6279999999999</x:v>
      </x:c>
      <x:c r="U17" s="217"/>
      <x:c r="V17" s="217"/>
      <x:c r="W17" s="184" t="n">
        <x:v>951.784</x:v>
      </x:c>
      <x:c r="X17" s="184" t="n">
        <x:v>968.732</x:v>
      </x:c>
      <x:c r="Y17" s="217"/>
      <x:c r="Z17" s="217"/>
      <x:c r="AA17" s="184" t="n">
        <x:v>1012.292</x:v>
      </x:c>
      <x:c r="AB17" s="214" t="n">
        <x:v>1024.2640000000001</x:v>
      </x:c>
      <x:c r="AC17" s="217"/>
      <x:c r="AD17" s="217"/>
      <x:c r="AE17" s="184" t="n">
        <x:v>1076.776</x:v>
      </x:c>
      <x:c r="AF17" s="237" t="n">
        <x:v>1168.428</x:v>
      </x:c>
      <x:c r="AG17" s="184" t="n">
        <x:v>1355.4500000000003</x:v>
      </x:c>
      <x:c r="AH17" s="223"/>
      <x:c r="AI17" s="239" t="n">
        <x:v>1411.028</x:v>
      </x:c>
      <x:c r="AJ17" s="227"/>
      <x:c r="AK17" s="184" t="n">
        <x:v>1438.928</x:v>
      </x:c>
      <x:c r="AL17" s="233"/>
      <x:c r="AM17" s="214" t="n">
        <x:v>1468.2613333333334</x:v>
      </x:c>
      <x:c r="AN17" s="241" t="n">
        <x:v>1479.66</x:v>
      </x:c>
      <x:c r="AO17" s="184"/>
      <x:c r="AP17" s="184"/>
      <x:c r="AQ17" s="184"/>
      <x:c r="AR17" s="184"/>
      <x:c r="AS17" s="184"/>
      <x:c r="AT17" s="184"/>
      <x:c r="AU17" s="184"/>
      <x:c r="AV17" s="184"/>
      <x:c r="AW17" s="184"/>
      <x:c r="AX17" s="184"/>
      <x:c r="AY17" s="184"/>
      <x:c r="AZ17" s="184"/>
      <x:c r="BA17" s="184"/>
      <x:c r="BB17" s="184"/>
      <x:c r="BC17" s="184"/>
      <x:c r="BD17" s="184"/>
      <x:c r="BE17" s="184"/>
      <x:c r="BF17" s="184"/>
      <x:c r="BG17" s="184"/>
      <x:c r="BH17" s="184"/>
      <x:c r="BI17" s="184"/>
      <x:c r="BJ17" s="184"/>
    </x:row>
    <x:row r="18" ht="20" customHeight="1">
      <x:c r="A18" s="190"/>
      <x:c r="B18" s="190"/>
      <x:c r="C18" s="190" t="str">
        <x:v>선택값</x:v>
      </x:c>
      <x:c r="D18" s="190" t="str">
        <x:v>레이더(s)</x:v>
      </x:c>
      <x:c r="E18" s="190"/>
      <x:c r="F18" s="190"/>
      <x:c r="G18" s="190"/>
      <x:c r="H18" s="184"/>
      <x:c r="I18" s="235" t="n">
        <x:v>23</x:v>
      </x:c>
      <x:c r="J18" s="202" t="n">
        <x:v>210</x:v>
      </x:c>
      <x:c r="K18" s="184"/>
      <x:c r="L18" s="208" t="n">
        <x:v>276</x:v>
      </x:c>
      <x:c r="M18" s="208" t="n">
        <x:v>646</x:v>
      </x:c>
      <x:c r="N18" s="212" t="n">
        <x:v>736</x:v>
      </x:c>
      <x:c r="O18" s="184"/>
      <x:c r="P18" s="184"/>
      <x:c r="Q18" s="184"/>
      <x:c r="R18" s="184"/>
      <x:c r="S18" s="184"/>
      <x:c r="T18" s="184"/>
      <x:c r="U18" s="217" t="n">
        <x:v>934</x:v>
      </x:c>
      <x:c r="V18" s="217" t="n">
        <x:v>945</x:v>
      </x:c>
      <x:c r="W18" s="184"/>
      <x:c r="X18" s="184"/>
      <x:c r="Y18" s="217" t="n">
        <x:v>971</x:v>
      </x:c>
      <x:c r="Z18" s="217" t="n">
        <x:v>1010</x:v>
      </x:c>
      <x:c r="AA18" s="184"/>
      <x:c r="AB18" s="184"/>
      <x:c r="AC18" s="217" t="n">
        <x:v>1028</x:v>
      </x:c>
      <x:c r="AD18" s="217" t="n">
        <x:v>1072</x:v>
      </x:c>
      <x:c r="AE18" s="184"/>
      <x:c r="AF18" s="237" t="n">
        <x:v>1168</x:v>
      </x:c>
      <x:c r="AG18" s="184"/>
      <x:c r="AH18" s="223" t="n">
        <x:v>1358</x:v>
      </x:c>
      <x:c r="AI18" s="239" t="n">
        <x:v>1412</x:v>
      </x:c>
      <x:c r="AJ18" s="227" t="n">
        <x:v>1433</x:v>
      </x:c>
      <x:c r="AK18" s="184"/>
      <x:c r="AL18" s="233" t="n">
        <x:v>1466</x:v>
      </x:c>
      <x:c r="AM18" s="184"/>
      <x:c r="AN18" s="231" t="n">
        <x:v>1478</x:v>
      </x:c>
      <x:c r="AO18" s="184"/>
      <x:c r="AP18" s="184"/>
      <x:c r="AQ18" s="184"/>
      <x:c r="AR18" s="184"/>
      <x:c r="AS18" s="184"/>
      <x:c r="AT18" s="184"/>
      <x:c r="AU18" s="184"/>
      <x:c r="AV18" s="184"/>
      <x:c r="AW18" s="184"/>
      <x:c r="AX18" s="184"/>
      <x:c r="AY18" s="184"/>
      <x:c r="AZ18" s="184"/>
      <x:c r="BA18" s="184"/>
      <x:c r="BB18" s="184"/>
      <x:c r="BC18" s="184"/>
      <x:c r="BD18" s="184"/>
      <x:c r="BE18" s="184"/>
      <x:c r="BF18" s="184"/>
      <x:c r="BG18" s="184"/>
      <x:c r="BH18" s="184"/>
      <x:c r="BI18" s="184"/>
      <x:c r="BJ18" s="184"/>
    </x:row>
    <x:row r="19" ht="34" customHeight="1">
      <x:c r="A19" s="195"/>
      <x:c r="B19" s="195"/>
      <x:c r="C19" s="195" t="str">
        <x:v>M번호 / 시나리오</x:v>
      </x:c>
      <x:c r="D19" s="195" t="str">
        <x:v>레이더(s)</x:v>
      </x:c>
      <x:c r="E19" s="195"/>
      <x:c r="F19" s="195"/>
      <x:c r="G19" s="195"/>
      <x:c r="H19" s="196"/>
      <x:c r="I19" s="236" t="str">
        <x:v>M01 1 시작</x:v>
      </x:c>
      <x:c r="J19" s="203" t="str">
        <x:v>M02 1 종료</x:v>
      </x:c>
      <x:c r="K19" s="196"/>
      <x:c r="L19" s="209" t="str">
        <x:v>M03 2 시작</x:v>
      </x:c>
      <x:c r="M19" s="209" t="str">
        <x:v>M04 2 종료</x:v>
      </x:c>
      <x:c r="N19" s="213" t="str">
        <x:v>M06 3-1 종료</x:v>
      </x:c>
      <x:c r="O19" s="196"/>
      <x:c r="P19" s="196"/>
      <x:c r="Q19" s="196"/>
      <x:c r="R19" s="196"/>
      <x:c r="S19" s="196"/>
      <x:c r="T19" s="196"/>
      <x:c r="U19" s="218" t="str">
        <x:v>M09 4-1 시작</x:v>
      </x:c>
      <x:c r="V19" s="218" t="str">
        <x:v>M10 4-1 종료</x:v>
      </x:c>
      <x:c r="W19" s="196"/>
      <x:c r="X19" s="196"/>
      <x:c r="Y19" s="218" t="str">
        <x:v>M11 4-2 시작</x:v>
      </x:c>
      <x:c r="Z19" s="218" t="str">
        <x:v>M12 4-2 종료</x:v>
      </x:c>
      <x:c r="AA19" s="196"/>
      <x:c r="AB19" s="196"/>
      <x:c r="AC19" s="218" t="str">
        <x:v>M13 4-3 시작</x:v>
      </x:c>
      <x:c r="AD19" s="218" t="str">
        <x:v>M14 4-3 종료</x:v>
      </x:c>
      <x:c r="AE19" s="196"/>
      <x:c r="AF19" s="238" t="str">
        <x:v>M15 5 시작</x:v>
      </x:c>
      <x:c r="AG19" s="196"/>
      <x:c r="AH19" s="224" t="str">
        <x:v>M16 5 종료</x:v>
      </x:c>
      <x:c r="AI19" s="240" t="str">
        <x:v>M17 6 시작</x:v>
      </x:c>
      <x:c r="AJ19" s="228" t="str">
        <x:v>M18 6 종료</x:v>
      </x:c>
      <x:c r="AK19" s="196"/>
      <x:c r="AL19" s="234" t="str">
        <x:v>M19 7 시작</x:v>
      </x:c>
      <x:c r="AM19" s="196"/>
      <x:c r="AN19" s="232" t="str">
        <x:v>M20 7 종료</x:v>
      </x:c>
      <x:c r="AO19" s="196"/>
      <x:c r="AP19" s="196"/>
      <x:c r="AQ19" s="196"/>
      <x:c r="AR19" s="196"/>
      <x:c r="AS19" s="196"/>
      <x:c r="AT19" s="196"/>
      <x:c r="AU19" s="196"/>
      <x:c r="AV19" s="196"/>
      <x:c r="AW19" s="196"/>
      <x:c r="AX19" s="196"/>
      <x:c r="AY19" s="196"/>
      <x:c r="AZ19" s="196"/>
      <x:c r="BA19" s="196"/>
      <x:c r="BB19" s="196"/>
      <x:c r="BC19" s="196"/>
      <x:c r="BD19" s="196"/>
      <x:c r="BE19" s="196"/>
      <x:c r="BF19" s="196"/>
      <x:c r="BG19" s="196"/>
      <x:c r="BH19" s="196"/>
      <x:c r="BI19" s="196"/>
      <x:c r="BJ19" s="196"/>
    </x:row>
    <x:row r="20" ht="20" customHeight="1">
      <x:c r="A20" s="198" t="n">
        <x:v>4</x:v>
      </x:c>
      <x:c r="B20" s="198" t="str">
        <x:v>S04_KTW</x:v>
      </x:c>
      <x:c r="C20" s="198" t="str">
        <x:v>RAW 8.5V</x:v>
      </x:c>
      <x:c r="D20" s="198" t="str">
        <x:v>레이더(s)</x:v>
      </x:c>
      <x:c r="E20" s="198" t="n">
        <x:v>22</x:v>
      </x:c>
      <x:c r="F20" s="198" t="n">
        <x:v>22</x:v>
      </x:c>
      <x:c r="G20" s="243" t="str">
        <x:v>후보군 검토 필요</x:v>
      </x:c>
      <x:c r="H20" s="244" t="n">
        <x:v>24.956</x:v>
      </x:c>
      <x:c r="I20" s="184"/>
      <x:c r="J20" s="184" t="n">
        <x:v>214.756</x:v>
      </x:c>
      <x:c r="K20" s="244" t="n">
        <x:v>219.884</x:v>
      </x:c>
      <x:c r="L20" s="184" t="n">
        <x:v>266.872</x:v>
      </x:c>
      <x:c r="M20" s="246"/>
      <x:c r="N20" s="246" t="n">
        <x:v>646.2800000000001</x:v>
      </x:c>
      <x:c r="O20" s="184" t="n">
        <x:v>757.508</x:v>
      </x:c>
      <x:c r="P20" s="248"/>
      <x:c r="Q20" s="248" t="n">
        <x:v>774.684</x:v>
      </x:c>
      <x:c r="R20" s="248"/>
      <x:c r="S20" s="184" t="n">
        <x:v>788.632</x:v>
      </x:c>
      <x:c r="T20" s="248"/>
      <x:c r="U20" s="184" t="n">
        <x:v>801.818</x:v>
      </x:c>
      <x:c r="V20" s="251" t="n">
        <x:v>896.2293333333333</x:v>
      </x:c>
      <x:c r="W20" s="251"/>
      <x:c r="X20" s="184" t="n">
        <x:v>908.648</x:v>
      </x:c>
      <x:c r="Y20" s="251"/>
      <x:c r="Z20" s="184" t="n">
        <x:v>926.664</x:v>
      </x:c>
      <x:c r="AA20" s="251"/>
      <x:c r="AB20" s="184" t="n">
        <x:v>972.58</x:v>
      </x:c>
      <x:c r="AC20" s="251"/>
      <x:c r="AD20" s="184" t="n">
        <x:v>986.192</x:v>
      </x:c>
      <x:c r="AE20" s="251" t="n">
        <x:v>992.696</x:v>
      </x:c>
      <x:c r="AF20" s="184" t="n">
        <x:v>1037.12</x:v>
      </x:c>
      <x:c r="AG20" s="251"/>
      <x:c r="AH20" s="184" t="n">
        <x:v>1054.824</x:v>
      </x:c>
      <x:c r="AI20" s="251"/>
      <x:c r="AJ20" s="184" t="n">
        <x:v>1068.294</x:v>
      </x:c>
      <x:c r="AK20" s="254"/>
      <x:c r="AL20" s="184" t="n">
        <x:v>1137.992</x:v>
      </x:c>
      <x:c r="AM20" s="254"/>
      <x:c r="AN20" s="184" t="n">
        <x:v>1159.384</x:v>
      </x:c>
      <x:c r="AO20" s="257"/>
      <x:c r="AP20" s="184" t="n">
        <x:v>1181.06</x:v>
      </x:c>
      <x:c r="AQ20" s="257"/>
      <x:c r="AR20" s="259" t="n">
        <x:v>1225.716</x:v>
      </x:c>
      <x:c r="AS20" s="184" t="n">
        <x:v>1433.452</x:v>
      </x:c>
      <x:c r="AT20" s="184"/>
      <x:c r="AU20" s="184" t="n">
        <x:v>1673.688</x:v>
      </x:c>
      <x:c r="AV20" s="184"/>
      <x:c r="AW20" s="184" t="n">
        <x:v>1704.936</x:v>
      </x:c>
      <x:c r="AX20" s="184"/>
      <x:c r="AY20" s="184" t="n">
        <x:v>1739.884</x:v>
      </x:c>
      <x:c r="AZ20" s="184"/>
      <x:c r="BA20" s="184" t="n">
        <x:v>1758.26</x:v>
      </x:c>
      <x:c r="BB20" s="259"/>
      <x:c r="BC20" s="184"/>
      <x:c r="BD20" s="184"/>
      <x:c r="BE20" s="184"/>
      <x:c r="BF20" s="184"/>
      <x:c r="BG20" s="184"/>
      <x:c r="BH20" s="184"/>
      <x:c r="BI20" s="184"/>
      <x:c r="BJ20" s="184"/>
    </x:row>
    <x:row r="21" ht="20" customHeight="1">
      <x:c r="A21" s="190"/>
      <x:c r="B21" s="190"/>
      <x:c r="C21" s="190" t="str">
        <x:v>전수 후보</x:v>
      </x:c>
      <x:c r="D21" s="190" t="str">
        <x:v>레이더(s)</x:v>
      </x:c>
      <x:c r="E21" s="190"/>
      <x:c r="F21" s="190"/>
      <x:c r="G21" s="190"/>
      <x:c r="H21" s="244" t="n">
        <x:v>22.63000000000003</x:v>
      </x:c>
      <x:c r="I21" s="214" t="n">
        <x:v>29.35600000000003</x:v>
      </x:c>
      <x:c r="J21" s="184"/>
      <x:c r="K21" s="244" t="n">
        <x:v>223.48000000000002</x:v>
      </x:c>
      <x:c r="L21" s="184"/>
      <x:c r="M21" s="246" t="n">
        <x:v>274.189</x:v>
      </x:c>
      <x:c r="N21" s="246" t="n">
        <x:v>647.2239999999999</x:v>
      </x:c>
      <x:c r="O21" s="184"/>
      <x:c r="P21" s="250" t="n">
        <x:v>764.024</x:v>
      </x:c>
      <x:c r="Q21" s="250" t="n">
        <x:v>774.656</x:v>
      </x:c>
      <x:c r="R21" s="250" t="n">
        <x:v>779.084</x:v>
      </x:c>
      <x:c r="S21" s="184"/>
      <x:c r="T21" s="248" t="n">
        <x:v>794.786</x:v>
      </x:c>
      <x:c r="U21" s="184"/>
      <x:c r="V21" s="253" t="n">
        <x:v>898.178</x:v>
      </x:c>
      <x:c r="W21" s="253" t="n">
        <x:v>902.7959999999999</x:v>
      </x:c>
      <x:c r="X21" s="184"/>
      <x:c r="Y21" s="253" t="n">
        <x:v>914.2099999999999</x:v>
      </x:c>
      <x:c r="Z21" s="184"/>
      <x:c r="AA21" s="251" t="n">
        <x:v>931.2773333333333</x:v>
      </x:c>
      <x:c r="AB21" s="184"/>
      <x:c r="AC21" s="251" t="n">
        <x:v>976.98</x:v>
      </x:c>
      <x:c r="AD21" s="184"/>
      <x:c r="AE21" s="251" t="n">
        <x:v>992.3439999999999</x:v>
      </x:c>
      <x:c r="AF21" s="184"/>
      <x:c r="AG21" s="251" t="n">
        <x:v>1042.718</x:v>
      </x:c>
      <x:c r="AH21" s="184"/>
      <x:c r="AI21" s="253" t="n">
        <x:v>1059.2240000000002</x:v>
      </x:c>
      <x:c r="AJ21" s="184"/>
      <x:c r="AK21" s="256" t="n">
        <x:v>1074.0400000000002</x:v>
      </x:c>
      <x:c r="AL21" s="184"/>
      <x:c r="AM21" s="254" t="n">
        <x:v>1143.382</x:v>
      </x:c>
      <x:c r="AN21" s="184"/>
      <x:c r="AO21" s="257" t="n">
        <x:v>1165.756</x:v>
      </x:c>
      <x:c r="AP21" s="184"/>
      <x:c r="AQ21" s="257" t="n">
        <x:v>1185.46</x:v>
      </x:c>
      <x:c r="AR21" s="259" t="n">
        <x:v>1228.478</x:v>
      </x:c>
      <x:c r="AS21" s="184"/>
      <x:c r="AT21" s="184" t="n">
        <x:v>1437.852</x:v>
      </x:c>
      <x:c r="AU21" s="184"/>
      <x:c r="AV21" s="184" t="n">
        <x:v>1678.0880000000002</x:v>
      </x:c>
      <x:c r="AW21" s="184"/>
      <x:c r="AX21" s="184" t="n">
        <x:v>1709.336</x:v>
      </x:c>
      <x:c r="AY21" s="184"/>
      <x:c r="AZ21" s="184" t="n">
        <x:v>1744.284</x:v>
      </x:c>
      <x:c r="BA21" s="184"/>
      <x:c r="BB21" s="259" t="n">
        <x:v>1762.66</x:v>
      </x:c>
      <x:c r="BC21" s="184"/>
      <x:c r="BD21" s="184"/>
      <x:c r="BE21" s="184"/>
      <x:c r="BF21" s="184"/>
      <x:c r="BG21" s="184"/>
      <x:c r="BH21" s="184"/>
      <x:c r="BI21" s="184"/>
      <x:c r="BJ21" s="184"/>
    </x:row>
    <x:row r="22" ht="20" customHeight="1">
      <x:c r="A22" s="190"/>
      <x:c r="B22" s="190"/>
      <x:c r="C22" s="190" t="str">
        <x:v>추천값(미확정)</x:v>
      </x:c>
      <x:c r="D22" s="190" t="str">
        <x:v>레이더(s)</x:v>
      </x:c>
      <x:c r="E22" s="190"/>
      <x:c r="F22" s="190"/>
      <x:c r="G22" s="190"/>
      <x:c r="H22" s="244" t="n">
        <x:v>22.63</x:v>
      </x:c>
      <x:c r="I22" s="184"/>
      <x:c r="J22" s="184"/>
      <x:c r="K22" s="244" t="n">
        <x:v>223.48</x:v>
      </x:c>
      <x:c r="L22" s="184"/>
      <x:c r="M22" s="246" t="n">
        <x:v>274.189</x:v>
      </x:c>
      <x:c r="N22" s="246" t="n">
        <x:v>647.224</x:v>
      </x:c>
      <x:c r="O22" s="184"/>
      <x:c r="P22" s="248" t="n">
        <x:v>764.024</x:v>
      </x:c>
      <x:c r="Q22" s="248" t="n">
        <x:v>774.656</x:v>
      </x:c>
      <x:c r="R22" s="248" t="n">
        <x:v>779.084</x:v>
      </x:c>
      <x:c r="S22" s="184"/>
      <x:c r="T22" s="248" t="n">
        <x:v>794.786</x:v>
      </x:c>
      <x:c r="U22" s="184"/>
      <x:c r="V22" s="251" t="n">
        <x:v>898.178</x:v>
      </x:c>
      <x:c r="W22" s="251" t="n">
        <x:v>902.796</x:v>
      </x:c>
      <x:c r="X22" s="184"/>
      <x:c r="Y22" s="251" t="n">
        <x:v>914.21</x:v>
      </x:c>
      <x:c r="Z22" s="184"/>
      <x:c r="AA22" s="251" t="n">
        <x:v>931.277</x:v>
      </x:c>
      <x:c r="AB22" s="184"/>
      <x:c r="AC22" s="251" t="n">
        <x:v>976.98</x:v>
      </x:c>
      <x:c r="AD22" s="184"/>
      <x:c r="AE22" s="251" t="n">
        <x:v>992.344</x:v>
      </x:c>
      <x:c r="AF22" s="184"/>
      <x:c r="AG22" s="251" t="n">
        <x:v>1042.718</x:v>
      </x:c>
      <x:c r="AH22" s="184"/>
      <x:c r="AI22" s="251" t="n">
        <x:v>1059.224</x:v>
      </x:c>
      <x:c r="AJ22" s="184"/>
      <x:c r="AK22" s="254" t="n">
        <x:v>1074.04</x:v>
      </x:c>
      <x:c r="AL22" s="184"/>
      <x:c r="AM22" s="254" t="n">
        <x:v>1143.382</x:v>
      </x:c>
      <x:c r="AN22" s="184"/>
      <x:c r="AO22" s="257" t="n">
        <x:v>1165.756</x:v>
      </x:c>
      <x:c r="AP22" s="184"/>
      <x:c r="AQ22" s="257" t="n">
        <x:v>1185.46</x:v>
      </x:c>
      <x:c r="AR22" s="259" t="n">
        <x:v>1228.478</x:v>
      </x:c>
      <x:c r="AS22" s="184"/>
      <x:c r="AT22" s="184"/>
      <x:c r="AU22" s="184"/>
      <x:c r="AV22" s="184"/>
      <x:c r="AW22" s="184"/>
      <x:c r="AX22" s="184"/>
      <x:c r="AY22" s="184"/>
      <x:c r="AZ22" s="184"/>
      <x:c r="BA22" s="184"/>
      <x:c r="BB22" s="259" t="n">
        <x:v>1762.66</x:v>
      </x:c>
      <x:c r="BC22" s="184"/>
      <x:c r="BD22" s="184"/>
      <x:c r="BE22" s="184"/>
      <x:c r="BF22" s="184"/>
      <x:c r="BG22" s="184"/>
      <x:c r="BH22" s="184"/>
      <x:c r="BI22" s="184"/>
      <x:c r="BJ22" s="184"/>
    </x:row>
    <x:row r="23" ht="34" customHeight="1">
      <x:c r="A23" s="195"/>
      <x:c r="B23" s="195"/>
      <x:c r="C23" s="195" t="str">
        <x:v>M번호 / 시나리오</x:v>
      </x:c>
      <x:c r="D23" s="195" t="str">
        <x:v>레이더(s)</x:v>
      </x:c>
      <x:c r="E23" s="195"/>
      <x:c r="F23" s="195"/>
      <x:c r="G23" s="195"/>
      <x:c r="H23" s="245" t="str">
        <x:v>M01 1 시작</x:v>
      </x:c>
      <x:c r="I23" s="196"/>
      <x:c r="J23" s="196"/>
      <x:c r="K23" s="245" t="str">
        <x:v>M02 1 종료</x:v>
      </x:c>
      <x:c r="L23" s="196"/>
      <x:c r="M23" s="247" t="str">
        <x:v>M03 2 시작</x:v>
      </x:c>
      <x:c r="N23" s="247" t="str">
        <x:v>M04 2 종료</x:v>
      </x:c>
      <x:c r="O23" s="196"/>
      <x:c r="P23" s="249" t="str">
        <x:v>M05 3-1 시작</x:v>
      </x:c>
      <x:c r="Q23" s="249" t="str">
        <x:v>M06 3-1 종료</x:v>
      </x:c>
      <x:c r="R23" s="249" t="str">
        <x:v>M07 3-2 시작</x:v>
      </x:c>
      <x:c r="S23" s="196"/>
      <x:c r="T23" s="249" t="str">
        <x:v>M08 3-2 종료</x:v>
      </x:c>
      <x:c r="U23" s="196"/>
      <x:c r="V23" s="252" t="str">
        <x:v>M09 4-1 시작</x:v>
      </x:c>
      <x:c r="W23" s="252" t="str">
        <x:v>M10 4-1 종료</x:v>
      </x:c>
      <x:c r="X23" s="196"/>
      <x:c r="Y23" s="252" t="str">
        <x:v>M11 4-2 시작</x:v>
      </x:c>
      <x:c r="Z23" s="196"/>
      <x:c r="AA23" s="252" t="str">
        <x:v>M12 4-2 종료</x:v>
      </x:c>
      <x:c r="AB23" s="196"/>
      <x:c r="AC23" s="252" t="str">
        <x:v>M13 4-3 시작</x:v>
      </x:c>
      <x:c r="AD23" s="196"/>
      <x:c r="AE23" s="252" t="str">
        <x:v>M14 4-3 종료</x:v>
      </x:c>
      <x:c r="AF23" s="196"/>
      <x:c r="AG23" s="252" t="str">
        <x:v>M15 4-4 시작</x:v>
      </x:c>
      <x:c r="AH23" s="196"/>
      <x:c r="AI23" s="252" t="str">
        <x:v>M16 4-4 종료</x:v>
      </x:c>
      <x:c r="AJ23" s="196"/>
      <x:c r="AK23" s="255" t="str">
        <x:v>M17 5 시작</x:v>
      </x:c>
      <x:c r="AL23" s="196"/>
      <x:c r="AM23" s="255" t="str">
        <x:v>M18 5 종료</x:v>
      </x:c>
      <x:c r="AN23" s="196"/>
      <x:c r="AO23" s="258" t="str">
        <x:v>M19 6 시작</x:v>
      </x:c>
      <x:c r="AP23" s="196"/>
      <x:c r="AQ23" s="258" t="str">
        <x:v>M20 6 종료</x:v>
      </x:c>
      <x:c r="AR23" s="260" t="str">
        <x:v>M21 7 시작</x:v>
      </x:c>
      <x:c r="AS23" s="196"/>
      <x:c r="AT23" s="196"/>
      <x:c r="AU23" s="196"/>
      <x:c r="AV23" s="196"/>
      <x:c r="AW23" s="196"/>
      <x:c r="AX23" s="196"/>
      <x:c r="AY23" s="196"/>
      <x:c r="AZ23" s="196"/>
      <x:c r="BA23" s="196"/>
      <x:c r="BB23" s="260" t="str">
        <x:v>M22 7 종료</x:v>
      </x:c>
      <x:c r="BC23" s="196"/>
      <x:c r="BD23" s="196"/>
      <x:c r="BE23" s="196"/>
      <x:c r="BF23" s="196"/>
      <x:c r="BG23" s="196"/>
      <x:c r="BH23" s="196"/>
      <x:c r="BI23" s="196"/>
      <x:c r="BJ23" s="196"/>
    </x:row>
    <x:row r="24" ht="20" customHeight="1">
      <x:c r="A24" s="198" t="n">
        <x:v>5</x:v>
      </x:c>
      <x:c r="B24" s="198" t="str">
        <x:v>S05_LHS</x:v>
      </x:c>
      <x:c r="C24" s="198" t="str">
        <x:v>RAW 8.5V</x:v>
      </x:c>
      <x:c r="D24" s="198" t="str">
        <x:v>레이더(s)</x:v>
      </x:c>
      <x:c r="E24" s="198" t="n">
        <x:v>22</x:v>
      </x:c>
      <x:c r="F24" s="198" t="n">
        <x:v>22</x:v>
      </x:c>
      <x:c r="G24" s="262" t="str">
        <x:v>대체 후보 있음</x:v>
      </x:c>
      <x:c r="H24" s="263" t="n">
        <x:v>14.844000000000001</x:v>
      </x:c>
      <x:c r="I24" s="263" t="n">
        <x:v>211.452</x:v>
      </x:c>
      <x:c r="J24" s="208" t="n">
        <x:v>242.792</x:v>
      </x:c>
      <x:c r="K24" s="208" t="n">
        <x:v>613.308</x:v>
      </x:c>
      <x:c r="L24" s="266"/>
      <x:c r="M24" s="268" t="n">
        <x:v>656.776</x:v>
      </x:c>
      <x:c r="N24" s="184" t="n">
        <x:v>765.1479999999999</x:v>
      </x:c>
      <x:c r="O24" s="184" t="n">
        <x:v>769.38</x:v>
      </x:c>
      <x:c r="P24" s="268" t="n">
        <x:v>786.048</x:v>
      </x:c>
      <x:c r="Q24" s="184" t="n">
        <x:v>806.688</x:v>
      </x:c>
      <x:c r="R24" s="268" t="n">
        <x:v>820.352</x:v>
      </x:c>
      <x:c r="S24" s="270" t="n">
        <x:v>930.7239999999999</x:v>
      </x:c>
      <x:c r="T24" s="270" t="n">
        <x:v>950.596</x:v>
      </x:c>
      <x:c r="U24" s="270" t="n">
        <x:v>963.904</x:v>
      </x:c>
      <x:c r="V24" s="270" t="n">
        <x:v>1009.492</x:v>
      </x:c>
      <x:c r="W24" s="270" t="n">
        <x:v>1022.7</x:v>
      </x:c>
      <x:c r="X24" s="219" t="n">
        <x:v>1070.008</x:v>
      </x:c>
      <x:c r="Y24" s="219" t="n">
        <x:v>1074.232</x:v>
      </x:c>
      <x:c r="Z24" s="270" t="n">
        <x:v>1089.3999999999999</x:v>
      </x:c>
      <x:c r="AA24" s="184" t="n">
        <x:v>1104.818</x:v>
      </x:c>
      <x:c r="AB24" s="237" t="n">
        <x:v>1202.232</x:v>
      </x:c>
      <x:c r="AC24" s="237" t="n">
        <x:v>1389.488</x:v>
      </x:c>
      <x:c r="AD24" s="239" t="n">
        <x:v>1440.1399999999999</x:v>
      </x:c>
      <x:c r="AE24" s="239" t="n">
        <x:v>1467.482</x:v>
      </x:c>
      <x:c r="AF24" s="231" t="n">
        <x:v>1498.48</x:v>
      </x:c>
      <x:c r="AG24" s="231" t="n">
        <x:v>1510.5439999999999</x:v>
      </x:c>
      <x:c r="AH24" s="184" t="n">
        <x:v>1525.576</x:v>
      </x:c>
      <x:c r="AI24" s="184"/>
      <x:c r="AJ24" s="184"/>
      <x:c r="AK24" s="184"/>
      <x:c r="AL24" s="184"/>
      <x:c r="AM24" s="184"/>
      <x:c r="AN24" s="184"/>
      <x:c r="AO24" s="184"/>
      <x:c r="AP24" s="184"/>
      <x:c r="AQ24" s="184"/>
      <x:c r="AR24" s="184"/>
      <x:c r="AS24" s="184"/>
      <x:c r="AT24" s="184"/>
      <x:c r="AU24" s="184"/>
      <x:c r="AV24" s="184"/>
      <x:c r="AW24" s="184"/>
      <x:c r="AX24" s="184"/>
      <x:c r="AY24" s="184"/>
      <x:c r="AZ24" s="184"/>
      <x:c r="BA24" s="184"/>
      <x:c r="BB24" s="184"/>
      <x:c r="BC24" s="184"/>
      <x:c r="BD24" s="184"/>
      <x:c r="BE24" s="184"/>
      <x:c r="BF24" s="184"/>
      <x:c r="BG24" s="184"/>
      <x:c r="BH24" s="184"/>
      <x:c r="BI24" s="184"/>
      <x:c r="BJ24" s="184"/>
    </x:row>
    <x:row r="25" ht="20" customHeight="1">
      <x:c r="A25" s="190"/>
      <x:c r="B25" s="190"/>
      <x:c r="C25" s="190" t="str">
        <x:v>전수 후보</x:v>
      </x:c>
      <x:c r="D25" s="190" t="str">
        <x:v>레이더(s)</x:v>
      </x:c>
      <x:c r="E25" s="190"/>
      <x:c r="F25" s="190"/>
      <x:c r="G25" s="190"/>
      <x:c r="H25" s="263" t="n">
        <x:v>14.874000000000066</x:v>
      </x:c>
      <x:c r="I25" s="263" t="n">
        <x:v>209.65200000000004</x:v>
      </x:c>
      <x:c r="J25" s="208" t="n">
        <x:v>240.99200000000005</x:v>
      </x:c>
      <x:c r="K25" s="265" t="n">
        <x:v>612.2900000000001</x:v>
      </x:c>
      <x:c r="L25" s="266" t="n">
        <x:v>619.6480000000001</x:v>
      </x:c>
      <x:c r="M25" s="268" t="n">
        <x:v>655.5200000000001</x:v>
      </x:c>
      <x:c r="N25" s="184"/>
      <x:c r="O25" s="184"/>
      <x:c r="P25" s="268" t="n">
        <x:v>784.2480000000002</x:v>
      </x:c>
      <x:c r="Q25" s="214" t="n">
        <x:v>806.2920000000001</x:v>
      </x:c>
      <x:c r="R25" s="268" t="n">
        <x:v>820.4080000000001</x:v>
      </x:c>
      <x:c r="S25" s="270" t="n">
        <x:v>931.2760000000001</x:v>
      </x:c>
      <x:c r="T25" s="270" t="n">
        <x:v>946.9826666666669</x:v>
      </x:c>
      <x:c r="U25" s="270" t="n">
        <x:v>963.1380000000001</x:v>
      </x:c>
      <x:c r="V25" s="219" t="n">
        <x:v>1007.6920000000001</x:v>
      </x:c>
      <x:c r="W25" s="219" t="n">
        <x:v>1021.9960000000002</x:v>
      </x:c>
      <x:c r="X25" s="219" t="n">
        <x:v>1068.208</x:v>
      </x:c>
      <x:c r="Y25" s="219" t="n">
        <x:v>1072.432</x:v>
      </x:c>
      <x:c r="Z25" s="270" t="n">
        <x:v>1088.96</x:v>
      </x:c>
      <x:c r="AA25" s="214" t="n">
        <x:v>1101.29</x:v>
      </x:c>
      <x:c r="AB25" s="237" t="n">
        <x:v>1201.568</x:v>
      </x:c>
      <x:c r="AC25" s="237" t="n">
        <x:v>1388.9540000000002</x:v>
      </x:c>
      <x:c r="AD25" s="239" t="n">
        <x:v>1438.34</x:v>
      </x:c>
      <x:c r="AE25" s="239" t="n">
        <x:v>1465.682</x:v>
      </x:c>
      <x:c r="AF25" s="241" t="n">
        <x:v>1497.7800000000002</x:v>
      </x:c>
      <x:c r="AG25" s="241" t="n">
        <x:v>1509.328</x:v>
      </x:c>
      <x:c r="AH25" s="184"/>
      <x:c r="AI25" s="184"/>
      <x:c r="AJ25" s="184"/>
      <x:c r="AK25" s="184"/>
      <x:c r="AL25" s="184"/>
      <x:c r="AM25" s="184"/>
      <x:c r="AN25" s="184"/>
      <x:c r="AO25" s="184"/>
      <x:c r="AP25" s="184"/>
      <x:c r="AQ25" s="184"/>
      <x:c r="AR25" s="184"/>
      <x:c r="AS25" s="184"/>
      <x:c r="AT25" s="184"/>
      <x:c r="AU25" s="184"/>
      <x:c r="AV25" s="184"/>
      <x:c r="AW25" s="184"/>
      <x:c r="AX25" s="184"/>
      <x:c r="AY25" s="184"/>
      <x:c r="AZ25" s="184"/>
      <x:c r="BA25" s="184"/>
      <x:c r="BB25" s="184"/>
      <x:c r="BC25" s="184"/>
      <x:c r="BD25" s="184"/>
      <x:c r="BE25" s="184"/>
      <x:c r="BF25" s="184"/>
      <x:c r="BG25" s="184"/>
      <x:c r="BH25" s="184"/>
      <x:c r="BI25" s="184"/>
      <x:c r="BJ25" s="184"/>
    </x:row>
    <x:row r="26" ht="20" customHeight="1">
      <x:c r="A26" s="190"/>
      <x:c r="B26" s="190"/>
      <x:c r="C26" s="190" t="str">
        <x:v>선택값</x:v>
      </x:c>
      <x:c r="D26" s="190" t="str">
        <x:v>레이더(s)</x:v>
      </x:c>
      <x:c r="E26" s="190"/>
      <x:c r="F26" s="190"/>
      <x:c r="G26" s="190"/>
      <x:c r="H26" s="263" t="n">
        <x:v>15</x:v>
      </x:c>
      <x:c r="I26" s="263" t="n">
        <x:v>210</x:v>
      </x:c>
      <x:c r="J26" s="208" t="n">
        <x:v>241</x:v>
      </x:c>
      <x:c r="K26" s="208" t="n">
        <x:v>612</x:v>
      </x:c>
      <x:c r="L26" s="266" t="n">
        <x:v>620</x:v>
      </x:c>
      <x:c r="M26" s="268" t="n">
        <x:v>656</x:v>
      </x:c>
      <x:c r="N26" s="184"/>
      <x:c r="O26" s="184"/>
      <x:c r="P26" s="268" t="n">
        <x:v>784</x:v>
      </x:c>
      <x:c r="Q26" s="184"/>
      <x:c r="R26" s="268" t="n">
        <x:v>820</x:v>
      </x:c>
      <x:c r="S26" s="270" t="n">
        <x:v>931</x:v>
      </x:c>
      <x:c r="T26" s="270" t="n">
        <x:v>947</x:v>
      </x:c>
      <x:c r="U26" s="270" t="n">
        <x:v>963</x:v>
      </x:c>
      <x:c r="V26" s="270" t="n">
        <x:v>1008</x:v>
      </x:c>
      <x:c r="W26" s="270" t="n">
        <x:v>1022</x:v>
      </x:c>
      <x:c r="X26" s="219" t="n">
        <x:v>1068</x:v>
      </x:c>
      <x:c r="Y26" s="219" t="n">
        <x:v>1072</x:v>
      </x:c>
      <x:c r="Z26" s="270" t="n">
        <x:v>1089</x:v>
      </x:c>
      <x:c r="AA26" s="184"/>
      <x:c r="AB26" s="237" t="n">
        <x:v>1201</x:v>
      </x:c>
      <x:c r="AC26" s="237" t="n">
        <x:v>1389</x:v>
      </x:c>
      <x:c r="AD26" s="239" t="n">
        <x:v>1438</x:v>
      </x:c>
      <x:c r="AE26" s="239" t="n">
        <x:v>1466</x:v>
      </x:c>
      <x:c r="AF26" s="231" t="n">
        <x:v>1498</x:v>
      </x:c>
      <x:c r="AG26" s="231" t="n">
        <x:v>1509</x:v>
      </x:c>
      <x:c r="AH26" s="184"/>
      <x:c r="AI26" s="184"/>
      <x:c r="AJ26" s="184"/>
      <x:c r="AK26" s="184"/>
      <x:c r="AL26" s="184"/>
      <x:c r="AM26" s="184"/>
      <x:c r="AN26" s="184"/>
      <x:c r="AO26" s="184"/>
      <x:c r="AP26" s="184"/>
      <x:c r="AQ26" s="184"/>
      <x:c r="AR26" s="184"/>
      <x:c r="AS26" s="184"/>
      <x:c r="AT26" s="184"/>
      <x:c r="AU26" s="184"/>
      <x:c r="AV26" s="184"/>
      <x:c r="AW26" s="184"/>
      <x:c r="AX26" s="184"/>
      <x:c r="AY26" s="184"/>
      <x:c r="AZ26" s="184"/>
      <x:c r="BA26" s="184"/>
      <x:c r="BB26" s="184"/>
      <x:c r="BC26" s="184"/>
      <x:c r="BD26" s="184"/>
      <x:c r="BE26" s="184"/>
      <x:c r="BF26" s="184"/>
      <x:c r="BG26" s="184"/>
      <x:c r="BH26" s="184"/>
      <x:c r="BI26" s="184"/>
      <x:c r="BJ26" s="184"/>
    </x:row>
    <x:row r="27" ht="34" customHeight="1">
      <x:c r="A27" s="195"/>
      <x:c r="B27" s="195"/>
      <x:c r="C27" s="195" t="str">
        <x:v>M번호 / 시나리오</x:v>
      </x:c>
      <x:c r="D27" s="195" t="str">
        <x:v>레이더(s)</x:v>
      </x:c>
      <x:c r="E27" s="195"/>
      <x:c r="F27" s="195"/>
      <x:c r="G27" s="195"/>
      <x:c r="H27" s="264" t="str">
        <x:v>M01 1 시작</x:v>
      </x:c>
      <x:c r="I27" s="264" t="str">
        <x:v>M02 1 종료</x:v>
      </x:c>
      <x:c r="J27" s="209" t="str">
        <x:v>M03 2 시작</x:v>
      </x:c>
      <x:c r="K27" s="209" t="str">
        <x:v>M04 2 종료</x:v>
      </x:c>
      <x:c r="L27" s="267" t="str">
        <x:v>M05 3-1 시작</x:v>
      </x:c>
      <x:c r="M27" s="269" t="str">
        <x:v>M06 3-1 종료</x:v>
      </x:c>
      <x:c r="N27" s="196"/>
      <x:c r="O27" s="196"/>
      <x:c r="P27" s="269" t="str">
        <x:v>M07 3-2 시작</x:v>
      </x:c>
      <x:c r="Q27" s="196"/>
      <x:c r="R27" s="269" t="str">
        <x:v>M08 3-2 종료</x:v>
      </x:c>
      <x:c r="S27" s="271" t="str">
        <x:v>M09 4-1 시작</x:v>
      </x:c>
      <x:c r="T27" s="271" t="str">
        <x:v>M10 4-1 종료</x:v>
      </x:c>
      <x:c r="U27" s="271" t="str">
        <x:v>M11 4-2 시작</x:v>
      </x:c>
      <x:c r="V27" s="271" t="str">
        <x:v>M12 4-2 종료</x:v>
      </x:c>
      <x:c r="W27" s="271" t="str">
        <x:v>M13 4-3 시작</x:v>
      </x:c>
      <x:c r="X27" s="220" t="str">
        <x:v>M14 4-3 종료</x:v>
      </x:c>
      <x:c r="Y27" s="220" t="str">
        <x:v>M15 4-4 시작</x:v>
      </x:c>
      <x:c r="Z27" s="271" t="str">
        <x:v>M16 4-4 종료</x:v>
      </x:c>
      <x:c r="AA27" s="196"/>
      <x:c r="AB27" s="238" t="str">
        <x:v>M17 5 시작</x:v>
      </x:c>
      <x:c r="AC27" s="238" t="str">
        <x:v>M18 5 종료</x:v>
      </x:c>
      <x:c r="AD27" s="240" t="str">
        <x:v>M19 6 시작</x:v>
      </x:c>
      <x:c r="AE27" s="240" t="str">
        <x:v>M20 6 종료</x:v>
      </x:c>
      <x:c r="AF27" s="232" t="str">
        <x:v>M21 7 시작</x:v>
      </x:c>
      <x:c r="AG27" s="232" t="str">
        <x:v>M22 7 종료</x:v>
      </x:c>
      <x:c r="AH27" s="196"/>
      <x:c r="AI27" s="196"/>
      <x:c r="AJ27" s="196"/>
      <x:c r="AK27" s="196"/>
      <x:c r="AL27" s="196"/>
      <x:c r="AM27" s="196"/>
      <x:c r="AN27" s="196"/>
      <x:c r="AO27" s="196"/>
      <x:c r="AP27" s="196"/>
      <x:c r="AQ27" s="196"/>
      <x:c r="AR27" s="196"/>
      <x:c r="AS27" s="196"/>
      <x:c r="AT27" s="196"/>
      <x:c r="AU27" s="196"/>
      <x:c r="AV27" s="196"/>
      <x:c r="AW27" s="196"/>
      <x:c r="AX27" s="196"/>
      <x:c r="AY27" s="196"/>
      <x:c r="AZ27" s="196"/>
      <x:c r="BA27" s="196"/>
      <x:c r="BB27" s="196"/>
      <x:c r="BC27" s="196"/>
      <x:c r="BD27" s="196"/>
      <x:c r="BE27" s="196"/>
      <x:c r="BF27" s="196"/>
      <x:c r="BG27" s="196"/>
      <x:c r="BH27" s="196"/>
      <x:c r="BI27" s="196"/>
      <x:c r="BJ27" s="196"/>
    </x:row>
    <x:row r="28" ht="20" customHeight="1">
      <x:c r="A28" s="198" t="n">
        <x:v>6</x:v>
      </x:c>
      <x:c r="B28" s="198" t="str">
        <x:v>S06_LDW</x:v>
      </x:c>
      <x:c r="C28" s="198" t="str">
        <x:v>RAW 8.5V</x:v>
      </x:c>
      <x:c r="D28" s="198" t="str">
        <x:v>레이더(s)</x:v>
      </x:c>
      <x:c r="E28" s="198" t="n">
        <x:v>22</x:v>
      </x:c>
      <x:c r="F28" s="198" t="n">
        <x:v>22</x:v>
      </x:c>
      <x:c r="G28" s="199" t="str">
        <x:v>수동값/원시 불일치</x:v>
      </x:c>
      <x:c r="H28" s="263" t="n">
        <x:v>21.676000000000002</x:v>
      </x:c>
      <x:c r="I28" s="263" t="n">
        <x:v>213.98</x:v>
      </x:c>
      <x:c r="J28" s="208" t="n">
        <x:v>263.66</x:v>
      </x:c>
      <x:c r="K28" s="208" t="n">
        <x:v>638.3480000000001</x:v>
      </x:c>
      <x:c r="L28" s="184" t="n">
        <x:v>644.61</x:v>
      </x:c>
      <x:c r="M28" s="268" t="n">
        <x:v>748.344</x:v>
      </x:c>
      <x:c r="N28" s="268" t="n">
        <x:v>763.256</x:v>
      </x:c>
      <x:c r="O28" s="268" t="n">
        <x:v>778.116</x:v>
      </x:c>
      <x:c r="P28" s="268" t="n">
        <x:v>792.28</x:v>
      </x:c>
      <x:c r="Q28" s="184" t="n">
        <x:v>916.724</x:v>
      </x:c>
      <x:c r="R28" s="217"/>
      <x:c r="S28" s="270" t="n">
        <x:v>933.928</x:v>
      </x:c>
      <x:c r="T28" s="217"/>
      <x:c r="U28" s="184" t="n">
        <x:v>957.0400000000001</x:v>
      </x:c>
      <x:c r="V28" s="270" t="n">
        <x:v>994.0160000000001</x:v>
      </x:c>
      <x:c r="W28" s="184" t="n">
        <x:v>1005.3960000000001</x:v>
      </x:c>
      <x:c r="X28" s="217"/>
      <x:c r="Y28" s="217"/>
      <x:c r="Z28" s="184" t="n">
        <x:v>1071.6119999999999</x:v>
      </x:c>
      <x:c r="AA28" s="217"/>
      <x:c r="AB28" s="270" t="n">
        <x:v>1087.0079999999998</x:v>
      </x:c>
      <x:c r="AC28" s="184" t="n">
        <x:v>1157.9186666666665</x:v>
      </x:c>
      <x:c r="AD28" s="223"/>
      <x:c r="AE28" s="272" t="n">
        <x:v>1345.25</x:v>
      </x:c>
      <x:c r="AF28" s="184" t="n">
        <x:v>1351.068</x:v>
      </x:c>
      <x:c r="AG28" s="239" t="n">
        <x:v>1393.2079999999999</x:v>
      </x:c>
      <x:c r="AH28" s="184" t="n">
        <x:v>1421.3159999999998</x:v>
      </x:c>
      <x:c r="AI28" s="274" t="n">
        <x:v>1425.664</x:v>
      </x:c>
      <x:c r="AJ28" s="231" t="n">
        <x:v>1458.444</x:v>
      </x:c>
      <x:c r="AK28" s="231" t="n">
        <x:v>1471.244</x:v>
      </x:c>
      <x:c r="AL28" s="184"/>
      <x:c r="AM28" s="184"/>
      <x:c r="AN28" s="184"/>
      <x:c r="AO28" s="184"/>
      <x:c r="AP28" s="184"/>
      <x:c r="AQ28" s="184"/>
      <x:c r="AR28" s="184"/>
      <x:c r="AS28" s="184"/>
      <x:c r="AT28" s="184"/>
      <x:c r="AU28" s="184"/>
      <x:c r="AV28" s="184"/>
      <x:c r="AW28" s="184"/>
      <x:c r="AX28" s="184"/>
      <x:c r="AY28" s="184"/>
      <x:c r="AZ28" s="184"/>
      <x:c r="BA28" s="184"/>
      <x:c r="BB28" s="184"/>
      <x:c r="BC28" s="184"/>
      <x:c r="BD28" s="184"/>
      <x:c r="BE28" s="184"/>
      <x:c r="BF28" s="184"/>
      <x:c r="BG28" s="184"/>
      <x:c r="BH28" s="184"/>
      <x:c r="BI28" s="184"/>
      <x:c r="BJ28" s="184"/>
    </x:row>
    <x:row r="29" ht="20" customHeight="1">
      <x:c r="A29" s="190"/>
      <x:c r="B29" s="190"/>
      <x:c r="C29" s="190" t="str">
        <x:v>전수 후보</x:v>
      </x:c>
      <x:c r="D29" s="190" t="str">
        <x:v>레이더(s)</x:v>
      </x:c>
      <x:c r="E29" s="190"/>
      <x:c r="F29" s="190"/>
      <x:c r="G29" s="190"/>
      <x:c r="H29" s="263" t="n">
        <x:v>21.676000000000005</x:v>
      </x:c>
      <x:c r="I29" s="263" t="n">
        <x:v>213.98</x:v>
      </x:c>
      <x:c r="J29" s="208" t="n">
        <x:v>263.66</x:v>
      </x:c>
      <x:c r="K29" s="208" t="n">
        <x:v>638.3480000000001</x:v>
      </x:c>
      <x:c r="L29" s="214" t="n">
        <x:v>644.61</x:v>
      </x:c>
      <x:c r="M29" s="266" t="n">
        <x:v>748.344</x:v>
      </x:c>
      <x:c r="N29" s="266" t="n">
        <x:v>763.256</x:v>
      </x:c>
      <x:c r="O29" s="266" t="n">
        <x:v>778.116</x:v>
      </x:c>
      <x:c r="P29" s="266" t="n">
        <x:v>792.28</x:v>
      </x:c>
      <x:c r="Q29" s="184" t="n">
        <x:v>916.724</x:v>
      </x:c>
      <x:c r="R29" s="217"/>
      <x:c r="S29" s="219" t="n">
        <x:v>933.928</x:v>
      </x:c>
      <x:c r="T29" s="217"/>
      <x:c r="U29" s="184" t="n">
        <x:v>957.0400000000001</x:v>
      </x:c>
      <x:c r="V29" s="270" t="n">
        <x:v>994.0160000000001</x:v>
      </x:c>
      <x:c r="W29" s="214" t="n">
        <x:v>1005.3960000000001</x:v>
      </x:c>
      <x:c r="X29" s="217"/>
      <x:c r="Y29" s="217"/>
      <x:c r="Z29" s="214" t="n">
        <x:v>1071.6119999999999</x:v>
      </x:c>
      <x:c r="AA29" s="217"/>
      <x:c r="AB29" s="219" t="n">
        <x:v>1087.0079999999998</x:v>
      </x:c>
      <x:c r="AC29" s="184" t="n">
        <x:v>1157.9186666666665</x:v>
      </x:c>
      <x:c r="AD29" s="223"/>
      <x:c r="AE29" s="272" t="n">
        <x:v>1345.25</x:v>
      </x:c>
      <x:c r="AF29" s="214" t="n">
        <x:v>1351.068</x:v>
      </x:c>
      <x:c r="AG29" s="239" t="n">
        <x:v>1393.2079999999999</x:v>
      </x:c>
      <x:c r="AH29" s="214" t="n">
        <x:v>1421.3159999999998</x:v>
      </x:c>
      <x:c r="AI29" s="274" t="n">
        <x:v>1425.664</x:v>
      </x:c>
      <x:c r="AJ29" s="241" t="n">
        <x:v>1458.444</x:v>
      </x:c>
      <x:c r="AK29" s="241" t="n">
        <x:v>1471.244</x:v>
      </x:c>
      <x:c r="AL29" s="184"/>
      <x:c r="AM29" s="184"/>
      <x:c r="AN29" s="184"/>
      <x:c r="AO29" s="184"/>
      <x:c r="AP29" s="184"/>
      <x:c r="AQ29" s="184"/>
      <x:c r="AR29" s="184"/>
      <x:c r="AS29" s="184"/>
      <x:c r="AT29" s="184"/>
      <x:c r="AU29" s="184"/>
      <x:c r="AV29" s="184"/>
      <x:c r="AW29" s="184"/>
      <x:c r="AX29" s="184"/>
      <x:c r="AY29" s="184"/>
      <x:c r="AZ29" s="184"/>
      <x:c r="BA29" s="184"/>
      <x:c r="BB29" s="184"/>
      <x:c r="BC29" s="184"/>
      <x:c r="BD29" s="184"/>
      <x:c r="BE29" s="184"/>
      <x:c r="BF29" s="184"/>
      <x:c r="BG29" s="184"/>
      <x:c r="BH29" s="184"/>
      <x:c r="BI29" s="184"/>
      <x:c r="BJ29" s="184"/>
    </x:row>
    <x:row r="30" ht="20" customHeight="1">
      <x:c r="A30" s="190"/>
      <x:c r="B30" s="190"/>
      <x:c r="C30" s="190" t="str">
        <x:v>선택값</x:v>
      </x:c>
      <x:c r="D30" s="190" t="str">
        <x:v>레이더(s)</x:v>
      </x:c>
      <x:c r="E30" s="190"/>
      <x:c r="F30" s="190"/>
      <x:c r="G30" s="190"/>
      <x:c r="H30" s="263" t="n">
        <x:v>22</x:v>
      </x:c>
      <x:c r="I30" s="263" t="n">
        <x:v>214</x:v>
      </x:c>
      <x:c r="J30" s="208" t="n">
        <x:v>264</x:v>
      </x:c>
      <x:c r="K30" s="208" t="n">
        <x:v>638</x:v>
      </x:c>
      <x:c r="L30" s="184"/>
      <x:c r="M30" s="268" t="n">
        <x:v>748.4</x:v>
      </x:c>
      <x:c r="N30" s="268" t="n">
        <x:v>763.3</x:v>
      </x:c>
      <x:c r="O30" s="268" t="n">
        <x:v>778.2</x:v>
      </x:c>
      <x:c r="P30" s="268" t="n">
        <x:v>792.3</x:v>
      </x:c>
      <x:c r="Q30" s="184"/>
      <x:c r="R30" s="217" t="n">
        <x:v>919</x:v>
      </x:c>
      <x:c r="S30" s="270" t="n">
        <x:v>934.5</x:v>
      </x:c>
      <x:c r="T30" s="217" t="n">
        <x:v>947</x:v>
      </x:c>
      <x:c r="U30" s="184"/>
      <x:c r="V30" s="270" t="n">
        <x:v>994</x:v>
      </x:c>
      <x:c r="W30" s="184"/>
      <x:c r="X30" s="217" t="n">
        <x:v>1009.8</x:v>
      </x:c>
      <x:c r="Y30" s="217" t="n">
        <x:v>1059.2</x:v>
      </x:c>
      <x:c r="Z30" s="184"/>
      <x:c r="AA30" s="217" t="n">
        <x:v>1075.4</x:v>
      </x:c>
      <x:c r="AB30" s="270" t="n">
        <x:v>1086</x:v>
      </x:c>
      <x:c r="AC30" s="184"/>
      <x:c r="AD30" s="223" t="n">
        <x:v>1160.7</x:v>
      </x:c>
      <x:c r="AE30" s="272" t="n">
        <x:v>1346.5</x:v>
      </x:c>
      <x:c r="AF30" s="184"/>
      <x:c r="AG30" s="239" t="n">
        <x:v>1394.6</x:v>
      </x:c>
      <x:c r="AH30" s="184"/>
      <x:c r="AI30" s="274" t="n">
        <x:v>1424.2</x:v>
      </x:c>
      <x:c r="AJ30" s="231" t="n">
        <x:v>1458.5</x:v>
      </x:c>
      <x:c r="AK30" s="231" t="n">
        <x:v>1471.3</x:v>
      </x:c>
      <x:c r="AL30" s="184"/>
      <x:c r="AM30" s="184"/>
      <x:c r="AN30" s="184"/>
      <x:c r="AO30" s="184"/>
      <x:c r="AP30" s="184"/>
      <x:c r="AQ30" s="184"/>
      <x:c r="AR30" s="184"/>
      <x:c r="AS30" s="184"/>
      <x:c r="AT30" s="184"/>
      <x:c r="AU30" s="184"/>
      <x:c r="AV30" s="184"/>
      <x:c r="AW30" s="184"/>
      <x:c r="AX30" s="184"/>
      <x:c r="AY30" s="184"/>
      <x:c r="AZ30" s="184"/>
      <x:c r="BA30" s="184"/>
      <x:c r="BB30" s="184"/>
      <x:c r="BC30" s="184"/>
      <x:c r="BD30" s="184"/>
      <x:c r="BE30" s="184"/>
      <x:c r="BF30" s="184"/>
      <x:c r="BG30" s="184"/>
      <x:c r="BH30" s="184"/>
      <x:c r="BI30" s="184"/>
      <x:c r="BJ30" s="184"/>
    </x:row>
    <x:row r="31" ht="34" customHeight="1">
      <x:c r="A31" s="195"/>
      <x:c r="B31" s="195"/>
      <x:c r="C31" s="195" t="str">
        <x:v>M번호 / 시나리오</x:v>
      </x:c>
      <x:c r="D31" s="195" t="str">
        <x:v>레이더(s)</x:v>
      </x:c>
      <x:c r="E31" s="195"/>
      <x:c r="F31" s="195"/>
      <x:c r="G31" s="195"/>
      <x:c r="H31" s="264" t="str">
        <x:v>M01 1 시작</x:v>
      </x:c>
      <x:c r="I31" s="264" t="str">
        <x:v>M02 1 종료</x:v>
      </x:c>
      <x:c r="J31" s="209" t="str">
        <x:v>M03 2 시작</x:v>
      </x:c>
      <x:c r="K31" s="209" t="str">
        <x:v>M04 2 종료</x:v>
      </x:c>
      <x:c r="L31" s="196"/>
      <x:c r="M31" s="269" t="str">
        <x:v>M05 3-1 시작</x:v>
      </x:c>
      <x:c r="N31" s="269" t="str">
        <x:v>M06 3-1 종료</x:v>
      </x:c>
      <x:c r="O31" s="269" t="str">
        <x:v>M07 3-2 시작</x:v>
      </x:c>
      <x:c r="P31" s="269" t="str">
        <x:v>M08 3-2 종료</x:v>
      </x:c>
      <x:c r="Q31" s="196"/>
      <x:c r="R31" s="218" t="str">
        <x:v>M09 4-1 시작</x:v>
      </x:c>
      <x:c r="S31" s="271" t="str">
        <x:v>M10 4-1 종료</x:v>
      </x:c>
      <x:c r="T31" s="218" t="str">
        <x:v>M11 4-2 시작</x:v>
      </x:c>
      <x:c r="U31" s="196"/>
      <x:c r="V31" s="271" t="str">
        <x:v>M12 4-2 종료</x:v>
      </x:c>
      <x:c r="W31" s="196"/>
      <x:c r="X31" s="218" t="str">
        <x:v>M13 4-3 시작</x:v>
      </x:c>
      <x:c r="Y31" s="218" t="str">
        <x:v>M14 4-3 종료</x:v>
      </x:c>
      <x:c r="Z31" s="196"/>
      <x:c r="AA31" s="218" t="str">
        <x:v>M15 4-4 시작</x:v>
      </x:c>
      <x:c r="AB31" s="271" t="str">
        <x:v>M16 4-4 종료</x:v>
      </x:c>
      <x:c r="AC31" s="196"/>
      <x:c r="AD31" s="224" t="str">
        <x:v>M17 5 시작</x:v>
      </x:c>
      <x:c r="AE31" s="273" t="str">
        <x:v>M18 5 종료</x:v>
      </x:c>
      <x:c r="AF31" s="196"/>
      <x:c r="AG31" s="240" t="str">
        <x:v>M19 6 시작</x:v>
      </x:c>
      <x:c r="AH31" s="196"/>
      <x:c r="AI31" s="275" t="str">
        <x:v>M20 6 종료</x:v>
      </x:c>
      <x:c r="AJ31" s="232" t="str">
        <x:v>M21 7 시작</x:v>
      </x:c>
      <x:c r="AK31" s="232" t="str">
        <x:v>M22 7 종료</x:v>
      </x:c>
      <x:c r="AL31" s="196"/>
      <x:c r="AM31" s="196"/>
      <x:c r="AN31" s="196"/>
      <x:c r="AO31" s="196"/>
      <x:c r="AP31" s="196"/>
      <x:c r="AQ31" s="196"/>
      <x:c r="AR31" s="196"/>
      <x:c r="AS31" s="196"/>
      <x:c r="AT31" s="196"/>
      <x:c r="AU31" s="196"/>
      <x:c r="AV31" s="196"/>
      <x:c r="AW31" s="196"/>
      <x:c r="AX31" s="196"/>
      <x:c r="AY31" s="196"/>
      <x:c r="AZ31" s="196"/>
      <x:c r="BA31" s="196"/>
      <x:c r="BB31" s="196"/>
      <x:c r="BC31" s="196"/>
      <x:c r="BD31" s="196"/>
      <x:c r="BE31" s="196"/>
      <x:c r="BF31" s="196"/>
      <x:c r="BG31" s="196"/>
      <x:c r="BH31" s="196"/>
      <x:c r="BI31" s="196"/>
      <x:c r="BJ31" s="196"/>
    </x:row>
    <x:row r="32" ht="20" customHeight="1">
      <x:c r="A32" s="198" t="n">
        <x:v>7</x:v>
      </x:c>
      <x:c r="B32" s="198" t="str">
        <x:v>S07_KDM</x:v>
      </x:c>
      <x:c r="C32" s="198" t="str">
        <x:v>RAW 8.5V</x:v>
      </x:c>
      <x:c r="D32" s="198" t="str">
        <x:v>레이더(s)</x:v>
      </x:c>
      <x:c r="E32" s="198" t="n">
        <x:v>22</x:v>
      </x:c>
      <x:c r="F32" s="198" t="n">
        <x:v>22</x:v>
      </x:c>
      <x:c r="G32" s="277" t="str">
        <x:v>자동 점검 통과</x:v>
      </x:c>
      <x:c r="H32" s="235"/>
      <x:c r="I32" s="184"/>
      <x:c r="J32" s="235"/>
      <x:c r="K32" s="265"/>
      <x:c r="L32" s="265"/>
      <x:c r="M32" s="268" t="n">
        <x:v>769.2040000000001</x:v>
      </x:c>
      <x:c r="N32" s="184" t="n">
        <x:v>774.38</x:v>
      </x:c>
      <x:c r="O32" s="266"/>
      <x:c r="P32" s="184" t="n">
        <x:v>789.642</x:v>
      </x:c>
      <x:c r="Q32" s="266"/>
      <x:c r="R32" s="266"/>
      <x:c r="S32" s="184" t="n">
        <x:v>821.6</x:v>
      </x:c>
      <x:c r="T32" s="219"/>
      <x:c r="U32" s="184" t="n">
        <x:v>911.98</x:v>
      </x:c>
      <x:c r="V32" s="219"/>
      <x:c r="W32" s="184" t="n">
        <x:v>928.08</x:v>
      </x:c>
      <x:c r="X32" s="219"/>
      <x:c r="Y32" s="184" t="n">
        <x:v>939.84</x:v>
      </x:c>
      <x:c r="Z32" s="184"/>
      <x:c r="AA32" s="219"/>
      <x:c r="AB32" s="270" t="n">
        <x:v>985.4680000000001</x:v>
      </x:c>
      <x:c r="AC32" s="184" t="n">
        <x:v>994.268</x:v>
      </x:c>
      <x:c r="AD32" s="219"/>
      <x:c r="AE32" s="270" t="n">
        <x:v>1042.9253333333331</x:v>
      </x:c>
      <x:c r="AF32" s="184" t="n">
        <x:v>1052.708</x:v>
      </x:c>
      <x:c r="AG32" s="219"/>
      <x:c r="AH32" s="184" t="n">
        <x:v>1062.98</x:v>
      </x:c>
      <x:c r="AI32" s="272"/>
      <x:c r="AJ32" s="184" t="n">
        <x:v>1139.8</x:v>
      </x:c>
      <x:c r="AK32" s="272"/>
      <x:c r="AL32" s="184" t="n">
        <x:v>1326.304</x:v>
      </x:c>
      <x:c r="AM32" s="274"/>
      <x:c r="AN32" s="184" t="n">
        <x:v>1383.064</x:v>
      </x:c>
      <x:c r="AO32" s="274"/>
      <x:c r="AP32" s="184" t="n">
        <x:v>1406.7</x:v>
      </x:c>
      <x:c r="AQ32" s="241"/>
      <x:c r="AR32" s="184" t="n">
        <x:v>1434.4959999999999</x:v>
      </x:c>
      <x:c r="AS32" s="241"/>
      <x:c r="AT32" s="184" t="n">
        <x:v>1445.6000000000001</x:v>
      </x:c>
      <x:c r="AU32" s="184"/>
      <x:c r="AV32" s="184"/>
      <x:c r="AW32" s="184"/>
      <x:c r="AX32" s="184"/>
      <x:c r="AY32" s="184"/>
      <x:c r="AZ32" s="184"/>
      <x:c r="BA32" s="184"/>
      <x:c r="BB32" s="184"/>
      <x:c r="BC32" s="184"/>
      <x:c r="BD32" s="184"/>
      <x:c r="BE32" s="184"/>
      <x:c r="BF32" s="184"/>
      <x:c r="BG32" s="184"/>
      <x:c r="BH32" s="184"/>
      <x:c r="BI32" s="184"/>
      <x:c r="BJ32" s="184"/>
    </x:row>
    <x:row r="33" ht="20" customHeight="1">
      <x:c r="A33" s="190"/>
      <x:c r="B33" s="190"/>
      <x:c r="C33" s="190" t="str">
        <x:v>전수 후보</x:v>
      </x:c>
      <x:c r="D33" s="190" t="str">
        <x:v>레이더(s)</x:v>
      </x:c>
      <x:c r="E33" s="190"/>
      <x:c r="F33" s="190"/>
      <x:c r="G33" s="190"/>
      <x:c r="H33" s="235" t="n">
        <x:v>16.57200000000004</x:v>
      </x:c>
      <x:c r="I33" s="214" t="n">
        <x:v>22.644000000000034</x:v>
      </x:c>
      <x:c r="J33" s="235" t="n">
        <x:v>214.34500000000006</x:v>
      </x:c>
      <x:c r="K33" s="265" t="n">
        <x:v>275.598</x:v>
      </x:c>
      <x:c r="L33" s="265" t="n">
        <x:v>646.78</x:v>
      </x:c>
      <x:c r="M33" s="268" t="n">
        <x:v>766.0973333333334</x:v>
      </x:c>
      <x:c r="N33" s="184"/>
      <x:c r="O33" s="266" t="n">
        <x:v>784.6600000000001</x:v>
      </x:c>
      <x:c r="P33" s="184"/>
      <x:c r="Q33" s="266" t="n">
        <x:v>799.32</x:v>
      </x:c>
      <x:c r="R33" s="266" t="n">
        <x:v>815.6</x:v>
      </x:c>
      <x:c r="S33" s="184"/>
      <x:c r="T33" s="219" t="n">
        <x:v>905.98</x:v>
      </x:c>
      <x:c r="U33" s="184"/>
      <x:c r="V33" s="219" t="n">
        <x:v>922.08</x:v>
      </x:c>
      <x:c r="W33" s="184"/>
      <x:c r="X33" s="219" t="n">
        <x:v>933.84</x:v>
      </x:c>
      <x:c r="Y33" s="184"/>
      <x:c r="Z33" s="214" t="n">
        <x:v>973.3040000000001</x:v>
      </x:c>
      <x:c r="AA33" s="219" t="n">
        <x:v>979.4680000000001</x:v>
      </x:c>
      <x:c r="AB33" s="219" t="n">
        <x:v>988.268</x:v>
      </x:c>
      <x:c r="AC33" s="184"/>
      <x:c r="AD33" s="219" t="n">
        <x:v>1035.108</x:v>
      </x:c>
      <x:c r="AE33" s="219" t="n">
        <x:v>1046.708</x:v>
      </x:c>
      <x:c r="AF33" s="184"/>
      <x:c r="AG33" s="219" t="n">
        <x:v>1056.98</x:v>
      </x:c>
      <x:c r="AH33" s="184"/>
      <x:c r="AI33" s="272" t="n">
        <x:v>1133.8</x:v>
      </x:c>
      <x:c r="AJ33" s="184"/>
      <x:c r="AK33" s="272" t="n">
        <x:v>1320.304</x:v>
      </x:c>
      <x:c r="AL33" s="184"/>
      <x:c r="AM33" s="274" t="n">
        <x:v>1377.064</x:v>
      </x:c>
      <x:c r="AN33" s="184"/>
      <x:c r="AO33" s="274" t="n">
        <x:v>1400.7</x:v>
      </x:c>
      <x:c r="AP33" s="184"/>
      <x:c r="AQ33" s="241" t="n">
        <x:v>1426.924</x:v>
      </x:c>
      <x:c r="AR33" s="184"/>
      <x:c r="AS33" s="241" t="n">
        <x:v>1439.6000000000001</x:v>
      </x:c>
      <x:c r="AT33" s="184"/>
      <x:c r="AU33" s="184"/>
      <x:c r="AV33" s="184"/>
      <x:c r="AW33" s="184"/>
      <x:c r="AX33" s="184"/>
      <x:c r="AY33" s="184"/>
      <x:c r="AZ33" s="184"/>
      <x:c r="BA33" s="184"/>
      <x:c r="BB33" s="184"/>
      <x:c r="BC33" s="184"/>
      <x:c r="BD33" s="184"/>
      <x:c r="BE33" s="184"/>
      <x:c r="BF33" s="184"/>
      <x:c r="BG33" s="184"/>
      <x:c r="BH33" s="184"/>
      <x:c r="BI33" s="184"/>
      <x:c r="BJ33" s="184"/>
    </x:row>
    <x:row r="34" ht="20" customHeight="1">
      <x:c r="A34" s="190"/>
      <x:c r="B34" s="190"/>
      <x:c r="C34" s="190" t="str">
        <x:v>선택값</x:v>
      </x:c>
      <x:c r="D34" s="190" t="str">
        <x:v>레이더(s)</x:v>
      </x:c>
      <x:c r="E34" s="190"/>
      <x:c r="F34" s="190"/>
      <x:c r="G34" s="190"/>
      <x:c r="H34" s="235" t="n">
        <x:v>16.572</x:v>
      </x:c>
      <x:c r="I34" s="184"/>
      <x:c r="J34" s="235" t="n">
        <x:v>214.345</x:v>
      </x:c>
      <x:c r="K34" s="265" t="n">
        <x:v>275.598</x:v>
      </x:c>
      <x:c r="L34" s="265" t="n">
        <x:v>646.78</x:v>
      </x:c>
      <x:c r="M34" s="268" t="n">
        <x:v>766.097</x:v>
      </x:c>
      <x:c r="N34" s="184"/>
      <x:c r="O34" s="266" t="n">
        <x:v>784.66</x:v>
      </x:c>
      <x:c r="P34" s="184"/>
      <x:c r="Q34" s="266" t="n">
        <x:v>799.32</x:v>
      </x:c>
      <x:c r="R34" s="266" t="n">
        <x:v>815.6</x:v>
      </x:c>
      <x:c r="S34" s="184"/>
      <x:c r="T34" s="219" t="n">
        <x:v>905.98</x:v>
      </x:c>
      <x:c r="U34" s="184"/>
      <x:c r="V34" s="219" t="n">
        <x:v>922.08</x:v>
      </x:c>
      <x:c r="W34" s="184"/>
      <x:c r="X34" s="219" t="n">
        <x:v>933.84</x:v>
      </x:c>
      <x:c r="Y34" s="184"/>
      <x:c r="Z34" s="184"/>
      <x:c r="AA34" s="219" t="n">
        <x:v>979.468</x:v>
      </x:c>
      <x:c r="AB34" s="270" t="n">
        <x:v>988.268</x:v>
      </x:c>
      <x:c r="AC34" s="184"/>
      <x:c r="AD34" s="219" t="n">
        <x:v>1035.108</x:v>
      </x:c>
      <x:c r="AE34" s="270" t="n">
        <x:v>1046.708</x:v>
      </x:c>
      <x:c r="AF34" s="184"/>
      <x:c r="AG34" s="219" t="n">
        <x:v>1056.98</x:v>
      </x:c>
      <x:c r="AH34" s="184"/>
      <x:c r="AI34" s="272" t="n">
        <x:v>1133.8</x:v>
      </x:c>
      <x:c r="AJ34" s="184"/>
      <x:c r="AK34" s="272" t="n">
        <x:v>1320.304</x:v>
      </x:c>
      <x:c r="AL34" s="184"/>
      <x:c r="AM34" s="274" t="n">
        <x:v>1377.064</x:v>
      </x:c>
      <x:c r="AN34" s="184"/>
      <x:c r="AO34" s="274" t="n">
        <x:v>1400.7</x:v>
      </x:c>
      <x:c r="AP34" s="184"/>
      <x:c r="AQ34" s="241" t="n">
        <x:v>1426.924</x:v>
      </x:c>
      <x:c r="AR34" s="184"/>
      <x:c r="AS34" s="241" t="n">
        <x:v>1439.6</x:v>
      </x:c>
      <x:c r="AT34" s="184"/>
      <x:c r="AU34" s="184"/>
      <x:c r="AV34" s="184"/>
      <x:c r="AW34" s="184"/>
      <x:c r="AX34" s="184"/>
      <x:c r="AY34" s="184"/>
      <x:c r="AZ34" s="184"/>
      <x:c r="BA34" s="184"/>
      <x:c r="BB34" s="184"/>
      <x:c r="BC34" s="184"/>
      <x:c r="BD34" s="184"/>
      <x:c r="BE34" s="184"/>
      <x:c r="BF34" s="184"/>
      <x:c r="BG34" s="184"/>
      <x:c r="BH34" s="184"/>
      <x:c r="BI34" s="184"/>
      <x:c r="BJ34" s="184"/>
    </x:row>
    <x:row r="35" ht="34" customHeight="1">
      <x:c r="A35" s="195"/>
      <x:c r="B35" s="195"/>
      <x:c r="C35" s="195" t="str">
        <x:v>M번호 / 시나리오</x:v>
      </x:c>
      <x:c r="D35" s="195" t="str">
        <x:v>레이더(s)</x:v>
      </x:c>
      <x:c r="E35" s="195"/>
      <x:c r="F35" s="195"/>
      <x:c r="G35" s="195"/>
      <x:c r="H35" s="236" t="str">
        <x:v>M01 1 시작</x:v>
      </x:c>
      <x:c r="I35" s="196"/>
      <x:c r="J35" s="236" t="str">
        <x:v>M02 1 종료</x:v>
      </x:c>
      <x:c r="K35" s="278" t="str">
        <x:v>M03 2 시작</x:v>
      </x:c>
      <x:c r="L35" s="278" t="str">
        <x:v>M04 2 종료</x:v>
      </x:c>
      <x:c r="M35" s="269" t="str">
        <x:v>M05 3-1 시작</x:v>
      </x:c>
      <x:c r="N35" s="196"/>
      <x:c r="O35" s="267" t="str">
        <x:v>M06 3-1 종료</x:v>
      </x:c>
      <x:c r="P35" s="196"/>
      <x:c r="Q35" s="267" t="str">
        <x:v>M07 3-2 시작</x:v>
      </x:c>
      <x:c r="R35" s="267" t="str">
        <x:v>M08 3-2 종료</x:v>
      </x:c>
      <x:c r="S35" s="196"/>
      <x:c r="T35" s="220" t="str">
        <x:v>M09 4-1 시작</x:v>
      </x:c>
      <x:c r="U35" s="196"/>
      <x:c r="V35" s="220" t="str">
        <x:v>M10 4-1 종료</x:v>
      </x:c>
      <x:c r="W35" s="196"/>
      <x:c r="X35" s="220" t="str">
        <x:v>M11 4-2 시작</x:v>
      </x:c>
      <x:c r="Y35" s="196"/>
      <x:c r="Z35" s="196"/>
      <x:c r="AA35" s="220" t="str">
        <x:v>M12 4-2 종료</x:v>
      </x:c>
      <x:c r="AB35" s="271" t="str">
        <x:v>M13 4-3 시작</x:v>
      </x:c>
      <x:c r="AC35" s="196"/>
      <x:c r="AD35" s="220" t="str">
        <x:v>M14 4-3 종료</x:v>
      </x:c>
      <x:c r="AE35" s="271" t="str">
        <x:v>M15 4-4 시작</x:v>
      </x:c>
      <x:c r="AF35" s="196"/>
      <x:c r="AG35" s="220" t="str">
        <x:v>M16 4-4 종료</x:v>
      </x:c>
      <x:c r="AH35" s="196"/>
      <x:c r="AI35" s="273" t="str">
        <x:v>M17 5 시작</x:v>
      </x:c>
      <x:c r="AJ35" s="196"/>
      <x:c r="AK35" s="273" t="str">
        <x:v>M18 5 종료</x:v>
      </x:c>
      <x:c r="AL35" s="196"/>
      <x:c r="AM35" s="275" t="str">
        <x:v>M19 6 시작</x:v>
      </x:c>
      <x:c r="AN35" s="196"/>
      <x:c r="AO35" s="275" t="str">
        <x:v>M20 6 종료</x:v>
      </x:c>
      <x:c r="AP35" s="196"/>
      <x:c r="AQ35" s="279" t="str">
        <x:v>M21 7 시작</x:v>
      </x:c>
      <x:c r="AR35" s="196"/>
      <x:c r="AS35" s="279" t="str">
        <x:v>M22 7 종료</x:v>
      </x:c>
      <x:c r="AT35" s="196"/>
      <x:c r="AU35" s="196"/>
      <x:c r="AV35" s="196"/>
      <x:c r="AW35" s="196"/>
      <x:c r="AX35" s="196"/>
      <x:c r="AY35" s="196"/>
      <x:c r="AZ35" s="196"/>
      <x:c r="BA35" s="196"/>
      <x:c r="BB35" s="196"/>
      <x:c r="BC35" s="196"/>
      <x:c r="BD35" s="196"/>
      <x:c r="BE35" s="196"/>
      <x:c r="BF35" s="196"/>
      <x:c r="BG35" s="196"/>
      <x:c r="BH35" s="196"/>
      <x:c r="BI35" s="196"/>
      <x:c r="BJ35" s="196"/>
    </x:row>
    <x:row r="36" ht="20" customHeight="1">
      <x:c r="A36" s="198" t="n">
        <x:v>8</x:v>
      </x:c>
      <x:c r="B36" s="198" t="str">
        <x:v>S08_MDO</x:v>
      </x:c>
      <x:c r="C36" s="198" t="str">
        <x:v>RAW 8.5V</x:v>
      </x:c>
      <x:c r="D36" s="198" t="str">
        <x:v>레이더(s)</x:v>
      </x:c>
      <x:c r="E36" s="198" t="n">
        <x:v>22</x:v>
      </x:c>
      <x:c r="F36" s="198" t="n">
        <x:v>22</x:v>
      </x:c>
      <x:c r="G36" s="277" t="str">
        <x:v>자동 점검 통과</x:v>
      </x:c>
      <x:c r="H36" s="263" t="n">
        <x:v>22.549</x:v>
      </x:c>
      <x:c r="I36" s="263" t="n">
        <x:v>218.33199999999997</x:v>
      </x:c>
      <x:c r="J36" s="265"/>
      <x:c r="K36" s="184"/>
      <x:c r="L36" s="265"/>
      <x:c r="M36" s="268" t="n">
        <x:v>696.652</x:v>
      </x:c>
      <x:c r="N36" s="268" t="n">
        <x:v>706.63</x:v>
      </x:c>
      <x:c r="O36" s="266"/>
      <x:c r="P36" s="268" t="n">
        <x:v>730.724</x:v>
      </x:c>
      <x:c r="Q36" s="270" t="n">
        <x:v>806.8280000000001</x:v>
      </x:c>
      <x:c r="R36" s="270" t="n">
        <x:v>820.244</x:v>
      </x:c>
      <x:c r="S36" s="270" t="n">
        <x:v>829.904</x:v>
      </x:c>
      <x:c r="T36" s="270" t="n">
        <x:v>874.36</x:v>
      </x:c>
      <x:c r="U36" s="219"/>
      <x:c r="V36" s="270" t="n">
        <x:v>931.6360000000001</x:v>
      </x:c>
      <x:c r="W36" s="270" t="n">
        <x:v>946.5360000000001</x:v>
      </x:c>
      <x:c r="X36" s="184"/>
      <x:c r="Y36" s="219"/>
      <x:c r="Z36" s="272"/>
      <x:c r="AA36" s="237" t="n">
        <x:v>1204.828</x:v>
      </x:c>
      <x:c r="AB36" s="239" t="n">
        <x:v>1224.2920000000001</x:v>
      </x:c>
      <x:c r="AC36" s="239" t="n">
        <x:v>1246.144</x:v>
      </x:c>
      <x:c r="AD36" s="231" t="n">
        <x:v>1272.616</x:v>
      </x:c>
      <x:c r="AE36" s="231" t="n">
        <x:v>1284.3880000000001</x:v>
      </x:c>
      <x:c r="AF36" s="184"/>
      <x:c r="AG36" s="184"/>
      <x:c r="AH36" s="184"/>
      <x:c r="AI36" s="184"/>
      <x:c r="AJ36" s="184"/>
      <x:c r="AK36" s="184"/>
      <x:c r="AL36" s="184"/>
      <x:c r="AM36" s="184"/>
      <x:c r="AN36" s="184"/>
      <x:c r="AO36" s="184"/>
      <x:c r="AP36" s="184"/>
      <x:c r="AQ36" s="184"/>
      <x:c r="AR36" s="184"/>
      <x:c r="AS36" s="184"/>
      <x:c r="AT36" s="184"/>
      <x:c r="AU36" s="184"/>
      <x:c r="AV36" s="184"/>
      <x:c r="AW36" s="184"/>
      <x:c r="AX36" s="184"/>
      <x:c r="AY36" s="184"/>
      <x:c r="AZ36" s="184"/>
      <x:c r="BA36" s="184"/>
      <x:c r="BB36" s="184"/>
      <x:c r="BC36" s="184"/>
      <x:c r="BD36" s="184"/>
      <x:c r="BE36" s="184"/>
      <x:c r="BF36" s="184"/>
      <x:c r="BG36" s="184"/>
      <x:c r="BH36" s="184"/>
      <x:c r="BI36" s="184"/>
      <x:c r="BJ36" s="184"/>
    </x:row>
    <x:row r="37" ht="20" customHeight="1">
      <x:c r="A37" s="190"/>
      <x:c r="B37" s="190"/>
      <x:c r="C37" s="190" t="str">
        <x:v>전수 후보</x:v>
      </x:c>
      <x:c r="D37" s="190" t="str">
        <x:v>레이더(s)</x:v>
      </x:c>
      <x:c r="E37" s="190"/>
      <x:c r="F37" s="190"/>
      <x:c r="G37" s="190"/>
      <x:c r="H37" s="263" t="n">
        <x:v>23.796000000000053</x:v>
      </x:c>
      <x:c r="I37" s="263" t="n">
        <x:v>220.16400000000004</x:v>
      </x:c>
      <x:c r="J37" s="265" t="n">
        <x:v>260.4440000000001</x:v>
      </x:c>
      <x:c r="K37" s="214" t="n">
        <x:v>636.292</x:v>
      </x:c>
      <x:c r="L37" s="265" t="n">
        <x:v>645.896</x:v>
      </x:c>
      <x:c r="M37" s="266" t="n">
        <x:v>698.452</x:v>
      </x:c>
      <x:c r="N37" s="266" t="n">
        <x:v>707.68</x:v>
      </x:c>
      <x:c r="O37" s="266" t="n">
        <x:v>721.928</x:v>
      </x:c>
      <x:c r="P37" s="266" t="n">
        <x:v>732.524</x:v>
      </x:c>
      <x:c r="Q37" s="219" t="n">
        <x:v>808.628</x:v>
      </x:c>
      <x:c r="R37" s="219" t="n">
        <x:v>822.044</x:v>
      </x:c>
      <x:c r="S37" s="219" t="n">
        <x:v>831.704</x:v>
      </x:c>
      <x:c r="T37" s="219" t="n">
        <x:v>876.16</x:v>
      </x:c>
      <x:c r="U37" s="219" t="n">
        <x:v>885.78</x:v>
      </x:c>
      <x:c r="V37" s="219" t="n">
        <x:v>933.436</x:v>
      </x:c>
      <x:c r="W37" s="219" t="n">
        <x:v>948.336</x:v>
      </x:c>
      <x:c r="X37" s="214" t="n">
        <x:v>959.188</x:v>
      </x:c>
      <x:c r="Y37" s="219" t="n">
        <x:v>968.676</x:v>
      </x:c>
      <x:c r="Z37" s="272" t="n">
        <x:v>1021.268</x:v>
      </x:c>
      <x:c r="AA37" s="237" t="n">
        <x:v>1206.628</x:v>
      </x:c>
      <x:c r="AB37" s="239" t="n">
        <x:v>1226.092</x:v>
      </x:c>
      <x:c r="AC37" s="239" t="n">
        <x:v>1247.944</x:v>
      </x:c>
      <x:c r="AD37" s="241" t="n">
        <x:v>1274.416</x:v>
      </x:c>
      <x:c r="AE37" s="241" t="n">
        <x:v>1286.188</x:v>
      </x:c>
      <x:c r="AF37" s="184"/>
      <x:c r="AG37" s="184"/>
      <x:c r="AH37" s="184"/>
      <x:c r="AI37" s="184"/>
      <x:c r="AJ37" s="184"/>
      <x:c r="AK37" s="184"/>
      <x:c r="AL37" s="184"/>
      <x:c r="AM37" s="184"/>
      <x:c r="AN37" s="184"/>
      <x:c r="AO37" s="184"/>
      <x:c r="AP37" s="184"/>
      <x:c r="AQ37" s="184"/>
      <x:c r="AR37" s="184"/>
      <x:c r="AS37" s="184"/>
      <x:c r="AT37" s="184"/>
      <x:c r="AU37" s="184"/>
      <x:c r="AV37" s="184"/>
      <x:c r="AW37" s="184"/>
      <x:c r="AX37" s="184"/>
      <x:c r="AY37" s="184"/>
      <x:c r="AZ37" s="184"/>
      <x:c r="BA37" s="184"/>
      <x:c r="BB37" s="184"/>
      <x:c r="BC37" s="184"/>
      <x:c r="BD37" s="184"/>
      <x:c r="BE37" s="184"/>
      <x:c r="BF37" s="184"/>
      <x:c r="BG37" s="184"/>
      <x:c r="BH37" s="184"/>
      <x:c r="BI37" s="184"/>
      <x:c r="BJ37" s="184"/>
    </x:row>
    <x:row r="38" ht="20" customHeight="1">
      <x:c r="A38" s="190"/>
      <x:c r="B38" s="190"/>
      <x:c r="C38" s="190" t="str">
        <x:v>선택값</x:v>
      </x:c>
      <x:c r="D38" s="190" t="str">
        <x:v>레이더(s)</x:v>
      </x:c>
      <x:c r="E38" s="190"/>
      <x:c r="F38" s="190"/>
      <x:c r="G38" s="190"/>
      <x:c r="H38" s="263" t="n">
        <x:v>23.796</x:v>
      </x:c>
      <x:c r="I38" s="263" t="n">
        <x:v>220.164</x:v>
      </x:c>
      <x:c r="J38" s="265" t="n">
        <x:v>260.444</x:v>
      </x:c>
      <x:c r="K38" s="184"/>
      <x:c r="L38" s="265" t="n">
        <x:v>645.896</x:v>
      </x:c>
      <x:c r="M38" s="268" t="n">
        <x:v>698.452</x:v>
      </x:c>
      <x:c r="N38" s="268" t="n">
        <x:v>707.68</x:v>
      </x:c>
      <x:c r="O38" s="266" t="n">
        <x:v>721.928</x:v>
      </x:c>
      <x:c r="P38" s="268" t="n">
        <x:v>732.524</x:v>
      </x:c>
      <x:c r="Q38" s="270" t="n">
        <x:v>808.628</x:v>
      </x:c>
      <x:c r="R38" s="270" t="n">
        <x:v>822.044</x:v>
      </x:c>
      <x:c r="S38" s="270" t="n">
        <x:v>831.704</x:v>
      </x:c>
      <x:c r="T38" s="270" t="n">
        <x:v>876.16</x:v>
      </x:c>
      <x:c r="U38" s="219" t="n">
        <x:v>885.78</x:v>
      </x:c>
      <x:c r="V38" s="270" t="n">
        <x:v>933.436</x:v>
      </x:c>
      <x:c r="W38" s="270" t="n">
        <x:v>948.336</x:v>
      </x:c>
      <x:c r="X38" s="184"/>
      <x:c r="Y38" s="219" t="n">
        <x:v>968.676</x:v>
      </x:c>
      <x:c r="Z38" s="272" t="n">
        <x:v>1021.268</x:v>
      </x:c>
      <x:c r="AA38" s="237" t="n">
        <x:v>1206.628</x:v>
      </x:c>
      <x:c r="AB38" s="239" t="n">
        <x:v>1226.092</x:v>
      </x:c>
      <x:c r="AC38" s="239" t="n">
        <x:v>1247.944</x:v>
      </x:c>
      <x:c r="AD38" s="231" t="n">
        <x:v>1274.416</x:v>
      </x:c>
      <x:c r="AE38" s="231" t="n">
        <x:v>1286.188</x:v>
      </x:c>
      <x:c r="AF38" s="184"/>
      <x:c r="AG38" s="184"/>
      <x:c r="AH38" s="184"/>
      <x:c r="AI38" s="184"/>
      <x:c r="AJ38" s="184"/>
      <x:c r="AK38" s="184"/>
      <x:c r="AL38" s="184"/>
      <x:c r="AM38" s="184"/>
      <x:c r="AN38" s="184"/>
      <x:c r="AO38" s="184"/>
      <x:c r="AP38" s="184"/>
      <x:c r="AQ38" s="184"/>
      <x:c r="AR38" s="184"/>
      <x:c r="AS38" s="184"/>
      <x:c r="AT38" s="184"/>
      <x:c r="AU38" s="184"/>
      <x:c r="AV38" s="184"/>
      <x:c r="AW38" s="184"/>
      <x:c r="AX38" s="184"/>
      <x:c r="AY38" s="184"/>
      <x:c r="AZ38" s="184"/>
      <x:c r="BA38" s="184"/>
      <x:c r="BB38" s="184"/>
      <x:c r="BC38" s="184"/>
      <x:c r="BD38" s="184"/>
      <x:c r="BE38" s="184"/>
      <x:c r="BF38" s="184"/>
      <x:c r="BG38" s="184"/>
      <x:c r="BH38" s="184"/>
      <x:c r="BI38" s="184"/>
      <x:c r="BJ38" s="184"/>
    </x:row>
    <x:row r="39" ht="34" customHeight="1">
      <x:c r="A39" s="195"/>
      <x:c r="B39" s="195"/>
      <x:c r="C39" s="195" t="str">
        <x:v>M번호 / 시나리오</x:v>
      </x:c>
      <x:c r="D39" s="195" t="str">
        <x:v>레이더(s)</x:v>
      </x:c>
      <x:c r="E39" s="195"/>
      <x:c r="F39" s="195"/>
      <x:c r="G39" s="195"/>
      <x:c r="H39" s="264" t="str">
        <x:v>M01 1 시작</x:v>
      </x:c>
      <x:c r="I39" s="264" t="str">
        <x:v>M02 1 종료</x:v>
      </x:c>
      <x:c r="J39" s="278" t="str">
        <x:v>M03 2 시작</x:v>
      </x:c>
      <x:c r="K39" s="196"/>
      <x:c r="L39" s="278" t="str">
        <x:v>M04 2 종료</x:v>
      </x:c>
      <x:c r="M39" s="269" t="str">
        <x:v>M05 3-1 시작</x:v>
      </x:c>
      <x:c r="N39" s="269" t="str">
        <x:v>M06 3-1 종료</x:v>
      </x:c>
      <x:c r="O39" s="267" t="str">
        <x:v>M07 3-2 시작</x:v>
      </x:c>
      <x:c r="P39" s="269" t="str">
        <x:v>M08 3-2 종료</x:v>
      </x:c>
      <x:c r="Q39" s="271" t="str">
        <x:v>M09 4-1 시작</x:v>
      </x:c>
      <x:c r="R39" s="271" t="str">
        <x:v>M10 4-1 종료</x:v>
      </x:c>
      <x:c r="S39" s="271" t="str">
        <x:v>M11 4-2 시작</x:v>
      </x:c>
      <x:c r="T39" s="271" t="str">
        <x:v>M12 4-2 종료</x:v>
      </x:c>
      <x:c r="U39" s="220" t="str">
        <x:v>M13 4-3 시작</x:v>
      </x:c>
      <x:c r="V39" s="271" t="str">
        <x:v>M14 4-3 종료</x:v>
      </x:c>
      <x:c r="W39" s="271" t="str">
        <x:v>M15 4-4 시작</x:v>
      </x:c>
      <x:c r="X39" s="196"/>
      <x:c r="Y39" s="220" t="str">
        <x:v>M16 4-4 종료</x:v>
      </x:c>
      <x:c r="Z39" s="273" t="str">
        <x:v>M17 5 시작</x:v>
      </x:c>
      <x:c r="AA39" s="238" t="str">
        <x:v>M18 5 종료</x:v>
      </x:c>
      <x:c r="AB39" s="240" t="str">
        <x:v>M19 6 시작</x:v>
      </x:c>
      <x:c r="AC39" s="240" t="str">
        <x:v>M20 6 종료</x:v>
      </x:c>
      <x:c r="AD39" s="232" t="str">
        <x:v>M21 7 시작</x:v>
      </x:c>
      <x:c r="AE39" s="232" t="str">
        <x:v>M22 7 종료</x:v>
      </x:c>
      <x:c r="AF39" s="196"/>
      <x:c r="AG39" s="196"/>
      <x:c r="AH39" s="196"/>
      <x:c r="AI39" s="196"/>
      <x:c r="AJ39" s="196"/>
      <x:c r="AK39" s="196"/>
      <x:c r="AL39" s="196"/>
      <x:c r="AM39" s="196"/>
      <x:c r="AN39" s="196"/>
      <x:c r="AO39" s="196"/>
      <x:c r="AP39" s="196"/>
      <x:c r="AQ39" s="196"/>
      <x:c r="AR39" s="196"/>
      <x:c r="AS39" s="196"/>
      <x:c r="AT39" s="196"/>
      <x:c r="AU39" s="196"/>
      <x:c r="AV39" s="196"/>
      <x:c r="AW39" s="196"/>
      <x:c r="AX39" s="196"/>
      <x:c r="AY39" s="196"/>
      <x:c r="AZ39" s="196"/>
      <x:c r="BA39" s="196"/>
      <x:c r="BB39" s="196"/>
      <x:c r="BC39" s="196"/>
      <x:c r="BD39" s="196"/>
      <x:c r="BE39" s="196"/>
      <x:c r="BF39" s="196"/>
      <x:c r="BG39" s="196"/>
      <x:c r="BH39" s="196"/>
      <x:c r="BI39" s="196"/>
      <x:c r="BJ39" s="196"/>
    </x:row>
    <x:row r="40" ht="20" customHeight="1">
      <x:c r="A40" s="198" t="n">
        <x:v>9</x:v>
      </x:c>
      <x:c r="B40" s="198" t="str">
        <x:v>S09_HDH</x:v>
      </x:c>
      <x:c r="C40" s="198" t="str">
        <x:v>RAW 8.5V</x:v>
      </x:c>
      <x:c r="D40" s="198" t="str">
        <x:v>레이더(s)</x:v>
      </x:c>
      <x:c r="E40" s="198" t="n">
        <x:v>22</x:v>
      </x:c>
      <x:c r="F40" s="198" t="n">
        <x:v>22</x:v>
      </x:c>
      <x:c r="G40" s="277" t="str">
        <x:v>자동 점검 통과</x:v>
      </x:c>
      <x:c r="H40" s="235"/>
      <x:c r="I40" s="184" t="n">
        <x:v>29.282666666666664</x:v>
      </x:c>
      <x:c r="J40" s="184"/>
      <x:c r="K40" s="235"/>
      <x:c r="L40" s="184" t="n">
        <x:v>224.39866666666666</x:v>
      </x:c>
      <x:c r="M40" s="265"/>
      <x:c r="N40" s="184" t="n">
        <x:v>287.128</x:v>
      </x:c>
      <x:c r="O40" s="184"/>
      <x:c r="P40" s="184"/>
      <x:c r="Q40" s="184"/>
      <x:c r="R40" s="184"/>
      <x:c r="S40" s="184"/>
      <x:c r="T40" s="184"/>
      <x:c r="U40" s="265"/>
      <x:c r="V40" s="184" t="n">
        <x:v>661.996</x:v>
      </x:c>
      <x:c r="W40" s="266"/>
      <x:c r="X40" s="184" t="n">
        <x:v>797.7679999999999</x:v>
      </x:c>
      <x:c r="Y40" s="266"/>
      <x:c r="Z40" s="184" t="n">
        <x:v>819.062</x:v>
      </x:c>
      <x:c r="AA40" s="266"/>
      <x:c r="AB40" s="268" t="n">
        <x:v>839.3786666666667</x:v>
      </x:c>
      <x:c r="AC40" s="184" t="n">
        <x:v>856.1709999999999</x:v>
      </x:c>
      <x:c r="AD40" s="219"/>
      <x:c r="AE40" s="184"/>
      <x:c r="AF40" s="270" t="n">
        <x:v>966.712</x:v>
      </x:c>
      <x:c r="AG40" s="270" t="n">
        <x:v>984.5200000000001</x:v>
      </x:c>
      <x:c r="AH40" s="184" t="n">
        <x:v>1002.9860000000001</x:v>
      </x:c>
      <x:c r="AI40" s="184"/>
      <x:c r="AJ40" s="219"/>
      <x:c r="AK40" s="270" t="n">
        <x:v>1051.6620000000003</x:v>
      </x:c>
      <x:c r="AL40" s="184" t="n">
        <x:v>1063.7306666666668</x:v>
      </x:c>
      <x:c r="AM40" s="219"/>
      <x:c r="AN40" s="184" t="n">
        <x:v>1113.1533333333334</x:v>
      </x:c>
      <x:c r="AO40" s="219"/>
      <x:c r="AP40" s="270" t="n">
        <x:v>1136.8432000000003</x:v>
      </x:c>
      <x:c r="AQ40" s="184" t="n">
        <x:v>1149.174</x:v>
      </x:c>
      <x:c r="AR40" s="272"/>
      <x:c r="AS40" s="184" t="n">
        <x:v>1222.1548571428573</x:v>
      </x:c>
      <x:c r="AT40" s="272"/>
      <x:c r="AU40" s="184" t="n">
        <x:v>1409.506</x:v>
      </x:c>
      <x:c r="AV40" s="274"/>
      <x:c r="AW40" s="184" t="n">
        <x:v>1459.1033333333332</x:v>
      </x:c>
      <x:c r="AX40" s="274"/>
      <x:c r="AY40" s="184" t="n">
        <x:v>1487.696</x:v>
      </x:c>
      <x:c r="AZ40" s="241"/>
      <x:c r="BA40" s="231" t="n">
        <x:v>1513.5</x:v>
      </x:c>
      <x:c r="BB40" s="184"/>
      <x:c r="BC40" s="184"/>
      <x:c r="BD40" s="184"/>
      <x:c r="BE40" s="184"/>
      <x:c r="BF40" s="184"/>
      <x:c r="BG40" s="184"/>
      <x:c r="BH40" s="184"/>
      <x:c r="BI40" s="184"/>
      <x:c r="BJ40" s="184"/>
    </x:row>
    <x:row r="41" ht="20" customHeight="1">
      <x:c r="A41" s="190"/>
      <x:c r="B41" s="190"/>
      <x:c r="C41" s="190" t="str">
        <x:v>전수 후보</x:v>
      </x:c>
      <x:c r="D41" s="190" t="str">
        <x:v>레이더(s)</x:v>
      </x:c>
      <x:c r="E41" s="190"/>
      <x:c r="F41" s="190"/>
      <x:c r="G41" s="190"/>
      <x:c r="H41" s="235" t="n">
        <x:v>16.915000000000067</x:v>
      </x:c>
      <x:c r="I41" s="184"/>
      <x:c r="J41" s="184" t="n">
        <x:v>85.33600000000007</x:v>
      </x:c>
      <x:c r="K41" s="235" t="n">
        <x:v>209.8240000000001</x:v>
      </x:c>
      <x:c r="L41" s="184"/>
      <x:c r="M41" s="265" t="n">
        <x:v>272.42800000000005</x:v>
      </x:c>
      <x:c r="N41" s="184"/>
      <x:c r="O41" s="184" t="n">
        <x:v>354.04</x:v>
      </x:c>
      <x:c r="P41" s="184" t="n">
        <x:v>363.636</x:v>
      </x:c>
      <x:c r="Q41" s="184" t="n">
        <x:v>373.684</x:v>
      </x:c>
      <x:c r="R41" s="184" t="n">
        <x:v>393.14400000000006</x:v>
      </x:c>
      <x:c r="S41" s="184" t="n">
        <x:v>435.684</x:v>
      </x:c>
      <x:c r="T41" s="184" t="n">
        <x:v>496.48</x:v>
      </x:c>
      <x:c r="U41" s="265" t="n">
        <x:v>647.296</x:v>
      </x:c>
      <x:c r="V41" s="184"/>
      <x:c r="W41" s="266" t="n">
        <x:v>781.8704</x:v>
      </x:c>
      <x:c r="X41" s="184"/>
      <x:c r="Y41" s="266" t="n">
        <x:v>803.275</x:v>
      </x:c>
      <x:c r="Z41" s="184"/>
      <x:c r="AA41" s="266" t="n">
        <x:v>825.5600000000001</x:v>
      </x:c>
      <x:c r="AB41" s="268" t="n">
        <x:v>841.4920000000001</x:v>
      </x:c>
      <x:c r="AC41" s="184"/>
      <x:c r="AD41" s="219" t="n">
        <x:v>951.8020000000001</x:v>
      </x:c>
      <x:c r="AE41" s="214" t="n">
        <x:v>960.724</x:v>
      </x:c>
      <x:c r="AF41" s="270" t="n">
        <x:v>969.796</x:v>
      </x:c>
      <x:c r="AG41" s="270" t="n">
        <x:v>987.9432000000002</x:v>
      </x:c>
      <x:c r="AH41" s="184"/>
      <x:c r="AI41" s="214" t="n">
        <x:v>1030.2440000000001</x:v>
      </x:c>
      <x:c r="AJ41" s="219" t="n">
        <x:v>1036.132</x:v>
      </x:c>
      <x:c r="AK41" s="219" t="n">
        <x:v>1049.458</x:v>
      </x:c>
      <x:c r="AL41" s="184"/>
      <x:c r="AM41" s="219" t="n">
        <x:v>1099.0800000000002</x:v>
      </x:c>
      <x:c r="AN41" s="184"/>
      <x:c r="AO41" s="219" t="n">
        <x:v>1121.848</x:v>
      </x:c>
      <x:c r="AP41" s="219" t="n">
        <x:v>1134.6333333333334</x:v>
      </x:c>
      <x:c r="AQ41" s="184"/>
      <x:c r="AR41" s="272" t="n">
        <x:v>1206.624</x:v>
      </x:c>
      <x:c r="AS41" s="184"/>
      <x:c r="AT41" s="272" t="n">
        <x:v>1394.844</x:v>
      </x:c>
      <x:c r="AU41" s="184"/>
      <x:c r="AV41" s="274" t="n">
        <x:v>1445.0352</x:v>
      </x:c>
      <x:c r="AW41" s="184"/>
      <x:c r="AX41" s="274" t="n">
        <x:v>1473.0453333333335</x:v>
      </x:c>
      <x:c r="AY41" s="184"/>
      <x:c r="AZ41" s="241" t="n">
        <x:v>1499.3208000000002</x:v>
      </x:c>
      <x:c r="BA41" s="241" t="n">
        <x:v>1510.8770000000002</x:v>
      </x:c>
      <x:c r="BB41" s="184"/>
      <x:c r="BC41" s="184"/>
      <x:c r="BD41" s="184"/>
      <x:c r="BE41" s="184"/>
      <x:c r="BF41" s="184"/>
      <x:c r="BG41" s="184"/>
      <x:c r="BH41" s="184"/>
      <x:c r="BI41" s="184"/>
      <x:c r="BJ41" s="184"/>
    </x:row>
    <x:row r="42" ht="20" customHeight="1">
      <x:c r="A42" s="190"/>
      <x:c r="B42" s="190"/>
      <x:c r="C42" s="190" t="str">
        <x:v>선택값</x:v>
      </x:c>
      <x:c r="D42" s="190" t="str">
        <x:v>레이더(s)</x:v>
      </x:c>
      <x:c r="E42" s="190"/>
      <x:c r="F42" s="190"/>
      <x:c r="G42" s="190"/>
      <x:c r="H42" s="235" t="n">
        <x:v>16.915</x:v>
      </x:c>
      <x:c r="I42" s="184"/>
      <x:c r="J42" s="184"/>
      <x:c r="K42" s="235" t="n">
        <x:v>209.824</x:v>
      </x:c>
      <x:c r="L42" s="184"/>
      <x:c r="M42" s="265" t="n">
        <x:v>272.428</x:v>
      </x:c>
      <x:c r="N42" s="184"/>
      <x:c r="O42" s="184"/>
      <x:c r="P42" s="184"/>
      <x:c r="Q42" s="184"/>
      <x:c r="R42" s="184"/>
      <x:c r="S42" s="184"/>
      <x:c r="T42" s="184"/>
      <x:c r="U42" s="265" t="n">
        <x:v>647.296</x:v>
      </x:c>
      <x:c r="V42" s="184"/>
      <x:c r="W42" s="266" t="n">
        <x:v>781.87</x:v>
      </x:c>
      <x:c r="X42" s="184"/>
      <x:c r="Y42" s="266" t="n">
        <x:v>803.275</x:v>
      </x:c>
      <x:c r="Z42" s="184"/>
      <x:c r="AA42" s="266" t="n">
        <x:v>825.56</x:v>
      </x:c>
      <x:c r="AB42" s="268" t="n">
        <x:v>841.492</x:v>
      </x:c>
      <x:c r="AC42" s="184"/>
      <x:c r="AD42" s="219" t="n">
        <x:v>951.802</x:v>
      </x:c>
      <x:c r="AE42" s="184"/>
      <x:c r="AF42" s="270" t="n">
        <x:v>969.796</x:v>
      </x:c>
      <x:c r="AG42" s="270" t="n">
        <x:v>987.943</x:v>
      </x:c>
      <x:c r="AH42" s="184"/>
      <x:c r="AI42" s="184"/>
      <x:c r="AJ42" s="219" t="n">
        <x:v>1036.132</x:v>
      </x:c>
      <x:c r="AK42" s="270" t="n">
        <x:v>1049.458</x:v>
      </x:c>
      <x:c r="AL42" s="184"/>
      <x:c r="AM42" s="219" t="n">
        <x:v>1099.08</x:v>
      </x:c>
      <x:c r="AN42" s="184"/>
      <x:c r="AO42" s="219" t="n">
        <x:v>1121.848</x:v>
      </x:c>
      <x:c r="AP42" s="270" t="n">
        <x:v>1134.633</x:v>
      </x:c>
      <x:c r="AQ42" s="184"/>
      <x:c r="AR42" s="272" t="n">
        <x:v>1206.624</x:v>
      </x:c>
      <x:c r="AS42" s="184"/>
      <x:c r="AT42" s="272" t="n">
        <x:v>1394.844</x:v>
      </x:c>
      <x:c r="AU42" s="184"/>
      <x:c r="AV42" s="274" t="n">
        <x:v>1445.035</x:v>
      </x:c>
      <x:c r="AW42" s="184"/>
      <x:c r="AX42" s="274" t="n">
        <x:v>1473.045</x:v>
      </x:c>
      <x:c r="AY42" s="184"/>
      <x:c r="AZ42" s="241" t="n">
        <x:v>1499.321</x:v>
      </x:c>
      <x:c r="BA42" s="231" t="n">
        <x:v>1510.877</x:v>
      </x:c>
      <x:c r="BB42" s="184"/>
      <x:c r="BC42" s="184"/>
      <x:c r="BD42" s="184"/>
      <x:c r="BE42" s="184"/>
      <x:c r="BF42" s="184"/>
      <x:c r="BG42" s="184"/>
      <x:c r="BH42" s="184"/>
      <x:c r="BI42" s="184"/>
      <x:c r="BJ42" s="184"/>
    </x:row>
    <x:row r="43" ht="34" customHeight="1">
      <x:c r="A43" s="195"/>
      <x:c r="B43" s="195"/>
      <x:c r="C43" s="195" t="str">
        <x:v>M번호 / 시나리오</x:v>
      </x:c>
      <x:c r="D43" s="195" t="str">
        <x:v>레이더(s)</x:v>
      </x:c>
      <x:c r="E43" s="195"/>
      <x:c r="F43" s="195"/>
      <x:c r="G43" s="195"/>
      <x:c r="H43" s="236" t="str">
        <x:v>M01 1 시작</x:v>
      </x:c>
      <x:c r="I43" s="196"/>
      <x:c r="J43" s="196"/>
      <x:c r="K43" s="236" t="str">
        <x:v>M02 1 종료</x:v>
      </x:c>
      <x:c r="L43" s="196"/>
      <x:c r="M43" s="278" t="str">
        <x:v>M03 2 시작</x:v>
      </x:c>
      <x:c r="N43" s="196"/>
      <x:c r="O43" s="196"/>
      <x:c r="P43" s="196"/>
      <x:c r="Q43" s="196"/>
      <x:c r="R43" s="196"/>
      <x:c r="S43" s="196"/>
      <x:c r="T43" s="196"/>
      <x:c r="U43" s="278" t="str">
        <x:v>M04 2 종료</x:v>
      </x:c>
      <x:c r="V43" s="196"/>
      <x:c r="W43" s="267" t="str">
        <x:v>M05 3-1 시작</x:v>
      </x:c>
      <x:c r="X43" s="196"/>
      <x:c r="Y43" s="267" t="str">
        <x:v>M06 3-1 종료</x:v>
      </x:c>
      <x:c r="Z43" s="196"/>
      <x:c r="AA43" s="267" t="str">
        <x:v>M07 3-2 시작</x:v>
      </x:c>
      <x:c r="AB43" s="269" t="str">
        <x:v>M08 3-2 종료</x:v>
      </x:c>
      <x:c r="AC43" s="196"/>
      <x:c r="AD43" s="220" t="str">
        <x:v>M09 4-1 시작</x:v>
      </x:c>
      <x:c r="AE43" s="196"/>
      <x:c r="AF43" s="271" t="str">
        <x:v>M10 4-1 종료</x:v>
      </x:c>
      <x:c r="AG43" s="271" t="str">
        <x:v>M11 4-2 시작</x:v>
      </x:c>
      <x:c r="AH43" s="196"/>
      <x:c r="AI43" s="196"/>
      <x:c r="AJ43" s="220" t="str">
        <x:v>M12 4-2 종료</x:v>
      </x:c>
      <x:c r="AK43" s="271" t="str">
        <x:v>M13 4-3 시작</x:v>
      </x:c>
      <x:c r="AL43" s="196"/>
      <x:c r="AM43" s="220" t="str">
        <x:v>M14 4-3 종료</x:v>
      </x:c>
      <x:c r="AN43" s="196"/>
      <x:c r="AO43" s="220" t="str">
        <x:v>M15 4-4 시작</x:v>
      </x:c>
      <x:c r="AP43" s="271" t="str">
        <x:v>M16 4-4 종료</x:v>
      </x:c>
      <x:c r="AQ43" s="196"/>
      <x:c r="AR43" s="273" t="str">
        <x:v>M17 5 시작</x:v>
      </x:c>
      <x:c r="AS43" s="196"/>
      <x:c r="AT43" s="273" t="str">
        <x:v>M18 5 종료</x:v>
      </x:c>
      <x:c r="AU43" s="196"/>
      <x:c r="AV43" s="275" t="str">
        <x:v>M19 6 시작</x:v>
      </x:c>
      <x:c r="AW43" s="196"/>
      <x:c r="AX43" s="275" t="str">
        <x:v>M20 6 종료</x:v>
      </x:c>
      <x:c r="AY43" s="196"/>
      <x:c r="AZ43" s="279" t="str">
        <x:v>M21 7 시작</x:v>
      </x:c>
      <x:c r="BA43" s="232" t="str">
        <x:v>M22 7 종료</x:v>
      </x:c>
      <x:c r="BB43" s="196"/>
      <x:c r="BC43" s="196"/>
      <x:c r="BD43" s="196"/>
      <x:c r="BE43" s="196"/>
      <x:c r="BF43" s="196"/>
      <x:c r="BG43" s="196"/>
      <x:c r="BH43" s="196"/>
      <x:c r="BI43" s="196"/>
      <x:c r="BJ43" s="196"/>
    </x:row>
    <x:row r="44" ht="20" customHeight="1">
      <x:c r="A44" s="198" t="n">
        <x:v>10</x:v>
      </x:c>
      <x:c r="B44" s="198" t="str">
        <x:v>S10_JKH</x:v>
      </x:c>
      <x:c r="C44" s="198" t="str">
        <x:v>RAW 8.5V</x:v>
      </x:c>
      <x:c r="D44" s="198" t="str">
        <x:v>레이더(s)</x:v>
      </x:c>
      <x:c r="E44" s="198" t="n">
        <x:v>22</x:v>
      </x:c>
      <x:c r="F44" s="198" t="n">
        <x:v>22</x:v>
      </x:c>
      <x:c r="G44" s="262" t="str">
        <x:v>대체 후보 있음</x:v>
      </x:c>
      <x:c r="H44" s="184" t="n">
        <x:v>20.744</x:v>
      </x:c>
      <x:c r="I44" s="235"/>
      <x:c r="J44" s="184" t="n">
        <x:v>207.06799999999998</x:v>
      </x:c>
      <x:c r="K44" s="263" t="n">
        <x:v>215.304</x:v>
      </x:c>
      <x:c r="L44" s="208" t="n">
        <x:v>245.244</x:v>
      </x:c>
      <x:c r="M44" s="184"/>
      <x:c r="N44" s="184"/>
      <x:c r="O44" s="184" t="n">
        <x:v>620.424</x:v>
      </x:c>
      <x:c r="P44" s="265"/>
      <x:c r="Q44" s="184" t="n">
        <x:v>647.272</x:v>
      </x:c>
      <x:c r="R44" s="266"/>
      <x:c r="S44" s="184" t="n">
        <x:v>662.114</x:v>
      </x:c>
      <x:c r="T44" s="266"/>
      <x:c r="U44" s="184" t="n">
        <x:v>679.224</x:v>
      </x:c>
      <x:c r="V44" s="266"/>
      <x:c r="W44" s="184" t="n">
        <x:v>695.984</x:v>
      </x:c>
      <x:c r="X44" s="266"/>
      <x:c r="Y44" s="184" t="n">
        <x:v>746.316</x:v>
      </x:c>
      <x:c r="Z44" s="219"/>
      <x:c r="AA44" s="184" t="n">
        <x:v>759.76</x:v>
      </x:c>
      <x:c r="AB44" s="219"/>
      <x:c r="AC44" s="184" t="n">
        <x:v>772.116</x:v>
      </x:c>
      <x:c r="AD44" s="219"/>
      <x:c r="AE44" s="184" t="n">
        <x:v>813.712</x:v>
      </x:c>
      <x:c r="AF44" s="184" t="n">
        <x:v>818.288</x:v>
      </x:c>
      <x:c r="AG44" s="219"/>
      <x:c r="AH44" s="184" t="n">
        <x:v>829.8960000000001</x:v>
      </x:c>
      <x:c r="AI44" s="219"/>
      <x:c r="AJ44" s="219" t="n">
        <x:v>876.472</x:v>
      </x:c>
      <x:c r="AK44" s="219"/>
      <x:c r="AL44" s="184" t="n">
        <x:v>891.1</x:v>
      </x:c>
      <x:c r="AM44" s="184"/>
      <x:c r="AN44" s="184" t="n">
        <x:v>905.1320000000001</x:v>
      </x:c>
      <x:c r="AO44" s="219"/>
      <x:c r="AP44" s="184" t="n">
        <x:v>929.388</x:v>
      </x:c>
      <x:c r="AQ44" s="272"/>
      <x:c r="AR44" s="184" t="n">
        <x:v>1112.552</x:v>
      </x:c>
      <x:c r="AS44" s="272"/>
      <x:c r="AT44" s="184" t="n">
        <x:v>1129.2079999999999</x:v>
      </x:c>
      <x:c r="AU44" s="274"/>
      <x:c r="AV44" s="184" t="n">
        <x:v>1152.8</x:v>
      </x:c>
      <x:c r="AW44" s="274"/>
      <x:c r="AX44" s="184" t="n">
        <x:v>1168.264</x:v>
      </x:c>
      <x:c r="AY44" s="241"/>
      <x:c r="AZ44" s="184" t="n">
        <x:v>1180.7419999999997</x:v>
      </x:c>
      <x:c r="BA44" s="241"/>
      <x:c r="BB44" s="184"/>
      <x:c r="BC44" s="184"/>
      <x:c r="BD44" s="184"/>
      <x:c r="BE44" s="184"/>
      <x:c r="BF44" s="184"/>
      <x:c r="BG44" s="184"/>
      <x:c r="BH44" s="184"/>
      <x:c r="BI44" s="184"/>
      <x:c r="BJ44" s="184"/>
    </x:row>
    <x:row r="45" ht="20" customHeight="1">
      <x:c r="A45" s="190"/>
      <x:c r="B45" s="190"/>
      <x:c r="C45" s="190" t="str">
        <x:v>전수 후보</x:v>
      </x:c>
      <x:c r="D45" s="190" t="str">
        <x:v>레이더(s)</x:v>
      </x:c>
      <x:c r="E45" s="190"/>
      <x:c r="F45" s="190"/>
      <x:c r="G45" s="190"/>
      <x:c r="H45" s="184"/>
      <x:c r="I45" s="235" t="n">
        <x:v>26.144000000000062</x:v>
      </x:c>
      <x:c r="J45" s="184"/>
      <x:c r="K45" s="263" t="n">
        <x:v>212.46800000000005</x:v>
      </x:c>
      <x:c r="L45" s="208" t="n">
        <x:v>244.70000000000005</x:v>
      </x:c>
      <x:c r="M45" s="214" t="n">
        <x:v>250.64400000000006</x:v>
      </x:c>
      <x:c r="N45" s="184" t="n">
        <x:v>547.9320000000001</x:v>
      </x:c>
      <x:c r="O45" s="184"/>
      <x:c r="P45" s="265" t="n">
        <x:v>625.8240000000001</x:v>
      </x:c>
      <x:c r="Q45" s="184"/>
      <x:c r="R45" s="266" t="n">
        <x:v>652.6720000000001</x:v>
      </x:c>
      <x:c r="S45" s="184"/>
      <x:c r="T45" s="266" t="n">
        <x:v>666.1960000000001</x:v>
      </x:c>
      <x:c r="U45" s="184"/>
      <x:c r="V45" s="266" t="n">
        <x:v>684.6240000000001</x:v>
      </x:c>
      <x:c r="W45" s="184"/>
      <x:c r="X45" s="266" t="n">
        <x:v>701.3840000000001</x:v>
      </x:c>
      <x:c r="Y45" s="184"/>
      <x:c r="Z45" s="219" t="n">
        <x:v>751.7160000000001</x:v>
      </x:c>
      <x:c r="AA45" s="184"/>
      <x:c r="AB45" s="219" t="n">
        <x:v>765.1600000000001</x:v>
      </x:c>
      <x:c r="AC45" s="184"/>
      <x:c r="AD45" s="219" t="n">
        <x:v>777.5160000000001</x:v>
      </x:c>
      <x:c r="AE45" s="184"/>
      <x:c r="AF45" s="214" t="n">
        <x:v>819.1120000000001</x:v>
      </x:c>
      <x:c r="AG45" s="219" t="n">
        <x:v>823.6880000000001</x:v>
      </x:c>
      <x:c r="AH45" s="184"/>
      <x:c r="AI45" s="219" t="n">
        <x:v>835.2960000000002</x:v>
      </x:c>
      <x:c r="AJ45" s="219" t="n">
        <x:v>877.6040000000002</x:v>
      </x:c>
      <x:c r="AK45" s="219" t="n">
        <x:v>881.8720000000001</x:v>
      </x:c>
      <x:c r="AL45" s="184"/>
      <x:c r="AM45" s="214" t="n">
        <x:v>896.5000000000001</x:v>
      </x:c>
      <x:c r="AN45" s="184"/>
      <x:c r="AO45" s="219" t="n">
        <x:v>910.5320000000002</x:v>
      </x:c>
      <x:c r="AP45" s="184"/>
      <x:c r="AQ45" s="272" t="n">
        <x:v>934.7880000000001</x:v>
      </x:c>
      <x:c r="AR45" s="184"/>
      <x:c r="AS45" s="272" t="n">
        <x:v>1117.952</x:v>
      </x:c>
      <x:c r="AT45" s="184"/>
      <x:c r="AU45" s="274" t="n">
        <x:v>1134.608</x:v>
      </x:c>
      <x:c r="AV45" s="184"/>
      <x:c r="AW45" s="274" t="n">
        <x:v>1158.2</x:v>
      </x:c>
      <x:c r="AX45" s="184"/>
      <x:c r="AY45" s="241" t="n">
        <x:v>1173.664</x:v>
      </x:c>
      <x:c r="AZ45" s="184"/>
      <x:c r="BA45" s="241" t="n">
        <x:v>1187.068</x:v>
      </x:c>
      <x:c r="BB45" s="184"/>
      <x:c r="BC45" s="184"/>
      <x:c r="BD45" s="184"/>
      <x:c r="BE45" s="184"/>
      <x:c r="BF45" s="184"/>
      <x:c r="BG45" s="184"/>
      <x:c r="BH45" s="184"/>
      <x:c r="BI45" s="184"/>
      <x:c r="BJ45" s="184"/>
    </x:row>
    <x:row r="46" ht="20" customHeight="1">
      <x:c r="A46" s="190"/>
      <x:c r="B46" s="190"/>
      <x:c r="C46" s="190" t="str">
        <x:v>선택값</x:v>
      </x:c>
      <x:c r="D46" s="190" t="str">
        <x:v>레이더(s)</x:v>
      </x:c>
      <x:c r="E46" s="190"/>
      <x:c r="F46" s="190"/>
      <x:c r="G46" s="190"/>
      <x:c r="H46" s="184"/>
      <x:c r="I46" s="235" t="n">
        <x:v>26.144</x:v>
      </x:c>
      <x:c r="J46" s="184"/>
      <x:c r="K46" s="263" t="n">
        <x:v>212.468</x:v>
      </x:c>
      <x:c r="L46" s="208" t="n">
        <x:v>244.7</x:v>
      </x:c>
      <x:c r="M46" s="184"/>
      <x:c r="N46" s="184"/>
      <x:c r="O46" s="184"/>
      <x:c r="P46" s="265" t="n">
        <x:v>625.824</x:v>
      </x:c>
      <x:c r="Q46" s="184"/>
      <x:c r="R46" s="266" t="n">
        <x:v>652.672</x:v>
      </x:c>
      <x:c r="S46" s="184"/>
      <x:c r="T46" s="266" t="n">
        <x:v>666.196</x:v>
      </x:c>
      <x:c r="U46" s="184"/>
      <x:c r="V46" s="266" t="n">
        <x:v>684.624</x:v>
      </x:c>
      <x:c r="W46" s="184"/>
      <x:c r="X46" s="266" t="n">
        <x:v>701.384</x:v>
      </x:c>
      <x:c r="Y46" s="184"/>
      <x:c r="Z46" s="219" t="n">
        <x:v>751.716</x:v>
      </x:c>
      <x:c r="AA46" s="184"/>
      <x:c r="AB46" s="219" t="n">
        <x:v>765.16</x:v>
      </x:c>
      <x:c r="AC46" s="184"/>
      <x:c r="AD46" s="219" t="n">
        <x:v>777.516</x:v>
      </x:c>
      <x:c r="AE46" s="184"/>
      <x:c r="AF46" s="184"/>
      <x:c r="AG46" s="219" t="n">
        <x:v>823.688</x:v>
      </x:c>
      <x:c r="AH46" s="184"/>
      <x:c r="AI46" s="219" t="n">
        <x:v>835.296</x:v>
      </x:c>
      <x:c r="AJ46" s="219" t="n">
        <x:v>877.604</x:v>
      </x:c>
      <x:c r="AK46" s="219" t="n">
        <x:v>881.872</x:v>
      </x:c>
      <x:c r="AL46" s="184"/>
      <x:c r="AM46" s="184"/>
      <x:c r="AN46" s="184"/>
      <x:c r="AO46" s="219" t="n">
        <x:v>910.532</x:v>
      </x:c>
      <x:c r="AP46" s="184"/>
      <x:c r="AQ46" s="272" t="n">
        <x:v>934.788</x:v>
      </x:c>
      <x:c r="AR46" s="184"/>
      <x:c r="AS46" s="272" t="n">
        <x:v>1117.952</x:v>
      </x:c>
      <x:c r="AT46" s="184"/>
      <x:c r="AU46" s="274" t="n">
        <x:v>1134.608</x:v>
      </x:c>
      <x:c r="AV46" s="184"/>
      <x:c r="AW46" s="274" t="n">
        <x:v>1158.2</x:v>
      </x:c>
      <x:c r="AX46" s="184"/>
      <x:c r="AY46" s="241" t="n">
        <x:v>1173.664</x:v>
      </x:c>
      <x:c r="AZ46" s="184"/>
      <x:c r="BA46" s="241" t="n">
        <x:v>1187.068</x:v>
      </x:c>
      <x:c r="BB46" s="184"/>
      <x:c r="BC46" s="184"/>
      <x:c r="BD46" s="184"/>
      <x:c r="BE46" s="184"/>
      <x:c r="BF46" s="184"/>
      <x:c r="BG46" s="184"/>
      <x:c r="BH46" s="184"/>
      <x:c r="BI46" s="184"/>
      <x:c r="BJ46" s="184"/>
    </x:row>
    <x:row r="47" ht="34" customHeight="1">
      <x:c r="A47" s="195"/>
      <x:c r="B47" s="195"/>
      <x:c r="C47" s="195" t="str">
        <x:v>M번호 / 시나리오</x:v>
      </x:c>
      <x:c r="D47" s="195" t="str">
        <x:v>레이더(s)</x:v>
      </x:c>
      <x:c r="E47" s="195"/>
      <x:c r="F47" s="195"/>
      <x:c r="G47" s="195"/>
      <x:c r="H47" s="196"/>
      <x:c r="I47" s="236" t="str">
        <x:v>M01 1 시작</x:v>
      </x:c>
      <x:c r="J47" s="196"/>
      <x:c r="K47" s="264" t="str">
        <x:v>M02 1 종료</x:v>
      </x:c>
      <x:c r="L47" s="209" t="str">
        <x:v>M03 2 시작</x:v>
      </x:c>
      <x:c r="M47" s="196"/>
      <x:c r="N47" s="196"/>
      <x:c r="O47" s="196"/>
      <x:c r="P47" s="278" t="str">
        <x:v>M04 2 종료</x:v>
      </x:c>
      <x:c r="Q47" s="196"/>
      <x:c r="R47" s="267" t="str">
        <x:v>M05 3-1 시작</x:v>
      </x:c>
      <x:c r="S47" s="196"/>
      <x:c r="T47" s="267" t="str">
        <x:v>M06 3-1 종료</x:v>
      </x:c>
      <x:c r="U47" s="196"/>
      <x:c r="V47" s="267" t="str">
        <x:v>M07 3-2 시작</x:v>
      </x:c>
      <x:c r="W47" s="196"/>
      <x:c r="X47" s="267" t="str">
        <x:v>M08 3-2 종료</x:v>
      </x:c>
      <x:c r="Y47" s="196"/>
      <x:c r="Z47" s="220" t="str">
        <x:v>M09 4-1 시작</x:v>
      </x:c>
      <x:c r="AA47" s="196"/>
      <x:c r="AB47" s="220" t="str">
        <x:v>M10 4-1 종료</x:v>
      </x:c>
      <x:c r="AC47" s="196"/>
      <x:c r="AD47" s="220" t="str">
        <x:v>M11 4-2 시작</x:v>
      </x:c>
      <x:c r="AE47" s="196"/>
      <x:c r="AF47" s="196"/>
      <x:c r="AG47" s="220" t="str">
        <x:v>M12 4-2 종료</x:v>
      </x:c>
      <x:c r="AH47" s="196"/>
      <x:c r="AI47" s="220" t="str">
        <x:v>M13 4-3 시작</x:v>
      </x:c>
      <x:c r="AJ47" s="220" t="str">
        <x:v>M14 4-3 종료</x:v>
      </x:c>
      <x:c r="AK47" s="220" t="str">
        <x:v>M15 4-4 시작</x:v>
      </x:c>
      <x:c r="AL47" s="196"/>
      <x:c r="AM47" s="196"/>
      <x:c r="AN47" s="196"/>
      <x:c r="AO47" s="220" t="str">
        <x:v>M16 4-4 종료</x:v>
      </x:c>
      <x:c r="AP47" s="196"/>
      <x:c r="AQ47" s="273" t="str">
        <x:v>M17 5 시작</x:v>
      </x:c>
      <x:c r="AR47" s="196"/>
      <x:c r="AS47" s="273" t="str">
        <x:v>M18 5 종료</x:v>
      </x:c>
      <x:c r="AT47" s="196"/>
      <x:c r="AU47" s="275" t="str">
        <x:v>M19 6 시작</x:v>
      </x:c>
      <x:c r="AV47" s="196"/>
      <x:c r="AW47" s="275" t="str">
        <x:v>M20 6 종료</x:v>
      </x:c>
      <x:c r="AX47" s="196"/>
      <x:c r="AY47" s="279" t="str">
        <x:v>M21 7 시작</x:v>
      </x:c>
      <x:c r="AZ47" s="196"/>
      <x:c r="BA47" s="279" t="str">
        <x:v>M22 7 종료</x:v>
      </x:c>
      <x:c r="BB47" s="196"/>
      <x:c r="BC47" s="196"/>
      <x:c r="BD47" s="196"/>
      <x:c r="BE47" s="196"/>
      <x:c r="BF47" s="196"/>
      <x:c r="BG47" s="196"/>
      <x:c r="BH47" s="196"/>
      <x:c r="BI47" s="196"/>
      <x:c r="BJ47" s="196"/>
    </x:row>
    <x:row r="48" ht="20" customHeight="1">
      <x:c r="A48" s="198" t="n">
        <x:v>11</x:v>
      </x:c>
      <x:c r="B48" s="198" t="str">
        <x:v>S11_SJE</x:v>
      </x:c>
      <x:c r="C48" s="198" t="str">
        <x:v>RAW 8.5V</x:v>
      </x:c>
      <x:c r="D48" s="198" t="str">
        <x:v>레이더(s)</x:v>
      </x:c>
      <x:c r="E48" s="198" t="n">
        <x:v>22</x:v>
      </x:c>
      <x:c r="F48" s="198" t="n">
        <x:v>22</x:v>
      </x:c>
      <x:c r="G48" s="243" t="str">
        <x:v>후보군 검토 필요</x:v>
      </x:c>
      <x:c r="H48" s="244" t="n">
        <x:v>17.929000000000002</x:v>
      </x:c>
      <x:c r="I48" s="244"/>
      <x:c r="J48" s="184" t="n">
        <x:v>213.658</x:v>
      </x:c>
      <x:c r="K48" s="246"/>
      <x:c r="L48" s="184" t="n">
        <x:v>263.916</x:v>
      </x:c>
      <x:c r="M48" s="184"/>
      <x:c r="N48" s="246" t="n">
        <x:v>638.916</x:v>
      </x:c>
      <x:c r="O48" s="248"/>
      <x:c r="P48" s="248"/>
      <x:c r="Q48" s="248" t="n">
        <x:v>793.2520000000001</x:v>
      </x:c>
      <x:c r="R48" s="248" t="n">
        <x:v>805.368</x:v>
      </x:c>
      <x:c r="S48" s="251"/>
      <x:c r="T48" s="184" t="n">
        <x:v>899.924</x:v>
      </x:c>
      <x:c r="U48" s="251"/>
      <x:c r="V48" s="251"/>
      <x:c r="W48" s="251" t="n">
        <x:v>912.668</x:v>
      </x:c>
      <x:c r="X48" s="251"/>
      <x:c r="Y48" s="251"/>
      <x:c r="Z48" s="251"/>
      <x:c r="AA48" s="251"/>
      <x:c r="AB48" s="254"/>
      <x:c r="AC48" s="254"/>
      <x:c r="AD48" s="257"/>
      <x:c r="AE48" s="257"/>
      <x:c r="AF48" s="259"/>
      <x:c r="AG48" s="184"/>
      <x:c r="AH48" s="184" t="n">
        <x:v>1401.52</x:v>
      </x:c>
      <x:c r="AI48" s="184"/>
      <x:c r="AJ48" s="184"/>
      <x:c r="AK48" s="259"/>
      <x:c r="AL48" s="184"/>
      <x:c r="AM48" s="184"/>
      <x:c r="AN48" s="184"/>
      <x:c r="AO48" s="184"/>
      <x:c r="AP48" s="184"/>
      <x:c r="AQ48" s="184"/>
      <x:c r="AR48" s="184"/>
      <x:c r="AS48" s="184"/>
      <x:c r="AT48" s="184"/>
      <x:c r="AU48" s="184"/>
      <x:c r="AV48" s="184"/>
      <x:c r="AW48" s="184"/>
      <x:c r="AX48" s="184"/>
      <x:c r="AY48" s="184"/>
      <x:c r="AZ48" s="184"/>
      <x:c r="BA48" s="184"/>
      <x:c r="BB48" s="184"/>
      <x:c r="BC48" s="184"/>
      <x:c r="BD48" s="184"/>
      <x:c r="BE48" s="184"/>
      <x:c r="BF48" s="184"/>
      <x:c r="BG48" s="184"/>
      <x:c r="BH48" s="184"/>
      <x:c r="BI48" s="184"/>
      <x:c r="BJ48" s="184"/>
    </x:row>
    <x:row r="49" ht="20" customHeight="1">
      <x:c r="A49" s="190"/>
      <x:c r="B49" s="190"/>
      <x:c r="C49" s="190" t="str">
        <x:v>전수 후보</x:v>
      </x:c>
      <x:c r="D49" s="190" t="str">
        <x:v>레이더(s)</x:v>
      </x:c>
      <x:c r="E49" s="190"/>
      <x:c r="F49" s="190"/>
      <x:c r="G49" s="190"/>
      <x:c r="H49" s="244" t="n">
        <x:v>15.264000000000037</x:v>
      </x:c>
      <x:c r="I49" s="244" t="n">
        <x:v>207.4813333333334</x:v>
      </x:c>
      <x:c r="J49" s="184"/>
      <x:c r="K49" s="246" t="n">
        <x:v>260.616</x:v>
      </x:c>
      <x:c r="L49" s="214" t="n">
        <x:v>266.108</x:v>
      </x:c>
      <x:c r="M49" s="184" t="n">
        <x:v>492.04</x:v>
      </x:c>
      <x:c r="N49" s="246" t="n">
        <x:v>635.6160000000001</x:v>
      </x:c>
      <x:c r="O49" s="250" t="n">
        <x:v>759.2120000000001</x:v>
      </x:c>
      <x:c r="P49" s="250" t="n">
        <x:v>771.8960000000001</x:v>
      </x:c>
      <x:c r="Q49" s="250" t="n">
        <x:v>791.696</x:v>
      </x:c>
      <x:c r="R49" s="250" t="n">
        <x:v>802.0680000000001</x:v>
      </x:c>
      <x:c r="S49" s="253" t="n">
        <x:v>894.912</x:v>
      </x:c>
      <x:c r="T49" s="184"/>
      <x:c r="U49" s="253" t="n">
        <x:v>903.9720000000001</x:v>
      </x:c>
      <x:c r="V49" s="253" t="n">
        <x:v>909.368</x:v>
      </x:c>
      <x:c r="W49" s="253" t="n">
        <x:v>914.0920000000001</x:v>
      </x:c>
      <x:c r="X49" s="253" t="n">
        <x:v>938.5920000000001</x:v>
      </x:c>
      <x:c r="Y49" s="253" t="n">
        <x:v>950.2700000000001</x:v>
      </x:c>
      <x:c r="Z49" s="253" t="n">
        <x:v>957.388</x:v>
      </x:c>
      <x:c r="AA49" s="251" t="n">
        <x:v>1011.2160000000001</x:v>
      </x:c>
      <x:c r="AB49" s="256" t="n">
        <x:v>1044.084</x:v>
      </x:c>
      <x:c r="AC49" s="256" t="n">
        <x:v>1049.052</x:v>
      </x:c>
      <x:c r="AD49" s="280" t="n">
        <x:v>1062.816</x:v>
      </x:c>
      <x:c r="AE49" s="280" t="n">
        <x:v>1072.508</x:v>
      </x:c>
      <x:c r="AF49" s="259" t="n">
        <x:v>1158.956</x:v>
      </x:c>
      <x:c r="AG49" s="184" t="n">
        <x:v>1397.452</x:v>
      </x:c>
      <x:c r="AH49" s="184"/>
      <x:c r="AI49" s="184" t="n">
        <x:v>1417.82</x:v>
      </x:c>
      <x:c r="AJ49" s="214" t="n">
        <x:v>1448.86</x:v>
      </x:c>
      <x:c r="AK49" s="259" t="n">
        <x:v>1461.282</x:v>
      </x:c>
      <x:c r="AL49" s="184"/>
      <x:c r="AM49" s="184"/>
      <x:c r="AN49" s="184"/>
      <x:c r="AO49" s="184"/>
      <x:c r="AP49" s="184"/>
      <x:c r="AQ49" s="184"/>
      <x:c r="AR49" s="184"/>
      <x:c r="AS49" s="184"/>
      <x:c r="AT49" s="184"/>
      <x:c r="AU49" s="184"/>
      <x:c r="AV49" s="184"/>
      <x:c r="AW49" s="184"/>
      <x:c r="AX49" s="184"/>
      <x:c r="AY49" s="184"/>
      <x:c r="AZ49" s="184"/>
      <x:c r="BA49" s="184"/>
      <x:c r="BB49" s="184"/>
      <x:c r="BC49" s="184"/>
      <x:c r="BD49" s="184"/>
      <x:c r="BE49" s="184"/>
      <x:c r="BF49" s="184"/>
      <x:c r="BG49" s="184"/>
      <x:c r="BH49" s="184"/>
      <x:c r="BI49" s="184"/>
      <x:c r="BJ49" s="184"/>
    </x:row>
    <x:row r="50" ht="20" customHeight="1">
      <x:c r="A50" s="190"/>
      <x:c r="B50" s="190"/>
      <x:c r="C50" s="190" t="str">
        <x:v>추천값(미확정)</x:v>
      </x:c>
      <x:c r="D50" s="190" t="str">
        <x:v>레이더(s)</x:v>
      </x:c>
      <x:c r="E50" s="190"/>
      <x:c r="F50" s="190"/>
      <x:c r="G50" s="190"/>
      <x:c r="H50" s="244" t="n">
        <x:v>15.264</x:v>
      </x:c>
      <x:c r="I50" s="244" t="n">
        <x:v>207.481</x:v>
      </x:c>
      <x:c r="J50" s="184"/>
      <x:c r="K50" s="246" t="n">
        <x:v>260.616</x:v>
      </x:c>
      <x:c r="L50" s="184"/>
      <x:c r="M50" s="184"/>
      <x:c r="N50" s="246" t="n">
        <x:v>635.616</x:v>
      </x:c>
      <x:c r="O50" s="248" t="n">
        <x:v>759.212</x:v>
      </x:c>
      <x:c r="P50" s="248" t="n">
        <x:v>771.896</x:v>
      </x:c>
      <x:c r="Q50" s="248" t="n">
        <x:v>791.696</x:v>
      </x:c>
      <x:c r="R50" s="248" t="n">
        <x:v>802.068</x:v>
      </x:c>
      <x:c r="S50" s="251" t="n">
        <x:v>894.912</x:v>
      </x:c>
      <x:c r="T50" s="184"/>
      <x:c r="U50" s="251" t="n">
        <x:v>903.972</x:v>
      </x:c>
      <x:c r="V50" s="251" t="n">
        <x:v>909.368</x:v>
      </x:c>
      <x:c r="W50" s="251" t="n">
        <x:v>914.092</x:v>
      </x:c>
      <x:c r="X50" s="251" t="n">
        <x:v>938.592</x:v>
      </x:c>
      <x:c r="Y50" s="251" t="n">
        <x:v>950.27</x:v>
      </x:c>
      <x:c r="Z50" s="251" t="n">
        <x:v>957.388</x:v>
      </x:c>
      <x:c r="AA50" s="251" t="n">
        <x:v>1011.216</x:v>
      </x:c>
      <x:c r="AB50" s="254" t="n">
        <x:v>1044.084</x:v>
      </x:c>
      <x:c r="AC50" s="254" t="n">
        <x:v>1049.052</x:v>
      </x:c>
      <x:c r="AD50" s="257" t="n">
        <x:v>1062.816</x:v>
      </x:c>
      <x:c r="AE50" s="257" t="n">
        <x:v>1072.508</x:v>
      </x:c>
      <x:c r="AF50" s="259" t="n">
        <x:v>1158.956</x:v>
      </x:c>
      <x:c r="AG50" s="184"/>
      <x:c r="AH50" s="184"/>
      <x:c r="AI50" s="184"/>
      <x:c r="AJ50" s="184"/>
      <x:c r="AK50" s="259" t="n">
        <x:v>1461.282</x:v>
      </x:c>
      <x:c r="AL50" s="184"/>
      <x:c r="AM50" s="184"/>
      <x:c r="AN50" s="184"/>
      <x:c r="AO50" s="184"/>
      <x:c r="AP50" s="184"/>
      <x:c r="AQ50" s="184"/>
      <x:c r="AR50" s="184"/>
      <x:c r="AS50" s="184"/>
      <x:c r="AT50" s="184"/>
      <x:c r="AU50" s="184"/>
      <x:c r="AV50" s="184"/>
      <x:c r="AW50" s="184"/>
      <x:c r="AX50" s="184"/>
      <x:c r="AY50" s="184"/>
      <x:c r="AZ50" s="184"/>
      <x:c r="BA50" s="184"/>
      <x:c r="BB50" s="184"/>
      <x:c r="BC50" s="184"/>
      <x:c r="BD50" s="184"/>
      <x:c r="BE50" s="184"/>
      <x:c r="BF50" s="184"/>
      <x:c r="BG50" s="184"/>
      <x:c r="BH50" s="184"/>
      <x:c r="BI50" s="184"/>
      <x:c r="BJ50" s="184"/>
    </x:row>
    <x:row r="51" ht="34" customHeight="1">
      <x:c r="A51" s="195"/>
      <x:c r="B51" s="195"/>
      <x:c r="C51" s="195" t="str">
        <x:v>M번호 / 시나리오</x:v>
      </x:c>
      <x:c r="D51" s="195" t="str">
        <x:v>레이더(s)</x:v>
      </x:c>
      <x:c r="E51" s="195"/>
      <x:c r="F51" s="195"/>
      <x:c r="G51" s="195"/>
      <x:c r="H51" s="245" t="str">
        <x:v>M01 1 시작</x:v>
      </x:c>
      <x:c r="I51" s="245" t="str">
        <x:v>M02 1 종료</x:v>
      </x:c>
      <x:c r="J51" s="196"/>
      <x:c r="K51" s="247" t="str">
        <x:v>M03 2 시작</x:v>
      </x:c>
      <x:c r="L51" s="196"/>
      <x:c r="M51" s="196"/>
      <x:c r="N51" s="247" t="str">
        <x:v>M04 2 종료</x:v>
      </x:c>
      <x:c r="O51" s="249" t="str">
        <x:v>M05 3-1 시작</x:v>
      </x:c>
      <x:c r="P51" s="249" t="str">
        <x:v>M06 3-1 종료</x:v>
      </x:c>
      <x:c r="Q51" s="249" t="str">
        <x:v>M07 3-2 시작</x:v>
      </x:c>
      <x:c r="R51" s="249" t="str">
        <x:v>M08 3-2 종료</x:v>
      </x:c>
      <x:c r="S51" s="252" t="str">
        <x:v>M09 4-1 시작</x:v>
      </x:c>
      <x:c r="T51" s="196"/>
      <x:c r="U51" s="252" t="str">
        <x:v>M10 4-1 종료</x:v>
      </x:c>
      <x:c r="V51" s="252" t="str">
        <x:v>M11 4-2 시작</x:v>
      </x:c>
      <x:c r="W51" s="252" t="str">
        <x:v>M12 4-2 종료</x:v>
      </x:c>
      <x:c r="X51" s="252" t="str">
        <x:v>M13 4-3 시작</x:v>
      </x:c>
      <x:c r="Y51" s="252" t="str">
        <x:v>M14 4-3 종료</x:v>
      </x:c>
      <x:c r="Z51" s="252" t="str">
        <x:v>M15 4-4 시작</x:v>
      </x:c>
      <x:c r="AA51" s="252" t="str">
        <x:v>M16 4-4 종료</x:v>
      </x:c>
      <x:c r="AB51" s="255" t="str">
        <x:v>M17 5 시작</x:v>
      </x:c>
      <x:c r="AC51" s="255" t="str">
        <x:v>M18 5 종료</x:v>
      </x:c>
      <x:c r="AD51" s="258" t="str">
        <x:v>M19 6 시작</x:v>
      </x:c>
      <x:c r="AE51" s="258" t="str">
        <x:v>M20 6 종료</x:v>
      </x:c>
      <x:c r="AF51" s="260" t="str">
        <x:v>M21 7 시작</x:v>
      </x:c>
      <x:c r="AG51" s="196"/>
      <x:c r="AH51" s="196"/>
      <x:c r="AI51" s="196"/>
      <x:c r="AJ51" s="196"/>
      <x:c r="AK51" s="260" t="str">
        <x:v>M22 7 종료</x:v>
      </x:c>
      <x:c r="AL51" s="196"/>
      <x:c r="AM51" s="196"/>
      <x:c r="AN51" s="196"/>
      <x:c r="AO51" s="196"/>
      <x:c r="AP51" s="196"/>
      <x:c r="AQ51" s="196"/>
      <x:c r="AR51" s="196"/>
      <x:c r="AS51" s="196"/>
      <x:c r="AT51" s="196"/>
      <x:c r="AU51" s="196"/>
      <x:c r="AV51" s="196"/>
      <x:c r="AW51" s="196"/>
      <x:c r="AX51" s="196"/>
      <x:c r="AY51" s="196"/>
      <x:c r="AZ51" s="196"/>
      <x:c r="BA51" s="196"/>
      <x:c r="BB51" s="196"/>
      <x:c r="BC51" s="196"/>
      <x:c r="BD51" s="196"/>
      <x:c r="BE51" s="196"/>
      <x:c r="BF51" s="196"/>
      <x:c r="BG51" s="196"/>
      <x:c r="BH51" s="196"/>
      <x:c r="BI51" s="196"/>
      <x:c r="BJ51" s="196"/>
    </x:row>
    <x:row r="52" ht="20" customHeight="1">
      <x:c r="A52" s="198" t="n">
        <x:v>12</x:v>
      </x:c>
      <x:c r="B52" s="198" t="str">
        <x:v>S12_KDH</x:v>
      </x:c>
      <x:c r="C52" s="198" t="str">
        <x:v>RAW 8.5V</x:v>
      </x:c>
      <x:c r="D52" s="198" t="str">
        <x:v>레이더(s)</x:v>
      </x:c>
      <x:c r="E52" s="198" t="n">
        <x:v>22</x:v>
      </x:c>
      <x:c r="F52" s="198" t="n">
        <x:v>22</x:v>
      </x:c>
      <x:c r="G52" s="243" t="str">
        <x:v>후보군 검토 필요</x:v>
      </x:c>
      <x:c r="H52" s="244" t="n">
        <x:v>20.886</x:v>
      </x:c>
      <x:c r="I52" s="244"/>
      <x:c r="J52" s="184" t="n">
        <x:v>265.248</x:v>
      </x:c>
      <x:c r="K52" s="246"/>
      <x:c r="L52" s="184" t="n">
        <x:v>641.6039999999999</x:v>
      </x:c>
      <x:c r="M52" s="184"/>
      <x:c r="N52" s="246"/>
      <x:c r="O52" s="184"/>
      <x:c r="P52" s="248"/>
      <x:c r="Q52" s="248"/>
      <x:c r="R52" s="248"/>
      <x:c r="S52" s="248"/>
      <x:c r="T52" s="251"/>
      <x:c r="U52" s="251"/>
      <x:c r="V52" s="251"/>
      <x:c r="W52" s="184"/>
      <x:c r="X52" s="251"/>
      <x:c r="Y52" s="251"/>
      <x:c r="Z52" s="251"/>
      <x:c r="AA52" s="251"/>
      <x:c r="AB52" s="251"/>
      <x:c r="AC52" s="184"/>
      <x:c r="AD52" s="254"/>
      <x:c r="AE52" s="184"/>
      <x:c r="AF52" s="184"/>
      <x:c r="AG52" s="254"/>
      <x:c r="AH52" s="184" t="n">
        <x:v>1411.3799999999999</x:v>
      </x:c>
      <x:c r="AI52" s="257"/>
      <x:c r="AJ52" s="184" t="n">
        <x:v>1440.8999999999999</x:v>
      </x:c>
      <x:c r="AK52" s="257"/>
      <x:c r="AL52" s="184" t="n">
        <x:v>1482.066</x:v>
      </x:c>
      <x:c r="AM52" s="259"/>
      <x:c r="AN52" s="184" t="n">
        <x:v>1493.412</x:v>
      </x:c>
      <x:c r="AO52" s="259"/>
      <x:c r="AP52" s="184"/>
      <x:c r="AQ52" s="184"/>
      <x:c r="AR52" s="184"/>
      <x:c r="AS52" s="184"/>
      <x:c r="AT52" s="184"/>
      <x:c r="AU52" s="184"/>
      <x:c r="AV52" s="184"/>
      <x:c r="AW52" s="184"/>
      <x:c r="AX52" s="184"/>
      <x:c r="AY52" s="184"/>
      <x:c r="AZ52" s="184"/>
      <x:c r="BA52" s="184"/>
      <x:c r="BB52" s="184"/>
      <x:c r="BC52" s="184"/>
      <x:c r="BD52" s="184"/>
      <x:c r="BE52" s="184"/>
      <x:c r="BF52" s="184"/>
      <x:c r="BG52" s="184"/>
      <x:c r="BH52" s="184"/>
      <x:c r="BI52" s="184"/>
      <x:c r="BJ52" s="184"/>
    </x:row>
    <x:row r="53" ht="20" customHeight="1">
      <x:c r="A53" s="190"/>
      <x:c r="B53" s="190"/>
      <x:c r="C53" s="190" t="str">
        <x:v>전수 후보</x:v>
      </x:c>
      <x:c r="D53" s="190" t="str">
        <x:v>레이더(s)</x:v>
      </x:c>
      <x:c r="E53" s="190"/>
      <x:c r="F53" s="190"/>
      <x:c r="G53" s="190"/>
      <x:c r="H53" s="244" t="n">
        <x:v>24.524</x:v>
      </x:c>
      <x:c r="I53" s="244" t="n">
        <x:v>222.644</x:v>
      </x:c>
      <x:c r="J53" s="184"/>
      <x:c r="K53" s="246" t="n">
        <x:v>270.448</x:v>
      </x:c>
      <x:c r="L53" s="184"/>
      <x:c r="M53" s="184" t="n">
        <x:v>646.804</x:v>
      </x:c>
      <x:c r="N53" s="246" t="n">
        <x:v>764.472</x:v>
      </x:c>
      <x:c r="O53" s="214" t="n">
        <x:v>774.22</x:v>
      </x:c>
      <x:c r="P53" s="248" t="n">
        <x:v>781.492</x:v>
      </x:c>
      <x:c r="Q53" s="250" t="n">
        <x:v>797.544</x:v>
      </x:c>
      <x:c r="R53" s="250" t="n">
        <x:v>806.852</x:v>
      </x:c>
      <x:c r="S53" s="250" t="n">
        <x:v>812.872</x:v>
      </x:c>
      <x:c r="T53" s="253" t="n">
        <x:v>936.484</x:v>
      </x:c>
      <x:c r="U53" s="253" t="n">
        <x:v>941.544</x:v>
      </x:c>
      <x:c r="V53" s="253" t="n">
        <x:v>946.644</x:v>
      </x:c>
      <x:c r="W53" s="214" t="n">
        <x:v>954.984</x:v>
      </x:c>
      <x:c r="X53" s="253" t="n">
        <x:v>965.288</x:v>
      </x:c>
      <x:c r="Y53" s="253" t="n">
        <x:v>973.068</x:v>
      </x:c>
      <x:c r="Z53" s="253" t="n">
        <x:v>1010.792</x:v>
      </x:c>
      <x:c r="AA53" s="253" t="n">
        <x:v>1024.304</x:v>
      </x:c>
      <x:c r="AB53" s="253" t="n">
        <x:v>1033</x:v>
      </x:c>
      <x:c r="AC53" s="184" t="n">
        <x:v>1073.956</x:v>
      </x:c>
      <x:c r="AD53" s="254" t="n">
        <x:v>1089.332</x:v>
      </x:c>
      <x:c r="AE53" s="214" t="n">
        <x:v>1097.02</x:v>
      </x:c>
      <x:c r="AF53" s="214" t="n">
        <x:v>1102.48</x:v>
      </x:c>
      <x:c r="AG53" s="254" t="n">
        <x:v>1358.624</x:v>
      </x:c>
      <x:c r="AH53" s="184"/>
      <x:c r="AI53" s="257" t="n">
        <x:v>1416.58</x:v>
      </x:c>
      <x:c r="AJ53" s="184"/>
      <x:c r="AK53" s="257" t="n">
        <x:v>1446.1</x:v>
      </x:c>
      <x:c r="AL53" s="184"/>
      <x:c r="AM53" s="281" t="n">
        <x:v>1488.404</x:v>
      </x:c>
      <x:c r="AN53" s="184"/>
      <x:c r="AO53" s="281" t="n">
        <x:v>1498.612</x:v>
      </x:c>
      <x:c r="AP53" s="184"/>
      <x:c r="AQ53" s="184"/>
      <x:c r="AR53" s="184"/>
      <x:c r="AS53" s="184"/>
      <x:c r="AT53" s="184"/>
      <x:c r="AU53" s="184"/>
      <x:c r="AV53" s="184"/>
      <x:c r="AW53" s="184"/>
      <x:c r="AX53" s="184"/>
      <x:c r="AY53" s="184"/>
      <x:c r="AZ53" s="184"/>
      <x:c r="BA53" s="184"/>
      <x:c r="BB53" s="184"/>
      <x:c r="BC53" s="184"/>
      <x:c r="BD53" s="184"/>
      <x:c r="BE53" s="184"/>
      <x:c r="BF53" s="184"/>
      <x:c r="BG53" s="184"/>
      <x:c r="BH53" s="184"/>
      <x:c r="BI53" s="184"/>
      <x:c r="BJ53" s="184"/>
    </x:row>
    <x:row r="54" ht="20" customHeight="1">
      <x:c r="A54" s="190"/>
      <x:c r="B54" s="190"/>
      <x:c r="C54" s="190" t="str">
        <x:v>추천값(미확정)</x:v>
      </x:c>
      <x:c r="D54" s="190" t="str">
        <x:v>레이더(s)</x:v>
      </x:c>
      <x:c r="E54" s="190"/>
      <x:c r="F54" s="190"/>
      <x:c r="G54" s="190"/>
      <x:c r="H54" s="244" t="n">
        <x:v>24.524</x:v>
      </x:c>
      <x:c r="I54" s="244" t="n">
        <x:v>222.644</x:v>
      </x:c>
      <x:c r="J54" s="184"/>
      <x:c r="K54" s="246" t="n">
        <x:v>270.448</x:v>
      </x:c>
      <x:c r="L54" s="184"/>
      <x:c r="M54" s="184"/>
      <x:c r="N54" s="246" t="n">
        <x:v>764.472</x:v>
      </x:c>
      <x:c r="O54" s="184"/>
      <x:c r="P54" s="248" t="n">
        <x:v>781.492</x:v>
      </x:c>
      <x:c r="Q54" s="248" t="n">
        <x:v>797.544</x:v>
      </x:c>
      <x:c r="R54" s="248" t="n">
        <x:v>806.852</x:v>
      </x:c>
      <x:c r="S54" s="248" t="n">
        <x:v>812.872</x:v>
      </x:c>
      <x:c r="T54" s="251" t="n">
        <x:v>936.484</x:v>
      </x:c>
      <x:c r="U54" s="251" t="n">
        <x:v>941.544</x:v>
      </x:c>
      <x:c r="V54" s="251" t="n">
        <x:v>946.644</x:v>
      </x:c>
      <x:c r="W54" s="184"/>
      <x:c r="X54" s="251" t="n">
        <x:v>965.288</x:v>
      </x:c>
      <x:c r="Y54" s="251" t="n">
        <x:v>973.068</x:v>
      </x:c>
      <x:c r="Z54" s="251" t="n">
        <x:v>1010.792</x:v>
      </x:c>
      <x:c r="AA54" s="251" t="n">
        <x:v>1024.304</x:v>
      </x:c>
      <x:c r="AB54" s="251" t="n">
        <x:v>1033</x:v>
      </x:c>
      <x:c r="AC54" s="184"/>
      <x:c r="AD54" s="254" t="n">
        <x:v>1089.332</x:v>
      </x:c>
      <x:c r="AE54" s="184"/>
      <x:c r="AF54" s="184"/>
      <x:c r="AG54" s="254" t="n">
        <x:v>1358.624</x:v>
      </x:c>
      <x:c r="AH54" s="184"/>
      <x:c r="AI54" s="257" t="n">
        <x:v>1416.58</x:v>
      </x:c>
      <x:c r="AJ54" s="184"/>
      <x:c r="AK54" s="257" t="n">
        <x:v>1446.1</x:v>
      </x:c>
      <x:c r="AL54" s="184"/>
      <x:c r="AM54" s="259" t="n">
        <x:v>1488.404</x:v>
      </x:c>
      <x:c r="AN54" s="184"/>
      <x:c r="AO54" s="259" t="n">
        <x:v>1498.612</x:v>
      </x:c>
      <x:c r="AP54" s="184"/>
      <x:c r="AQ54" s="184"/>
      <x:c r="AR54" s="184"/>
      <x:c r="AS54" s="184"/>
      <x:c r="AT54" s="184"/>
      <x:c r="AU54" s="184"/>
      <x:c r="AV54" s="184"/>
      <x:c r="AW54" s="184"/>
      <x:c r="AX54" s="184"/>
      <x:c r="AY54" s="184"/>
      <x:c r="AZ54" s="184"/>
      <x:c r="BA54" s="184"/>
      <x:c r="BB54" s="184"/>
      <x:c r="BC54" s="184"/>
      <x:c r="BD54" s="184"/>
      <x:c r="BE54" s="184"/>
      <x:c r="BF54" s="184"/>
      <x:c r="BG54" s="184"/>
      <x:c r="BH54" s="184"/>
      <x:c r="BI54" s="184"/>
      <x:c r="BJ54" s="184"/>
    </x:row>
    <x:row r="55" ht="34" customHeight="1">
      <x:c r="A55" s="195"/>
      <x:c r="B55" s="195"/>
      <x:c r="C55" s="195" t="str">
        <x:v>M번호 / 시나리오</x:v>
      </x:c>
      <x:c r="D55" s="195" t="str">
        <x:v>레이더(s)</x:v>
      </x:c>
      <x:c r="E55" s="195"/>
      <x:c r="F55" s="195"/>
      <x:c r="G55" s="195"/>
      <x:c r="H55" s="245" t="str">
        <x:v>M01 1 시작</x:v>
      </x:c>
      <x:c r="I55" s="245" t="str">
        <x:v>M02 1 종료</x:v>
      </x:c>
      <x:c r="J55" s="196"/>
      <x:c r="K55" s="247" t="str">
        <x:v>M03 2 시작</x:v>
      </x:c>
      <x:c r="L55" s="196"/>
      <x:c r="M55" s="196"/>
      <x:c r="N55" s="247" t="str">
        <x:v>M04 2 종료</x:v>
      </x:c>
      <x:c r="O55" s="196"/>
      <x:c r="P55" s="249" t="str">
        <x:v>M05 3-1 시작</x:v>
      </x:c>
      <x:c r="Q55" s="249" t="str">
        <x:v>M06 3-1 종료</x:v>
      </x:c>
      <x:c r="R55" s="249" t="str">
        <x:v>M07 3-2 시작</x:v>
      </x:c>
      <x:c r="S55" s="249" t="str">
        <x:v>M08 3-2 종료</x:v>
      </x:c>
      <x:c r="T55" s="252" t="str">
        <x:v>M09 4-1 시작</x:v>
      </x:c>
      <x:c r="U55" s="252" t="str">
        <x:v>M10 4-1 종료</x:v>
      </x:c>
      <x:c r="V55" s="252" t="str">
        <x:v>M11 4-2 시작</x:v>
      </x:c>
      <x:c r="W55" s="196"/>
      <x:c r="X55" s="252" t="str">
        <x:v>M12 4-2 종료</x:v>
      </x:c>
      <x:c r="Y55" s="252" t="str">
        <x:v>M13 4-3 시작</x:v>
      </x:c>
      <x:c r="Z55" s="252" t="str">
        <x:v>M14 4-3 종료</x:v>
      </x:c>
      <x:c r="AA55" s="252" t="str">
        <x:v>M15 4-4 시작</x:v>
      </x:c>
      <x:c r="AB55" s="252" t="str">
        <x:v>M16 4-4 종료</x:v>
      </x:c>
      <x:c r="AC55" s="196"/>
      <x:c r="AD55" s="255" t="str">
        <x:v>M17 5 시작</x:v>
      </x:c>
      <x:c r="AE55" s="196"/>
      <x:c r="AF55" s="196"/>
      <x:c r="AG55" s="255" t="str">
        <x:v>M18 5 종료</x:v>
      </x:c>
      <x:c r="AH55" s="196"/>
      <x:c r="AI55" s="258" t="str">
        <x:v>M19 6 시작</x:v>
      </x:c>
      <x:c r="AJ55" s="196"/>
      <x:c r="AK55" s="258" t="str">
        <x:v>M20 6 종료</x:v>
      </x:c>
      <x:c r="AL55" s="196"/>
      <x:c r="AM55" s="260" t="str">
        <x:v>M21 7 시작</x:v>
      </x:c>
      <x:c r="AN55" s="196"/>
      <x:c r="AO55" s="260" t="str">
        <x:v>M22 7 종료</x:v>
      </x:c>
      <x:c r="AP55" s="196"/>
      <x:c r="AQ55" s="196"/>
      <x:c r="AR55" s="196"/>
      <x:c r="AS55" s="196"/>
      <x:c r="AT55" s="196"/>
      <x:c r="AU55" s="196"/>
      <x:c r="AV55" s="196"/>
      <x:c r="AW55" s="196"/>
      <x:c r="AX55" s="196"/>
      <x:c r="AY55" s="196"/>
      <x:c r="AZ55" s="196"/>
      <x:c r="BA55" s="196"/>
      <x:c r="BB55" s="196"/>
      <x:c r="BC55" s="196"/>
      <x:c r="BD55" s="196"/>
      <x:c r="BE55" s="196"/>
      <x:c r="BF55" s="196"/>
      <x:c r="BG55" s="196"/>
      <x:c r="BH55" s="196"/>
      <x:c r="BI55" s="196"/>
      <x:c r="BJ55" s="196"/>
    </x:row>
    <x:row r="56" ht="20" customHeight="1">
      <x:c r="A56" s="198" t="n">
        <x:v>13</x:v>
      </x:c>
      <x:c r="B56" s="198" t="str">
        <x:v>S13_KTW</x:v>
      </x:c>
      <x:c r="C56" s="198" t="str">
        <x:v>RAW 8.5V</x:v>
      </x:c>
      <x:c r="D56" s="198" t="str">
        <x:v>레이더(s)</x:v>
      </x:c>
      <x:c r="E56" s="198" t="n">
        <x:v>22</x:v>
      </x:c>
      <x:c r="F56" s="198" t="n">
        <x:v>22</x:v>
      </x:c>
      <x:c r="G56" s="199" t="str">
        <x:v>수동값/원시 불일치</x:v>
      </x:c>
      <x:c r="H56" s="263" t="n">
        <x:v>14.664</x:v>
      </x:c>
      <x:c r="I56" s="263" t="n">
        <x:v>208.196</x:v>
      </x:c>
      <x:c r="J56" s="184" t="n">
        <x:v>216.01999999999998</x:v>
      </x:c>
      <x:c r="K56" s="208" t="n">
        <x:v>229.83599999999998</x:v>
      </x:c>
      <x:c r="L56" s="184" t="n">
        <x:v>298.072</x:v>
      </x:c>
      <x:c r="M56" s="184" t="n">
        <x:v>308.264</x:v>
      </x:c>
      <x:c r="N56" s="184" t="n">
        <x:v>317.74</x:v>
      </x:c>
      <x:c r="O56" s="184" t="n">
        <x:v>328.11600000000004</x:v>
      </x:c>
      <x:c r="P56" s="184" t="n">
        <x:v>337.856</x:v>
      </x:c>
      <x:c r="Q56" s="184" t="n">
        <x:v>347.86</x:v>
      </x:c>
      <x:c r="R56" s="184" t="n">
        <x:v>386.79200000000003</x:v>
      </x:c>
      <x:c r="S56" s="184" t="n">
        <x:v>469.572</x:v>
      </x:c>
      <x:c r="T56" s="184" t="n">
        <x:v>484.36400000000003</x:v>
      </x:c>
      <x:c r="U56" s="184" t="n">
        <x:v>490.21200000000005</x:v>
      </x:c>
      <x:c r="V56" s="184" t="n">
        <x:v>502.896</x:v>
      </x:c>
      <x:c r="W56" s="184" t="n">
        <x:v>512.032</x:v>
      </x:c>
      <x:c r="X56" s="184" t="n">
        <x:v>517.7</x:v>
      </x:c>
      <x:c r="Y56" s="184" t="n">
        <x:v>522.928</x:v>
      </x:c>
      <x:c r="Z56" s="208" t="n">
        <x:v>598.928</x:v>
      </x:c>
      <x:c r="AA56" s="268" t="n">
        <x:v>644.884</x:v>
      </x:c>
      <x:c r="AB56" s="184" t="n">
        <x:v>653.572</x:v>
      </x:c>
      <x:c r="AC56" s="266" t="n">
        <x:v>658.26</x:v>
      </x:c>
      <x:c r="AD56" s="268" t="n">
        <x:v>675.9879999999999</x:v>
      </x:c>
      <x:c r="AE56" s="184" t="n">
        <x:v>682.168</x:v>
      </x:c>
      <x:c r="AF56" s="212"/>
      <x:c r="AG56" s="184" t="n">
        <x:v>686.4</x:v>
      </x:c>
      <x:c r="AH56" s="184" t="n">
        <x:v>692.748</x:v>
      </x:c>
      <x:c r="AI56" s="217"/>
      <x:c r="AJ56" s="184" t="n">
        <x:v>729.7040000000001</x:v>
      </x:c>
      <x:c r="AK56" s="184"/>
      <x:c r="AL56" s="217" t="n">
        <x:v>741.4186666666667</x:v>
      </x:c>
      <x:c r="AM56" s="270" t="n">
        <x:v>757.328</x:v>
      </x:c>
      <x:c r="AN56" s="184" t="n">
        <x:v>764.796</x:v>
      </x:c>
      <x:c r="AO56" s="270" t="n">
        <x:v>797.344</x:v>
      </x:c>
      <x:c r="AP56" s="184" t="n">
        <x:v>802.9680000000001</x:v>
      </x:c>
      <x:c r="AQ56" s="270" t="n">
        <x:v>814.744</x:v>
      </x:c>
      <x:c r="AR56" s="184" t="n">
        <x:v>819.748</x:v>
      </x:c>
      <x:c r="AS56" s="184" t="n">
        <x:v>855.272</x:v>
      </x:c>
      <x:c r="AT56" s="184" t="n">
        <x:v>859.34</x:v>
      </x:c>
      <x:c r="AU56" s="184"/>
      <x:c r="AV56" s="217"/>
      <x:c r="AW56" s="219" t="n">
        <x:v>873.912</x:v>
      </x:c>
      <x:c r="AX56" s="184" t="n">
        <x:v>879.096</x:v>
      </x:c>
      <x:c r="AY56" s="184" t="n">
        <x:v>883.736</x:v>
      </x:c>
      <x:c r="AZ56" s="219" t="n">
        <x:v>888.7679999999999</x:v>
      </x:c>
      <x:c r="BA56" s="184" t="n">
        <x:v>895.376</x:v>
      </x:c>
      <x:c r="BB56" s="184" t="n">
        <x:v>918.676</x:v>
      </x:c>
      <x:c r="BC56" s="223"/>
      <x:c r="BD56" s="237" t="n">
        <x:v>1111.328</x:v>
      </x:c>
      <x:c r="BE56" s="227"/>
      <x:c r="BF56" s="184" t="n">
        <x:v>1131.4479999999999</x:v>
      </x:c>
      <x:c r="BG56" s="239" t="n">
        <x:v>1154.732</x:v>
      </x:c>
      <x:c r="BH56" s="231" t="n">
        <x:v>1161.0639999999999</x:v>
      </x:c>
      <x:c r="BI56" s="231" t="n">
        <x:v>1179.3159999999998</x:v>
      </x:c>
      <x:c r="BJ56" s="184" t="n">
        <x:v>1192.264</x:v>
      </x:c>
    </x:row>
    <x:row r="57" ht="20" customHeight="1">
      <x:c r="A57" s="190"/>
      <x:c r="B57" s="190"/>
      <x:c r="C57" s="190" t="str">
        <x:v>전수 후보</x:v>
      </x:c>
      <x:c r="D57" s="190" t="str">
        <x:v>레이더(s)</x:v>
      </x:c>
      <x:c r="E57" s="190"/>
      <x:c r="F57" s="190"/>
      <x:c r="G57" s="190"/>
      <x:c r="H57" s="263" t="n">
        <x:v>11.496000000000047</x:v>
      </x:c>
      <x:c r="I57" s="263" t="n">
        <x:v>205.18000000000004</x:v>
      </x:c>
      <x:c r="J57" s="184"/>
      <x:c r="K57" s="208" t="n">
        <x:v>228.33600000000004</x:v>
      </x:c>
      <x:c r="L57" s="184"/>
      <x:c r="M57" s="184"/>
      <x:c r="N57" s="184"/>
      <x:c r="O57" s="184"/>
      <x:c r="P57" s="184"/>
      <x:c r="Q57" s="184"/>
      <x:c r="R57" s="184"/>
      <x:c r="S57" s="184"/>
      <x:c r="T57" s="184"/>
      <x:c r="U57" s="184"/>
      <x:c r="V57" s="184"/>
      <x:c r="W57" s="184"/>
      <x:c r="X57" s="184"/>
      <x:c r="Y57" s="184"/>
      <x:c r="Z57" s="208" t="n">
        <x:v>597.428</x:v>
      </x:c>
      <x:c r="AA57" s="266" t="n">
        <x:v>643.384</x:v>
      </x:c>
      <x:c r="AB57" s="214" t="n">
        <x:v>652.072</x:v>
      </x:c>
      <x:c r="AC57" s="266" t="n">
        <x:v>656.76</x:v>
      </x:c>
      <x:c r="AD57" s="268"/>
      <x:c r="AE57" s="214" t="n">
        <x:v>680.668</x:v>
      </x:c>
      <x:c r="AF57" s="212"/>
      <x:c r="AG57" s="214" t="n">
        <x:v>688.176</x:v>
      </x:c>
      <x:c r="AH57" s="184"/>
      <x:c r="AI57" s="217"/>
      <x:c r="AJ57" s="184" t="n">
        <x:v>728.682</x:v>
      </x:c>
      <x:c r="AK57" s="214" t="n">
        <x:v>733.364</x:v>
      </x:c>
      <x:c r="AL57" s="217" t="n">
        <x:v>742.1426666666667</x:v>
      </x:c>
      <x:c r="AM57" s="219" t="n">
        <x:v>756.9413333333334</x:v>
      </x:c>
      <x:c r="AN57" s="184"/>
      <x:c r="AO57" s="270"/>
      <x:c r="AP57" s="184"/>
      <x:c r="AQ57" s="270" t="n">
        <x:v>813.244</x:v>
      </x:c>
      <x:c r="AR57" s="214" t="n">
        <x:v>818.248</x:v>
      </x:c>
      <x:c r="AS57" s="184" t="n">
        <x:v>853.772</x:v>
      </x:c>
      <x:c r="AT57" s="214" t="n">
        <x:v>857.84</x:v>
      </x:c>
      <x:c r="AU57" s="184" t="n">
        <x:v>861.864</x:v>
      </x:c>
      <x:c r="AV57" s="217"/>
      <x:c r="AW57" s="219" t="n">
        <x:v>872.412</x:v>
      </x:c>
      <x:c r="AX57" s="214" t="n">
        <x:v>877.596</x:v>
      </x:c>
      <x:c r="AY57" s="214" t="n">
        <x:v>882.236</x:v>
      </x:c>
      <x:c r="AZ57" s="219" t="n">
        <x:v>888.16</x:v>
      </x:c>
      <x:c r="BA57" s="184"/>
      <x:c r="BB57" s="184" t="n">
        <x:v>917.176</x:v>
      </x:c>
      <x:c r="BC57" s="223"/>
      <x:c r="BD57" s="237" t="n">
        <x:v>1109.8280000000002</x:v>
      </x:c>
      <x:c r="BE57" s="227"/>
      <x:c r="BF57" s="184"/>
      <x:c r="BG57" s="239"/>
      <x:c r="BH57" s="231"/>
      <x:c r="BI57" s="231" t="n">
        <x:v>1178.874</x:v>
      </x:c>
      <x:c r="BJ57" s="214" t="n">
        <x:v>1189.9080000000001</x:v>
      </x:c>
    </x:row>
    <x:row r="58" ht="20" customHeight="1">
      <x:c r="A58" s="190"/>
      <x:c r="B58" s="190"/>
      <x:c r="C58" s="190" t="str">
        <x:v>선택값</x:v>
      </x:c>
      <x:c r="D58" s="190" t="str">
        <x:v>레이더(s)</x:v>
      </x:c>
      <x:c r="E58" s="190"/>
      <x:c r="F58" s="190"/>
      <x:c r="G58" s="190"/>
      <x:c r="H58" s="263" t="n">
        <x:v>11.5</x:v>
      </x:c>
      <x:c r="I58" s="263" t="n">
        <x:v>205.2</x:v>
      </x:c>
      <x:c r="J58" s="184"/>
      <x:c r="K58" s="208" t="n">
        <x:v>228.3</x:v>
      </x:c>
      <x:c r="L58" s="184"/>
      <x:c r="M58" s="184"/>
      <x:c r="N58" s="184"/>
      <x:c r="O58" s="184"/>
      <x:c r="P58" s="184"/>
      <x:c r="Q58" s="184"/>
      <x:c r="R58" s="184"/>
      <x:c r="S58" s="184"/>
      <x:c r="T58" s="184"/>
      <x:c r="U58" s="184"/>
      <x:c r="V58" s="184"/>
      <x:c r="W58" s="184"/>
      <x:c r="X58" s="184"/>
      <x:c r="Y58" s="184"/>
      <x:c r="Z58" s="208" t="n">
        <x:v>597.4</x:v>
      </x:c>
      <x:c r="AA58" s="268" t="n">
        <x:v>643.4</x:v>
      </x:c>
      <x:c r="AB58" s="184"/>
      <x:c r="AC58" s="266" t="n">
        <x:v>656.8</x:v>
      </x:c>
      <x:c r="AD58" s="268" t="n">
        <x:v>675.5</x:v>
      </x:c>
      <x:c r="AE58" s="184"/>
      <x:c r="AF58" s="212" t="n">
        <x:v>684.9</x:v>
      </x:c>
      <x:c r="AG58" s="184"/>
      <x:c r="AH58" s="184"/>
      <x:c r="AI58" s="217" t="n">
        <x:v>699.2</x:v>
      </x:c>
      <x:c r="AJ58" s="184"/>
      <x:c r="AK58" s="184"/>
      <x:c r="AL58" s="217" t="n">
        <x:v>743</x:v>
      </x:c>
      <x:c r="AM58" s="270" t="n">
        <x:v>757.9</x:v>
      </x:c>
      <x:c r="AN58" s="184"/>
      <x:c r="AO58" s="270" t="n">
        <x:v>795.8</x:v>
      </x:c>
      <x:c r="AP58" s="184"/>
      <x:c r="AQ58" s="270" t="n">
        <x:v>813.2</x:v>
      </x:c>
      <x:c r="AR58" s="184"/>
      <x:c r="AS58" s="184"/>
      <x:c r="AT58" s="184"/>
      <x:c r="AU58" s="184"/>
      <x:c r="AV58" s="217" t="n">
        <x:v>864.7</x:v>
      </x:c>
      <x:c r="AW58" s="219" t="n">
        <x:v>874.3</x:v>
      </x:c>
      <x:c r="AX58" s="184"/>
      <x:c r="AY58" s="184"/>
      <x:c r="AZ58" s="219" t="n">
        <x:v>886.4</x:v>
      </x:c>
      <x:c r="BA58" s="184"/>
      <x:c r="BB58" s="184"/>
      <x:c r="BC58" s="223" t="n">
        <x:v>920.5</x:v>
      </x:c>
      <x:c r="BD58" s="237" t="n">
        <x:v>1109.9</x:v>
      </x:c>
      <x:c r="BE58" s="227" t="n">
        <x:v>1129.3</x:v>
      </x:c>
      <x:c r="BF58" s="184"/>
      <x:c r="BG58" s="239" t="n">
        <x:v>1153.3</x:v>
      </x:c>
      <x:c r="BH58" s="231" t="n">
        <x:v>1159.6</x:v>
      </x:c>
      <x:c r="BI58" s="231" t="n">
        <x:v>1178.9</x:v>
      </x:c>
      <x:c r="BJ58" s="184"/>
    </x:row>
    <x:row r="59" ht="34" customHeight="1">
      <x:c r="A59" s="195"/>
      <x:c r="B59" s="195"/>
      <x:c r="C59" s="195" t="str">
        <x:v>M번호 / 시나리오</x:v>
      </x:c>
      <x:c r="D59" s="195" t="str">
        <x:v>레이더(s)</x:v>
      </x:c>
      <x:c r="E59" s="195"/>
      <x:c r="F59" s="195"/>
      <x:c r="G59" s="195"/>
      <x:c r="H59" s="264" t="str">
        <x:v>M01 1 시작</x:v>
      </x:c>
      <x:c r="I59" s="264" t="str">
        <x:v>M02 1 종료</x:v>
      </x:c>
      <x:c r="J59" s="196"/>
      <x:c r="K59" s="209" t="str">
        <x:v>M03 2 시작</x:v>
      </x:c>
      <x:c r="L59" s="196"/>
      <x:c r="M59" s="196"/>
      <x:c r="N59" s="196"/>
      <x:c r="O59" s="196"/>
      <x:c r="P59" s="196"/>
      <x:c r="Q59" s="196"/>
      <x:c r="R59" s="196"/>
      <x:c r="S59" s="196"/>
      <x:c r="T59" s="196"/>
      <x:c r="U59" s="196"/>
      <x:c r="V59" s="196"/>
      <x:c r="W59" s="196"/>
      <x:c r="X59" s="196"/>
      <x:c r="Y59" s="196"/>
      <x:c r="Z59" s="209" t="str">
        <x:v>M04 2 종료</x:v>
      </x:c>
      <x:c r="AA59" s="269" t="str">
        <x:v>M05 3-1 시작</x:v>
      </x:c>
      <x:c r="AB59" s="196"/>
      <x:c r="AC59" s="267" t="str">
        <x:v>M06 3-1 종료</x:v>
      </x:c>
      <x:c r="AD59" s="269" t="str">
        <x:v>M07 3-2 시작</x:v>
      </x:c>
      <x:c r="AE59" s="196"/>
      <x:c r="AF59" s="213" t="str">
        <x:v>M08 3-2 종료</x:v>
      </x:c>
      <x:c r="AG59" s="196"/>
      <x:c r="AH59" s="196"/>
      <x:c r="AI59" s="218" t="str">
        <x:v>M09 4-1 시작</x:v>
      </x:c>
      <x:c r="AJ59" s="196"/>
      <x:c r="AK59" s="196"/>
      <x:c r="AL59" s="218" t="str">
        <x:v>M10 4-1 종료</x:v>
      </x:c>
      <x:c r="AM59" s="271" t="str">
        <x:v>M11 4-2 시작</x:v>
      </x:c>
      <x:c r="AN59" s="196"/>
      <x:c r="AO59" s="271" t="str">
        <x:v>M12 4-2 종료</x:v>
      </x:c>
      <x:c r="AP59" s="196"/>
      <x:c r="AQ59" s="271" t="str">
        <x:v>M13 4-3 시작</x:v>
      </x:c>
      <x:c r="AR59" s="196"/>
      <x:c r="AS59" s="196"/>
      <x:c r="AT59" s="196"/>
      <x:c r="AU59" s="196"/>
      <x:c r="AV59" s="218" t="str">
        <x:v>M14 4-3 종료</x:v>
      </x:c>
      <x:c r="AW59" s="220" t="str">
        <x:v>M15 4-4 시작</x:v>
      </x:c>
      <x:c r="AX59" s="196"/>
      <x:c r="AY59" s="196"/>
      <x:c r="AZ59" s="220" t="str">
        <x:v>M16 4-4 종료</x:v>
      </x:c>
      <x:c r="BA59" s="196"/>
      <x:c r="BB59" s="196"/>
      <x:c r="BC59" s="224" t="str">
        <x:v>M17 5 시작</x:v>
      </x:c>
      <x:c r="BD59" s="238" t="str">
        <x:v>M18 5 종료</x:v>
      </x:c>
      <x:c r="BE59" s="228" t="str">
        <x:v>M19 6 시작</x:v>
      </x:c>
      <x:c r="BF59" s="196"/>
      <x:c r="BG59" s="240" t="str">
        <x:v>M20 6 종료</x:v>
      </x:c>
      <x:c r="BH59" s="232" t="str">
        <x:v>M21 7 시작</x:v>
      </x:c>
      <x:c r="BI59" s="232" t="str">
        <x:v>M22 7 종료</x:v>
      </x:c>
      <x:c r="BJ59" s="196"/>
    </x:row>
    <x:row r="60" ht="20" customHeight="1">
      <x:c r="A60" s="198" t="n">
        <x:v>14</x:v>
      </x:c>
      <x:c r="B60" s="198" t="str">
        <x:v>S14_MDO</x:v>
      </x:c>
      <x:c r="C60" s="198" t="str">
        <x:v>RAW 8.5V</x:v>
      </x:c>
      <x:c r="D60" s="198" t="str">
        <x:v>레이더(s)</x:v>
      </x:c>
      <x:c r="E60" s="198" t="n">
        <x:v>22</x:v>
      </x:c>
      <x:c r="F60" s="198" t="n">
        <x:v>22</x:v>
      </x:c>
      <x:c r="G60" s="262" t="str">
        <x:v>대체 후보 있음</x:v>
      </x:c>
      <x:c r="H60" s="263" t="n">
        <x:v>13.648000000000001</x:v>
      </x:c>
      <x:c r="I60" s="263" t="n">
        <x:v>211.30479999999997</x:v>
      </x:c>
      <x:c r="J60" s="265"/>
      <x:c r="K60" s="184"/>
      <x:c r="L60" s="208" t="n">
        <x:v>607.42</x:v>
      </x:c>
      <x:c r="M60" s="268" t="n">
        <x:v>636.148</x:v>
      </x:c>
      <x:c r="N60" s="268" t="n">
        <x:v>649.3439999999999</x:v>
      </x:c>
      <x:c r="O60" s="268" t="n">
        <x:v>668.1039999999999</x:v>
      </x:c>
      <x:c r="P60" s="268" t="n">
        <x:v>679.012</x:v>
      </x:c>
      <x:c r="Q60" s="270" t="n">
        <x:v>729.068</x:v>
      </x:c>
      <x:c r="R60" s="270" t="n">
        <x:v>741.89</x:v>
      </x:c>
      <x:c r="S60" s="270" t="n">
        <x:v>749.548</x:v>
      </x:c>
      <x:c r="T60" s="219" t="n">
        <x:v>790.8919999999999</x:v>
      </x:c>
      <x:c r="U60" s="184"/>
      <x:c r="V60" s="270" t="n">
        <x:v>803.542</x:v>
      </x:c>
      <x:c r="W60" s="270" t="n">
        <x:v>844.896</x:v>
      </x:c>
      <x:c r="X60" s="219"/>
      <x:c r="Y60" s="219"/>
      <x:c r="Z60" s="272"/>
      <x:c r="AA60" s="272"/>
      <x:c r="AB60" s="239" t="n">
        <x:v>1089.304</x:v>
      </x:c>
      <x:c r="AC60" s="239" t="n">
        <x:v>1109.664</x:v>
      </x:c>
      <x:c r="AD60" s="241"/>
      <x:c r="AE60" s="231" t="n">
        <x:v>1135.3200000000002</x:v>
      </x:c>
      <x:c r="AF60" s="184"/>
      <x:c r="AG60" s="184"/>
      <x:c r="AH60" s="184"/>
      <x:c r="AI60" s="184"/>
      <x:c r="AJ60" s="184"/>
      <x:c r="AK60" s="184"/>
      <x:c r="AL60" s="184"/>
      <x:c r="AM60" s="184"/>
      <x:c r="AN60" s="184"/>
      <x:c r="AO60" s="184"/>
      <x:c r="AP60" s="184"/>
      <x:c r="AQ60" s="184"/>
      <x:c r="AR60" s="184"/>
      <x:c r="AS60" s="184"/>
      <x:c r="AT60" s="184"/>
      <x:c r="AU60" s="184"/>
      <x:c r="AV60" s="184"/>
      <x:c r="AW60" s="184"/>
      <x:c r="AX60" s="184"/>
      <x:c r="AY60" s="184"/>
      <x:c r="AZ60" s="184"/>
      <x:c r="BA60" s="184"/>
      <x:c r="BB60" s="184"/>
      <x:c r="BC60" s="184"/>
      <x:c r="BD60" s="184"/>
      <x:c r="BE60" s="184"/>
      <x:c r="BF60" s="184"/>
      <x:c r="BG60" s="184"/>
      <x:c r="BH60" s="184"/>
      <x:c r="BI60" s="184"/>
      <x:c r="BJ60" s="184"/>
    </x:row>
    <x:row r="61" ht="20" customHeight="1">
      <x:c r="A61" s="190"/>
      <x:c r="B61" s="190"/>
      <x:c r="C61" s="190" t="str">
        <x:v>전수 후보</x:v>
      </x:c>
      <x:c r="D61" s="190" t="str">
        <x:v>레이더(s)</x:v>
      </x:c>
      <x:c r="E61" s="190"/>
      <x:c r="F61" s="190"/>
      <x:c r="G61" s="190"/>
      <x:c r="H61" s="263" t="n">
        <x:v>13.64800000000007</x:v>
      </x:c>
      <x:c r="I61" s="263" t="n">
        <x:v>208.91200000000006</x:v>
      </x:c>
      <x:c r="J61" s="265" t="n">
        <x:v>233.95200000000006</x:v>
      </x:c>
      <x:c r="K61" s="184" t="n">
        <x:v>516.7280000000001</x:v>
      </x:c>
      <x:c r="L61" s="208" t="n">
        <x:v>607.4200000000001</x:v>
      </x:c>
      <x:c r="M61" s="266" t="n">
        <x:v>636.1480000000001</x:v>
      </x:c>
      <x:c r="N61" s="266" t="n">
        <x:v>649.344</x:v>
      </x:c>
      <x:c r="O61" s="266" t="n">
        <x:v>668.104</x:v>
      </x:c>
      <x:c r="P61" s="266" t="n">
        <x:v>679.0120000000001</x:v>
      </x:c>
      <x:c r="Q61" s="219" t="n">
        <x:v>729.0680000000001</x:v>
      </x:c>
      <x:c r="R61" s="219" t="n">
        <x:v>741.3840000000001</x:v>
      </x:c>
      <x:c r="S61" s="219" t="n">
        <x:v>749.5480000000001</x:v>
      </x:c>
      <x:c r="T61" s="219" t="n">
        <x:v>790.892</x:v>
      </x:c>
      <x:c r="U61" s="214" t="n">
        <x:v>795.4720000000001</x:v>
      </x:c>
      <x:c r="V61" s="219" t="n">
        <x:v>802.3320000000001</x:v>
      </x:c>
      <x:c r="W61" s="270" t="n">
        <x:v>844.8960000000001</x:v>
      </x:c>
      <x:c r="X61" s="219" t="n">
        <x:v>860.676</x:v>
      </x:c>
      <x:c r="Y61" s="219" t="n">
        <x:v>867.7280000000001</x:v>
      </x:c>
      <x:c r="Z61" s="272" t="n">
        <x:v>892.368</x:v>
      </x:c>
      <x:c r="AA61" s="272" t="n">
        <x:v>1077.236</x:v>
      </x:c>
      <x:c r="AB61" s="274" t="n">
        <x:v>1089.304</x:v>
      </x:c>
      <x:c r="AC61" s="274" t="n">
        <x:v>1109.664</x:v>
      </x:c>
      <x:c r="AD61" s="241" t="n">
        <x:v>1124.24</x:v>
      </x:c>
      <x:c r="AE61" s="241" t="n">
        <x:v>1135.3200000000002</x:v>
      </x:c>
      <x:c r="AF61" s="184"/>
      <x:c r="AG61" s="184"/>
      <x:c r="AH61" s="184"/>
      <x:c r="AI61" s="184"/>
      <x:c r="AJ61" s="184"/>
      <x:c r="AK61" s="184"/>
      <x:c r="AL61" s="184"/>
      <x:c r="AM61" s="184"/>
      <x:c r="AN61" s="184"/>
      <x:c r="AO61" s="184"/>
      <x:c r="AP61" s="184"/>
      <x:c r="AQ61" s="184"/>
      <x:c r="AR61" s="184"/>
      <x:c r="AS61" s="184"/>
      <x:c r="AT61" s="184"/>
      <x:c r="AU61" s="184"/>
      <x:c r="AV61" s="184"/>
      <x:c r="AW61" s="184"/>
      <x:c r="AX61" s="184"/>
      <x:c r="AY61" s="184"/>
      <x:c r="AZ61" s="184"/>
      <x:c r="BA61" s="184"/>
      <x:c r="BB61" s="184"/>
      <x:c r="BC61" s="184"/>
      <x:c r="BD61" s="184"/>
      <x:c r="BE61" s="184"/>
      <x:c r="BF61" s="184"/>
      <x:c r="BG61" s="184"/>
      <x:c r="BH61" s="184"/>
      <x:c r="BI61" s="184"/>
      <x:c r="BJ61" s="184"/>
    </x:row>
    <x:row r="62" ht="20" customHeight="1">
      <x:c r="A62" s="190"/>
      <x:c r="B62" s="190"/>
      <x:c r="C62" s="190" t="str">
        <x:v>선택값</x:v>
      </x:c>
      <x:c r="D62" s="190" t="str">
        <x:v>레이더(s)</x:v>
      </x:c>
      <x:c r="E62" s="190"/>
      <x:c r="F62" s="190"/>
      <x:c r="G62" s="190"/>
      <x:c r="H62" s="263" t="n">
        <x:v>13.648</x:v>
      </x:c>
      <x:c r="I62" s="263" t="n">
        <x:v>208.912</x:v>
      </x:c>
      <x:c r="J62" s="265" t="n">
        <x:v>233.952</x:v>
      </x:c>
      <x:c r="K62" s="184"/>
      <x:c r="L62" s="208" t="n">
        <x:v>607.42</x:v>
      </x:c>
      <x:c r="M62" s="268" t="n">
        <x:v>636.148</x:v>
      </x:c>
      <x:c r="N62" s="268" t="n">
        <x:v>649.344</x:v>
      </x:c>
      <x:c r="O62" s="268" t="n">
        <x:v>668.104</x:v>
      </x:c>
      <x:c r="P62" s="268" t="n">
        <x:v>679.012</x:v>
      </x:c>
      <x:c r="Q62" s="270" t="n">
        <x:v>729.068</x:v>
      </x:c>
      <x:c r="R62" s="270" t="n">
        <x:v>741.384</x:v>
      </x:c>
      <x:c r="S62" s="270" t="n">
        <x:v>749.548</x:v>
      </x:c>
      <x:c r="T62" s="219" t="n">
        <x:v>790.892</x:v>
      </x:c>
      <x:c r="U62" s="184"/>
      <x:c r="V62" s="270" t="n">
        <x:v>802.332</x:v>
      </x:c>
      <x:c r="W62" s="270" t="n">
        <x:v>844.896</x:v>
      </x:c>
      <x:c r="X62" s="219" t="n">
        <x:v>860.676</x:v>
      </x:c>
      <x:c r="Y62" s="219" t="n">
        <x:v>867.728</x:v>
      </x:c>
      <x:c r="Z62" s="272" t="n">
        <x:v>892.368</x:v>
      </x:c>
      <x:c r="AA62" s="272" t="n">
        <x:v>1077.236</x:v>
      </x:c>
      <x:c r="AB62" s="239" t="n">
        <x:v>1089.304</x:v>
      </x:c>
      <x:c r="AC62" s="239" t="n">
        <x:v>1109.664</x:v>
      </x:c>
      <x:c r="AD62" s="241" t="n">
        <x:v>1124.24</x:v>
      </x:c>
      <x:c r="AE62" s="231" t="n">
        <x:v>1135.32</x:v>
      </x:c>
      <x:c r="AF62" s="184"/>
      <x:c r="AG62" s="184"/>
      <x:c r="AH62" s="184"/>
      <x:c r="AI62" s="184"/>
      <x:c r="AJ62" s="184"/>
      <x:c r="AK62" s="184"/>
      <x:c r="AL62" s="184"/>
      <x:c r="AM62" s="184"/>
      <x:c r="AN62" s="184"/>
      <x:c r="AO62" s="184"/>
      <x:c r="AP62" s="184"/>
      <x:c r="AQ62" s="184"/>
      <x:c r="AR62" s="184"/>
      <x:c r="AS62" s="184"/>
      <x:c r="AT62" s="184"/>
      <x:c r="AU62" s="184"/>
      <x:c r="AV62" s="184"/>
      <x:c r="AW62" s="184"/>
      <x:c r="AX62" s="184"/>
      <x:c r="AY62" s="184"/>
      <x:c r="AZ62" s="184"/>
      <x:c r="BA62" s="184"/>
      <x:c r="BB62" s="184"/>
      <x:c r="BC62" s="184"/>
      <x:c r="BD62" s="184"/>
      <x:c r="BE62" s="184"/>
      <x:c r="BF62" s="184"/>
      <x:c r="BG62" s="184"/>
      <x:c r="BH62" s="184"/>
      <x:c r="BI62" s="184"/>
      <x:c r="BJ62" s="184"/>
    </x:row>
    <x:row r="63" ht="34" customHeight="1">
      <x:c r="A63" s="195"/>
      <x:c r="B63" s="195"/>
      <x:c r="C63" s="195" t="str">
        <x:v>M번호 / 시나리오</x:v>
      </x:c>
      <x:c r="D63" s="195" t="str">
        <x:v>레이더(s)</x:v>
      </x:c>
      <x:c r="E63" s="195"/>
      <x:c r="F63" s="195"/>
      <x:c r="G63" s="195"/>
      <x:c r="H63" s="264" t="str">
        <x:v>M01 1 시작</x:v>
      </x:c>
      <x:c r="I63" s="264" t="str">
        <x:v>M02 1 종료</x:v>
      </x:c>
      <x:c r="J63" s="278" t="str">
        <x:v>M03 2 시작</x:v>
      </x:c>
      <x:c r="K63" s="196"/>
      <x:c r="L63" s="209" t="str">
        <x:v>M04 2 종료</x:v>
      </x:c>
      <x:c r="M63" s="269" t="str">
        <x:v>M05 3-1 시작</x:v>
      </x:c>
      <x:c r="N63" s="269" t="str">
        <x:v>M06 3-1 종료</x:v>
      </x:c>
      <x:c r="O63" s="269" t="str">
        <x:v>M07 3-2 시작</x:v>
      </x:c>
      <x:c r="P63" s="269" t="str">
        <x:v>M08 3-2 종료</x:v>
      </x:c>
      <x:c r="Q63" s="271" t="str">
        <x:v>M09 4-1 시작</x:v>
      </x:c>
      <x:c r="R63" s="271" t="str">
        <x:v>M10 4-1 종료</x:v>
      </x:c>
      <x:c r="S63" s="271" t="str">
        <x:v>M11 4-2 시작</x:v>
      </x:c>
      <x:c r="T63" s="220" t="str">
        <x:v>M12 4-2 종료</x:v>
      </x:c>
      <x:c r="U63" s="196"/>
      <x:c r="V63" s="271" t="str">
        <x:v>M13 4-3 시작</x:v>
      </x:c>
      <x:c r="W63" s="271" t="str">
        <x:v>M14 4-3 종료</x:v>
      </x:c>
      <x:c r="X63" s="220" t="str">
        <x:v>M15 4-4 시작</x:v>
      </x:c>
      <x:c r="Y63" s="220" t="str">
        <x:v>M16 4-4 종료</x:v>
      </x:c>
      <x:c r="Z63" s="273" t="str">
        <x:v>M17 5 시작</x:v>
      </x:c>
      <x:c r="AA63" s="273" t="str">
        <x:v>M18 5 종료</x:v>
      </x:c>
      <x:c r="AB63" s="240" t="str">
        <x:v>M19 6 시작</x:v>
      </x:c>
      <x:c r="AC63" s="240" t="str">
        <x:v>M20 6 종료</x:v>
      </x:c>
      <x:c r="AD63" s="279" t="str">
        <x:v>M21 7 시작</x:v>
      </x:c>
      <x:c r="AE63" s="232" t="str">
        <x:v>M22 7 종료</x:v>
      </x:c>
      <x:c r="AF63" s="196"/>
      <x:c r="AG63" s="196"/>
      <x:c r="AH63" s="196"/>
      <x:c r="AI63" s="196"/>
      <x:c r="AJ63" s="196"/>
      <x:c r="AK63" s="196"/>
      <x:c r="AL63" s="196"/>
      <x:c r="AM63" s="196"/>
      <x:c r="AN63" s="196"/>
      <x:c r="AO63" s="196"/>
      <x:c r="AP63" s="196"/>
      <x:c r="AQ63" s="196"/>
      <x:c r="AR63" s="196"/>
      <x:c r="AS63" s="196"/>
      <x:c r="AT63" s="196"/>
      <x:c r="AU63" s="196"/>
      <x:c r="AV63" s="196"/>
      <x:c r="AW63" s="196"/>
      <x:c r="AX63" s="196"/>
      <x:c r="AY63" s="196"/>
      <x:c r="AZ63" s="196"/>
      <x:c r="BA63" s="196"/>
      <x:c r="BB63" s="196"/>
      <x:c r="BC63" s="196"/>
      <x:c r="BD63" s="196"/>
      <x:c r="BE63" s="196"/>
      <x:c r="BF63" s="196"/>
      <x:c r="BG63" s="196"/>
      <x:c r="BH63" s="196"/>
      <x:c r="BI63" s="196"/>
      <x:c r="BJ63" s="196"/>
    </x:row>
    <x:row r="64" ht="20" customHeight="1">
      <x:c r="A64" s="198" t="n">
        <x:v>15</x:v>
      </x:c>
      <x:c r="B64" s="198" t="str">
        <x:v>S15_JKH</x:v>
      </x:c>
      <x:c r="C64" s="198" t="str">
        <x:v>RAW 8.5V</x:v>
      </x:c>
      <x:c r="D64" s="198" t="str">
        <x:v>레이더(s)</x:v>
      </x:c>
      <x:c r="E64" s="198" t="n">
        <x:v>22</x:v>
      </x:c>
      <x:c r="F64" s="198" t="n">
        <x:v>22</x:v>
      </x:c>
      <x:c r="G64" s="262" t="str">
        <x:v>대체 후보 있음</x:v>
      </x:c>
      <x:c r="H64" s="263" t="n">
        <x:v>5.524000000000001</x:v>
      </x:c>
      <x:c r="I64" s="235"/>
      <x:c r="J64" s="184" t="n">
        <x:v>205.924</x:v>
      </x:c>
      <x:c r="K64" s="184" t="n">
        <x:v>227.018</x:v>
      </x:c>
      <x:c r="L64" s="208" t="n">
        <x:v>234.216</x:v>
      </x:c>
      <x:c r="M64" s="265"/>
      <x:c r="N64" s="184" t="n">
        <x:v>603.352</x:v>
      </x:c>
      <x:c r="O64" s="184" t="n">
        <x:v>608.188</x:v>
      </x:c>
      <x:c r="P64" s="268" t="n">
        <x:v>631.464</x:v>
      </x:c>
      <x:c r="Q64" s="268" t="n">
        <x:v>642.4</x:v>
      </x:c>
      <x:c r="R64" s="268" t="n">
        <x:v>657.848</x:v>
      </x:c>
      <x:c r="S64" s="268" t="n">
        <x:v>673.8</x:v>
      </x:c>
      <x:c r="T64" s="270" t="n">
        <x:v>709.356</x:v>
      </x:c>
      <x:c r="U64" s="270" t="n">
        <x:v>723.192</x:v>
      </x:c>
      <x:c r="V64" s="270" t="n">
        <x:v>732.88</x:v>
      </x:c>
      <x:c r="W64" s="270" t="n">
        <x:v>780.1039999999999</x:v>
      </x:c>
      <x:c r="X64" s="270" t="n">
        <x:v>790.732</x:v>
      </x:c>
      <x:c r="Y64" s="184" t="n">
        <x:v>795.784</x:v>
      </x:c>
      <x:c r="Z64" s="270" t="n">
        <x:v>836.434</x:v>
      </x:c>
      <x:c r="AA64" s="270" t="n">
        <x:v>849.212</x:v>
      </x:c>
      <x:c r="AB64" s="184"/>
      <x:c r="AC64" s="184"/>
      <x:c r="AD64" s="219" t="n">
        <x:v>871.464</x:v>
      </x:c>
      <x:c r="AE64" s="237" t="n">
        <x:v>889.36</x:v>
      </x:c>
      <x:c r="AF64" s="237" t="n">
        <x:v>1075.56</x:v>
      </x:c>
      <x:c r="AG64" s="239" t="n">
        <x:v>1093.1819999999998</x:v>
      </x:c>
      <x:c r="AH64" s="239" t="n">
        <x:v>1120.156</x:v>
      </x:c>
      <x:c r="AI64" s="231" t="n">
        <x:v>1134.564</x:v>
      </x:c>
      <x:c r="AJ64" s="231" t="n">
        <x:v>1147.924</x:v>
      </x:c>
      <x:c r="AK64" s="184"/>
      <x:c r="AL64" s="184"/>
      <x:c r="AM64" s="184"/>
      <x:c r="AN64" s="184"/>
      <x:c r="AO64" s="184"/>
      <x:c r="AP64" s="184"/>
      <x:c r="AQ64" s="184"/>
      <x:c r="AR64" s="184"/>
      <x:c r="AS64" s="184"/>
      <x:c r="AT64" s="184"/>
      <x:c r="AU64" s="184"/>
      <x:c r="AV64" s="184"/>
      <x:c r="AW64" s="184"/>
      <x:c r="AX64" s="184"/>
      <x:c r="AY64" s="184"/>
      <x:c r="AZ64" s="184"/>
      <x:c r="BA64" s="184"/>
      <x:c r="BB64" s="184"/>
      <x:c r="BC64" s="184"/>
      <x:c r="BD64" s="184"/>
      <x:c r="BE64" s="184"/>
      <x:c r="BF64" s="184"/>
      <x:c r="BG64" s="184"/>
      <x:c r="BH64" s="184"/>
      <x:c r="BI64" s="184"/>
      <x:c r="BJ64" s="184"/>
    </x:row>
    <x:row r="65" ht="20" customHeight="1">
      <x:c r="A65" s="190"/>
      <x:c r="B65" s="190"/>
      <x:c r="C65" s="190" t="str">
        <x:v>전수 후보</x:v>
      </x:c>
      <x:c r="D65" s="190" t="str">
        <x:v>레이더(s)</x:v>
      </x:c>
      <x:c r="E65" s="190"/>
      <x:c r="F65" s="190"/>
      <x:c r="G65" s="190"/>
      <x:c r="H65" s="263" t="n">
        <x:v>5.524000000000086</x:v>
      </x:c>
      <x:c r="I65" s="235" t="n">
        <x:v>199.3360000000001</x:v>
      </x:c>
      <x:c r="J65" s="214" t="n">
        <x:v>205.9240000000001</x:v>
      </x:c>
      <x:c r="K65" s="214" t="n">
        <x:v>225.82000000000008</x:v>
      </x:c>
      <x:c r="L65" s="208" t="n">
        <x:v>234.2160000000001</x:v>
      </x:c>
      <x:c r="M65" s="265" t="n">
        <x:v>599.1800000000001</x:v>
      </x:c>
      <x:c r="N65" s="214" t="n">
        <x:v>603.3520000000001</x:v>
      </x:c>
      <x:c r="O65" s="214" t="n">
        <x:v>608.1880000000001</x:v>
      </x:c>
      <x:c r="P65" s="266" t="n">
        <x:v>631.4640000000002</x:v>
      </x:c>
      <x:c r="Q65" s="266" t="n">
        <x:v>642.4000000000001</x:v>
      </x:c>
      <x:c r="R65" s="268" t="n">
        <x:v>657.8480000000001</x:v>
      </x:c>
      <x:c r="S65" s="268" t="n">
        <x:v>673.8000000000001</x:v>
      </x:c>
      <x:c r="T65" s="270" t="n">
        <x:v>708.3960000000001</x:v>
      </x:c>
      <x:c r="U65" s="219" t="n">
        <x:v>724.7840000000001</x:v>
      </x:c>
      <x:c r="V65" s="219" t="n">
        <x:v>732.8800000000001</x:v>
      </x:c>
      <x:c r="W65" s="219" t="n">
        <x:v>782.1360000000001</x:v>
      </x:c>
      <x:c r="X65" s="219" t="n">
        <x:v>790.7320000000001</x:v>
      </x:c>
      <x:c r="Y65" s="214" t="n">
        <x:v>795.7840000000001</x:v>
      </x:c>
      <x:c r="Z65" s="219" t="n">
        <x:v>836.4340000000001</x:v>
      </x:c>
      <x:c r="AA65" s="219" t="n">
        <x:v>849.2120000000001</x:v>
      </x:c>
      <x:c r="AB65" s="214" t="n">
        <x:v>855.3240000000002</x:v>
      </x:c>
      <x:c r="AC65" s="214" t="n">
        <x:v>866.9480000000001</x:v>
      </x:c>
      <x:c r="AD65" s="219" t="n">
        <x:v>871.4640000000002</x:v>
      </x:c>
      <x:c r="AE65" s="237" t="n">
        <x:v>889.3600000000001</x:v>
      </x:c>
      <x:c r="AF65" s="237" t="n">
        <x:v>1077.292</x:v>
      </x:c>
      <x:c r="AG65" s="239" t="n">
        <x:v>1094.244</x:v>
      </x:c>
      <x:c r="AH65" s="274" t="n">
        <x:v>1120.156</x:v>
      </x:c>
      <x:c r="AI65" s="241" t="n">
        <x:v>1134.564</x:v>
      </x:c>
      <x:c r="AJ65" s="241" t="n">
        <x:v>1147.924</x:v>
      </x:c>
      <x:c r="AK65" s="184"/>
      <x:c r="AL65" s="184"/>
      <x:c r="AM65" s="184"/>
      <x:c r="AN65" s="184"/>
      <x:c r="AO65" s="184"/>
      <x:c r="AP65" s="184"/>
      <x:c r="AQ65" s="184"/>
      <x:c r="AR65" s="184"/>
      <x:c r="AS65" s="184"/>
      <x:c r="AT65" s="184"/>
      <x:c r="AU65" s="184"/>
      <x:c r="AV65" s="184"/>
      <x:c r="AW65" s="184"/>
      <x:c r="AX65" s="184"/>
      <x:c r="AY65" s="184"/>
      <x:c r="AZ65" s="184"/>
      <x:c r="BA65" s="184"/>
      <x:c r="BB65" s="184"/>
      <x:c r="BC65" s="184"/>
      <x:c r="BD65" s="184"/>
      <x:c r="BE65" s="184"/>
      <x:c r="BF65" s="184"/>
      <x:c r="BG65" s="184"/>
      <x:c r="BH65" s="184"/>
      <x:c r="BI65" s="184"/>
      <x:c r="BJ65" s="184"/>
    </x:row>
    <x:row r="66" ht="20" customHeight="1">
      <x:c r="A66" s="190"/>
      <x:c r="B66" s="190"/>
      <x:c r="C66" s="190" t="str">
        <x:v>선택값</x:v>
      </x:c>
      <x:c r="D66" s="190" t="str">
        <x:v>레이더(s)</x:v>
      </x:c>
      <x:c r="E66" s="190"/>
      <x:c r="F66" s="190"/>
      <x:c r="G66" s="190"/>
      <x:c r="H66" s="263" t="n">
        <x:v>5.524</x:v>
      </x:c>
      <x:c r="I66" s="235" t="n">
        <x:v>199.336</x:v>
      </x:c>
      <x:c r="J66" s="184"/>
      <x:c r="K66" s="184"/>
      <x:c r="L66" s="208" t="n">
        <x:v>234.216</x:v>
      </x:c>
      <x:c r="M66" s="265" t="n">
        <x:v>599.18</x:v>
      </x:c>
      <x:c r="N66" s="184"/>
      <x:c r="O66" s="184"/>
      <x:c r="P66" s="268" t="n">
        <x:v>631.464</x:v>
      </x:c>
      <x:c r="Q66" s="268" t="n">
        <x:v>642.4</x:v>
      </x:c>
      <x:c r="R66" s="268" t="n">
        <x:v>657.848</x:v>
      </x:c>
      <x:c r="S66" s="268" t="n">
        <x:v>673.8</x:v>
      </x:c>
      <x:c r="T66" s="270" t="n">
        <x:v>708.396</x:v>
      </x:c>
      <x:c r="U66" s="270" t="n">
        <x:v>724.784</x:v>
      </x:c>
      <x:c r="V66" s="270" t="n">
        <x:v>732.88</x:v>
      </x:c>
      <x:c r="W66" s="270" t="n">
        <x:v>782.136</x:v>
      </x:c>
      <x:c r="X66" s="270" t="n">
        <x:v>790.732</x:v>
      </x:c>
      <x:c r="Y66" s="184"/>
      <x:c r="Z66" s="270" t="n">
        <x:v>836.434</x:v>
      </x:c>
      <x:c r="AA66" s="270" t="n">
        <x:v>849.212</x:v>
      </x:c>
      <x:c r="AB66" s="184"/>
      <x:c r="AC66" s="184"/>
      <x:c r="AD66" s="219" t="n">
        <x:v>871.464</x:v>
      </x:c>
      <x:c r="AE66" s="237" t="n">
        <x:v>889.36</x:v>
      </x:c>
      <x:c r="AF66" s="237" t="n">
        <x:v>1077.292</x:v>
      </x:c>
      <x:c r="AG66" s="239" t="n">
        <x:v>1094.244</x:v>
      </x:c>
      <x:c r="AH66" s="239" t="n">
        <x:v>1120.156</x:v>
      </x:c>
      <x:c r="AI66" s="231" t="n">
        <x:v>1134.564</x:v>
      </x:c>
      <x:c r="AJ66" s="231" t="n">
        <x:v>1147.924</x:v>
      </x:c>
      <x:c r="AK66" s="184"/>
      <x:c r="AL66" s="184"/>
      <x:c r="AM66" s="184"/>
      <x:c r="AN66" s="184"/>
      <x:c r="AO66" s="184"/>
      <x:c r="AP66" s="184"/>
      <x:c r="AQ66" s="184"/>
      <x:c r="AR66" s="184"/>
      <x:c r="AS66" s="184"/>
      <x:c r="AT66" s="184"/>
      <x:c r="AU66" s="184"/>
      <x:c r="AV66" s="184"/>
      <x:c r="AW66" s="184"/>
      <x:c r="AX66" s="184"/>
      <x:c r="AY66" s="184"/>
      <x:c r="AZ66" s="184"/>
      <x:c r="BA66" s="184"/>
      <x:c r="BB66" s="184"/>
      <x:c r="BC66" s="184"/>
      <x:c r="BD66" s="184"/>
      <x:c r="BE66" s="184"/>
      <x:c r="BF66" s="184"/>
      <x:c r="BG66" s="184"/>
      <x:c r="BH66" s="184"/>
      <x:c r="BI66" s="184"/>
      <x:c r="BJ66" s="184"/>
    </x:row>
    <x:row r="67" ht="34" customHeight="1">
      <x:c r="A67" s="195"/>
      <x:c r="B67" s="195"/>
      <x:c r="C67" s="195" t="str">
        <x:v>M번호 / 시나리오</x:v>
      </x:c>
      <x:c r="D67" s="195" t="str">
        <x:v>레이더(s)</x:v>
      </x:c>
      <x:c r="E67" s="195"/>
      <x:c r="F67" s="195"/>
      <x:c r="G67" s="195"/>
      <x:c r="H67" s="264" t="str">
        <x:v>M01 1 시작</x:v>
      </x:c>
      <x:c r="I67" s="236" t="str">
        <x:v>M02 1 종료</x:v>
      </x:c>
      <x:c r="J67" s="196"/>
      <x:c r="K67" s="196"/>
      <x:c r="L67" s="209" t="str">
        <x:v>M03 2 시작</x:v>
      </x:c>
      <x:c r="M67" s="278" t="str">
        <x:v>M04 2 종료</x:v>
      </x:c>
      <x:c r="N67" s="196"/>
      <x:c r="O67" s="196"/>
      <x:c r="P67" s="269" t="str">
        <x:v>M05 3-1 시작</x:v>
      </x:c>
      <x:c r="Q67" s="269" t="str">
        <x:v>M06 3-1 종료</x:v>
      </x:c>
      <x:c r="R67" s="269" t="str">
        <x:v>M07 3-2 시작</x:v>
      </x:c>
      <x:c r="S67" s="269" t="str">
        <x:v>M08 3-2 종료</x:v>
      </x:c>
      <x:c r="T67" s="271" t="str">
        <x:v>M09 4-1 시작</x:v>
      </x:c>
      <x:c r="U67" s="271" t="str">
        <x:v>M10 4-1 종료</x:v>
      </x:c>
      <x:c r="V67" s="271" t="str">
        <x:v>M11 4-2 시작</x:v>
      </x:c>
      <x:c r="W67" s="271" t="str">
        <x:v>M12 4-2 종료</x:v>
      </x:c>
      <x:c r="X67" s="271" t="str">
        <x:v>M13 4-3 시작</x:v>
      </x:c>
      <x:c r="Y67" s="196"/>
      <x:c r="Z67" s="271" t="str">
        <x:v>M14 4-3 종료</x:v>
      </x:c>
      <x:c r="AA67" s="271" t="str">
        <x:v>M15 4-4 시작</x:v>
      </x:c>
      <x:c r="AB67" s="196"/>
      <x:c r="AC67" s="196"/>
      <x:c r="AD67" s="220" t="str">
        <x:v>M16 4-4 종료</x:v>
      </x:c>
      <x:c r="AE67" s="238" t="str">
        <x:v>M17 5 시작</x:v>
      </x:c>
      <x:c r="AF67" s="238" t="str">
        <x:v>M18 5 종료</x:v>
      </x:c>
      <x:c r="AG67" s="240" t="str">
        <x:v>M19 6 시작</x:v>
      </x:c>
      <x:c r="AH67" s="240" t="str">
        <x:v>M20 6 종료</x:v>
      </x:c>
      <x:c r="AI67" s="232" t="str">
        <x:v>M21 7 시작</x:v>
      </x:c>
      <x:c r="AJ67" s="232" t="str">
        <x:v>M22 7 종료</x:v>
      </x:c>
      <x:c r="AK67" s="196"/>
      <x:c r="AL67" s="196"/>
      <x:c r="AM67" s="196"/>
      <x:c r="AN67" s="196"/>
      <x:c r="AO67" s="196"/>
      <x:c r="AP67" s="196"/>
      <x:c r="AQ67" s="196"/>
      <x:c r="AR67" s="196"/>
      <x:c r="AS67" s="196"/>
      <x:c r="AT67" s="196"/>
      <x:c r="AU67" s="196"/>
      <x:c r="AV67" s="196"/>
      <x:c r="AW67" s="196"/>
      <x:c r="AX67" s="196"/>
      <x:c r="AY67" s="196"/>
      <x:c r="AZ67" s="196"/>
      <x:c r="BA67" s="196"/>
      <x:c r="BB67" s="196"/>
      <x:c r="BC67" s="196"/>
      <x:c r="BD67" s="196"/>
      <x:c r="BE67" s="196"/>
      <x:c r="BF67" s="196"/>
      <x:c r="BG67" s="196"/>
      <x:c r="BH67" s="196"/>
      <x:c r="BI67" s="196"/>
      <x:c r="BJ67" s="196"/>
    </x:row>
    <x:row r="68" ht="20" customHeight="1">
      <x:c r="A68" s="198" t="n">
        <x:v>16</x:v>
      </x:c>
      <x:c r="B68" s="198" t="str">
        <x:v>S16_LJH</x:v>
      </x:c>
      <x:c r="C68" s="198" t="str">
        <x:v>RAW 8.5V</x:v>
      </x:c>
      <x:c r="D68" s="198" t="str">
        <x:v>레이더(s)</x:v>
      </x:c>
      <x:c r="E68" s="198" t="n">
        <x:v>22</x:v>
      </x:c>
      <x:c r="F68" s="198" t="n">
        <x:v>22</x:v>
      </x:c>
      <x:c r="G68" s="262" t="str">
        <x:v>시간 구간 확인 필요</x:v>
      </x:c>
      <x:c r="H68" s="263" t="n">
        <x:v>12.916000000000002</x:v>
      </x:c>
      <x:c r="I68" s="184"/>
      <x:c r="J68" s="263" t="n">
        <x:v>206.04399999999998</x:v>
      </x:c>
      <x:c r="K68" s="206" t="n">
        <x:v>282.012</x:v>
      </x:c>
      <x:c r="L68" s="184"/>
      <x:c r="M68" s="184"/>
      <x:c r="N68" s="184"/>
      <x:c r="O68" s="184"/>
      <x:c r="P68" s="184" t="n">
        <x:v>658.673</x:v>
      </x:c>
      <x:c r="Q68" s="206" t="n">
        <x:v>759.14</x:v>
      </x:c>
      <x:c r="R68" s="268" t="n">
        <x:v>771.148</x:v>
      </x:c>
      <x:c r="S68" s="268" t="n">
        <x:v>780.772</x:v>
      </x:c>
      <x:c r="T68" s="268" t="n">
        <x:v>799.0640000000001</x:v>
      </x:c>
      <x:c r="U68" s="268" t="n">
        <x:v>814.0880000000001</x:v>
      </x:c>
      <x:c r="V68" s="270" t="n">
        <x:v>928.9680000000001</x:v>
      </x:c>
      <x:c r="W68" s="270" t="n">
        <x:v>945.832</x:v>
      </x:c>
      <x:c r="X68" s="270" t="n">
        <x:v>957.718</x:v>
      </x:c>
      <x:c r="Y68" s="219"/>
      <x:c r="Z68" s="219"/>
      <x:c r="AA68" s="270" t="n">
        <x:v>1062.26</x:v>
      </x:c>
      <x:c r="AB68" s="270" t="n">
        <x:v>1077.616</x:v>
      </x:c>
      <x:c r="AC68" s="270" t="n">
        <x:v>1088.956</x:v>
      </x:c>
      <x:c r="AD68" s="237" t="n">
        <x:v>1179.348</x:v>
      </x:c>
      <x:c r="AE68" s="237" t="n">
        <x:v>1372.2679999999998</x:v>
      </x:c>
      <x:c r="AF68" s="239" t="n">
        <x:v>1424.58</x:v>
      </x:c>
      <x:c r="AG68" s="239" t="n">
        <x:v>1455.808</x:v>
      </x:c>
      <x:c r="AH68" s="231" t="n">
        <x:v>1486.312</x:v>
      </x:c>
      <x:c r="AI68" s="231" t="n">
        <x:v>1506.356</x:v>
      </x:c>
      <x:c r="AJ68" s="184"/>
      <x:c r="AK68" s="184"/>
      <x:c r="AL68" s="184"/>
      <x:c r="AM68" s="184"/>
      <x:c r="AN68" s="184"/>
      <x:c r="AO68" s="184"/>
      <x:c r="AP68" s="184"/>
      <x:c r="AQ68" s="184"/>
      <x:c r="AR68" s="184"/>
      <x:c r="AS68" s="184"/>
      <x:c r="AT68" s="184"/>
      <x:c r="AU68" s="184"/>
      <x:c r="AV68" s="184"/>
      <x:c r="AW68" s="184"/>
      <x:c r="AX68" s="184"/>
      <x:c r="AY68" s="184"/>
      <x:c r="AZ68" s="184"/>
      <x:c r="BA68" s="184"/>
      <x:c r="BB68" s="184"/>
      <x:c r="BC68" s="184"/>
      <x:c r="BD68" s="184"/>
      <x:c r="BE68" s="184"/>
      <x:c r="BF68" s="184"/>
      <x:c r="BG68" s="184"/>
      <x:c r="BH68" s="184"/>
      <x:c r="BI68" s="184"/>
      <x:c r="BJ68" s="184"/>
    </x:row>
    <x:row r="69" ht="20" customHeight="1">
      <x:c r="A69" s="190"/>
      <x:c r="B69" s="190"/>
      <x:c r="C69" s="190" t="str">
        <x:v>전수 후보</x:v>
      </x:c>
      <x:c r="D69" s="190" t="str">
        <x:v>레이더(s)</x:v>
      </x:c>
      <x:c r="E69" s="190"/>
      <x:c r="F69" s="190"/>
      <x:c r="G69" s="190"/>
      <x:c r="H69" s="263" t="n">
        <x:v>12.91600000000005</x:v>
      </x:c>
      <x:c r="I69" s="214" t="n">
        <x:v>18.72000000000005</x:v>
      </x:c>
      <x:c r="J69" s="263" t="n">
        <x:v>206.04400000000004</x:v>
      </x:c>
      <x:c r="K69" s="206" t="n">
        <x:v>282.012</x:v>
      </x:c>
      <x:c r="L69" s="184" t="n">
        <x:v>530.2352</x:v>
      </x:c>
      <x:c r="M69" s="184" t="n">
        <x:v>550.724</x:v>
      </x:c>
      <x:c r="N69" s="184" t="n">
        <x:v>557.582</x:v>
      </x:c>
      <x:c r="O69" s="184" t="n">
        <x:v>564.1560000000001</x:v>
      </x:c>
      <x:c r="P69" s="184" t="n">
        <x:v>654.9440000000001</x:v>
      </x:c>
      <x:c r="Q69" s="265" t="n">
        <x:v>759.14</x:v>
      </x:c>
      <x:c r="R69" s="266" t="n">
        <x:v>771.148</x:v>
      </x:c>
      <x:c r="S69" s="266" t="n">
        <x:v>780.772</x:v>
      </x:c>
      <x:c r="T69" s="266" t="n">
        <x:v>800.294</x:v>
      </x:c>
      <x:c r="U69" s="266" t="n">
        <x:v>814.0880000000001</x:v>
      </x:c>
      <x:c r="V69" s="270" t="n">
        <x:v>928.9680000000001</x:v>
      </x:c>
      <x:c r="W69" s="219" t="n">
        <x:v>945.196</x:v>
      </x:c>
      <x:c r="X69" s="219" t="n">
        <x:v>956.196</x:v>
      </x:c>
      <x:c r="Y69" s="219" t="n">
        <x:v>1004.218</x:v>
      </x:c>
      <x:c r="Z69" s="219" t="n">
        <x:v>1016.964</x:v>
      </x:c>
      <x:c r="AA69" s="270" t="n">
        <x:v>1062.2600000000002</x:v>
      </x:c>
      <x:c r="AB69" s="219" t="n">
        <x:v>1077.6160000000002</x:v>
      </x:c>
      <x:c r="AC69" s="219" t="n">
        <x:v>1088.9560000000001</x:v>
      </x:c>
      <x:c r="AD69" s="237" t="n">
        <x:v>1179.3480000000002</x:v>
      </x:c>
      <x:c r="AE69" s="237" t="n">
        <x:v>1372.268</x:v>
      </x:c>
      <x:c r="AF69" s="239" t="n">
        <x:v>1424.5800000000002</x:v>
      </x:c>
      <x:c r="AG69" s="239" t="n">
        <x:v>1455.8080000000002</x:v>
      </x:c>
      <x:c r="AH69" s="231" t="n">
        <x:v>1486.3120000000001</x:v>
      </x:c>
      <x:c r="AI69" s="231" t="n">
        <x:v>1506.3560000000002</x:v>
      </x:c>
      <x:c r="AJ69" s="184"/>
      <x:c r="AK69" s="184"/>
      <x:c r="AL69" s="184"/>
      <x:c r="AM69" s="184"/>
      <x:c r="AN69" s="184"/>
      <x:c r="AO69" s="184"/>
      <x:c r="AP69" s="184"/>
      <x:c r="AQ69" s="184"/>
      <x:c r="AR69" s="184"/>
      <x:c r="AS69" s="184"/>
      <x:c r="AT69" s="184"/>
      <x:c r="AU69" s="184"/>
      <x:c r="AV69" s="184"/>
      <x:c r="AW69" s="184"/>
      <x:c r="AX69" s="184"/>
      <x:c r="AY69" s="184"/>
      <x:c r="AZ69" s="184"/>
      <x:c r="BA69" s="184"/>
      <x:c r="BB69" s="184"/>
      <x:c r="BC69" s="184"/>
      <x:c r="BD69" s="184"/>
      <x:c r="BE69" s="184"/>
      <x:c r="BF69" s="184"/>
      <x:c r="BG69" s="184"/>
      <x:c r="BH69" s="184"/>
      <x:c r="BI69" s="184"/>
      <x:c r="BJ69" s="184"/>
    </x:row>
    <x:row r="70" ht="20" customHeight="1">
      <x:c r="A70" s="190"/>
      <x:c r="B70" s="190"/>
      <x:c r="C70" s="190" t="str">
        <x:v>선택값</x:v>
      </x:c>
      <x:c r="D70" s="190" t="str">
        <x:v>레이더(s)</x:v>
      </x:c>
      <x:c r="E70" s="190"/>
      <x:c r="F70" s="190"/>
      <x:c r="G70" s="190"/>
      <x:c r="H70" s="263" t="n">
        <x:v>12.916</x:v>
      </x:c>
      <x:c r="I70" s="184"/>
      <x:c r="J70" s="263" t="n">
        <x:v>206.044</x:v>
      </x:c>
      <x:c r="K70" s="206" t="n">
        <x:v>282.012</x:v>
      </x:c>
      <x:c r="L70" s="184"/>
      <x:c r="M70" s="184"/>
      <x:c r="N70" s="184"/>
      <x:c r="O70" s="184"/>
      <x:c r="P70" s="184"/>
      <x:c r="Q70" s="206" t="n">
        <x:v>759.14</x:v>
      </x:c>
      <x:c r="R70" s="268" t="n">
        <x:v>771.148</x:v>
      </x:c>
      <x:c r="S70" s="268" t="n">
        <x:v>780.772</x:v>
      </x:c>
      <x:c r="T70" s="268" t="n">
        <x:v>800.294</x:v>
      </x:c>
      <x:c r="U70" s="268" t="n">
        <x:v>814.088</x:v>
      </x:c>
      <x:c r="V70" s="270" t="n">
        <x:v>928.968</x:v>
      </x:c>
      <x:c r="W70" s="270" t="n">
        <x:v>945.196</x:v>
      </x:c>
      <x:c r="X70" s="270" t="n">
        <x:v>956.196</x:v>
      </x:c>
      <x:c r="Y70" s="219" t="n">
        <x:v>1004.218</x:v>
      </x:c>
      <x:c r="Z70" s="219" t="n">
        <x:v>1016.964</x:v>
      </x:c>
      <x:c r="AA70" s="270" t="n">
        <x:v>1062.26</x:v>
      </x:c>
      <x:c r="AB70" s="270" t="n">
        <x:v>1077.616</x:v>
      </x:c>
      <x:c r="AC70" s="270" t="n">
        <x:v>1088.956</x:v>
      </x:c>
      <x:c r="AD70" s="237" t="n">
        <x:v>1179.348</x:v>
      </x:c>
      <x:c r="AE70" s="237" t="n">
        <x:v>1372.268</x:v>
      </x:c>
      <x:c r="AF70" s="239" t="n">
        <x:v>1424.58</x:v>
      </x:c>
      <x:c r="AG70" s="239" t="n">
        <x:v>1455.808</x:v>
      </x:c>
      <x:c r="AH70" s="231" t="n">
        <x:v>1486.312</x:v>
      </x:c>
      <x:c r="AI70" s="231" t="n">
        <x:v>1506.356</x:v>
      </x:c>
      <x:c r="AJ70" s="184"/>
      <x:c r="AK70" s="184"/>
      <x:c r="AL70" s="184"/>
      <x:c r="AM70" s="184"/>
      <x:c r="AN70" s="184"/>
      <x:c r="AO70" s="184"/>
      <x:c r="AP70" s="184"/>
      <x:c r="AQ70" s="184"/>
      <x:c r="AR70" s="184"/>
      <x:c r="AS70" s="184"/>
      <x:c r="AT70" s="184"/>
      <x:c r="AU70" s="184"/>
      <x:c r="AV70" s="184"/>
      <x:c r="AW70" s="184"/>
      <x:c r="AX70" s="184"/>
      <x:c r="AY70" s="184"/>
      <x:c r="AZ70" s="184"/>
      <x:c r="BA70" s="184"/>
      <x:c r="BB70" s="184"/>
      <x:c r="BC70" s="184"/>
      <x:c r="BD70" s="184"/>
      <x:c r="BE70" s="184"/>
      <x:c r="BF70" s="184"/>
      <x:c r="BG70" s="184"/>
      <x:c r="BH70" s="184"/>
      <x:c r="BI70" s="184"/>
      <x:c r="BJ70" s="184"/>
    </x:row>
    <x:row r="71" ht="34" customHeight="1">
      <x:c r="A71" s="195"/>
      <x:c r="B71" s="195"/>
      <x:c r="C71" s="195" t="str">
        <x:v>M번호 / 시나리오</x:v>
      </x:c>
      <x:c r="D71" s="195" t="str">
        <x:v>레이더(s)</x:v>
      </x:c>
      <x:c r="E71" s="195"/>
      <x:c r="F71" s="195"/>
      <x:c r="G71" s="195"/>
      <x:c r="H71" s="264" t="str">
        <x:v>M01 1 시작</x:v>
      </x:c>
      <x:c r="I71" s="196"/>
      <x:c r="J71" s="264" t="str">
        <x:v>M02 1 종료</x:v>
      </x:c>
      <x:c r="K71" s="207" t="str">
        <x:v>M03 2 시작</x:v>
      </x:c>
      <x:c r="L71" s="196"/>
      <x:c r="M71" s="196"/>
      <x:c r="N71" s="196"/>
      <x:c r="O71" s="196"/>
      <x:c r="P71" s="196"/>
      <x:c r="Q71" s="207" t="str">
        <x:v>M04 2 종료</x:v>
      </x:c>
      <x:c r="R71" s="269" t="str">
        <x:v>M05 3-1 시작</x:v>
      </x:c>
      <x:c r="S71" s="269" t="str">
        <x:v>M06 3-1 종료</x:v>
      </x:c>
      <x:c r="T71" s="269" t="str">
        <x:v>M07 3-2 시작</x:v>
      </x:c>
      <x:c r="U71" s="269" t="str">
        <x:v>M08 3-2 종료</x:v>
      </x:c>
      <x:c r="V71" s="271" t="str">
        <x:v>M09 4-1 시작</x:v>
      </x:c>
      <x:c r="W71" s="271" t="str">
        <x:v>M10 4-1 종료</x:v>
      </x:c>
      <x:c r="X71" s="271" t="str">
        <x:v>M11 4-2 시작</x:v>
      </x:c>
      <x:c r="Y71" s="220" t="str">
        <x:v>M12 4-2 종료</x:v>
      </x:c>
      <x:c r="Z71" s="220" t="str">
        <x:v>M13 4-3 시작</x:v>
      </x:c>
      <x:c r="AA71" s="271" t="str">
        <x:v>M14 4-3 종료</x:v>
      </x:c>
      <x:c r="AB71" s="271" t="str">
        <x:v>M15 4-4 시작</x:v>
      </x:c>
      <x:c r="AC71" s="271" t="str">
        <x:v>M16 4-4 종료</x:v>
      </x:c>
      <x:c r="AD71" s="238" t="str">
        <x:v>M17 5 시작</x:v>
      </x:c>
      <x:c r="AE71" s="238" t="str">
        <x:v>M18 5 종료</x:v>
      </x:c>
      <x:c r="AF71" s="240" t="str">
        <x:v>M19 6 시작</x:v>
      </x:c>
      <x:c r="AG71" s="240" t="str">
        <x:v>M20 6 종료</x:v>
      </x:c>
      <x:c r="AH71" s="232" t="str">
        <x:v>M21 7 시작</x:v>
      </x:c>
      <x:c r="AI71" s="232" t="str">
        <x:v>M22 7 종료</x:v>
      </x:c>
      <x:c r="AJ71" s="196"/>
      <x:c r="AK71" s="196"/>
      <x:c r="AL71" s="196"/>
      <x:c r="AM71" s="196"/>
      <x:c r="AN71" s="196"/>
      <x:c r="AO71" s="196"/>
      <x:c r="AP71" s="196"/>
      <x:c r="AQ71" s="196"/>
      <x:c r="AR71" s="196"/>
      <x:c r="AS71" s="196"/>
      <x:c r="AT71" s="196"/>
      <x:c r="AU71" s="196"/>
      <x:c r="AV71" s="196"/>
      <x:c r="AW71" s="196"/>
      <x:c r="AX71" s="196"/>
      <x:c r="AY71" s="196"/>
      <x:c r="AZ71" s="196"/>
      <x:c r="BA71" s="196"/>
      <x:c r="BB71" s="196"/>
      <x:c r="BC71" s="196"/>
      <x:c r="BD71" s="196"/>
      <x:c r="BE71" s="196"/>
      <x:c r="BF71" s="196"/>
      <x:c r="BG71" s="196"/>
      <x:c r="BH71" s="196"/>
      <x:c r="BI71" s="196"/>
      <x:c r="BJ71" s="196"/>
    </x:row>
    <x:row r="72" ht="20" customHeight="1">
      <x:c r="A72" s="198" t="n">
        <x:v>17</x:v>
      </x:c>
      <x:c r="B72" s="198" t="str">
        <x:v>S17_RJS</x:v>
      </x:c>
      <x:c r="C72" s="198" t="str">
        <x:v>RAW 8.5V</x:v>
      </x:c>
      <x:c r="D72" s="198" t="str">
        <x:v>레이더(s)</x:v>
      </x:c>
      <x:c r="E72" s="198" t="n">
        <x:v>22</x:v>
      </x:c>
      <x:c r="F72" s="198" t="n">
        <x:v>22</x:v>
      </x:c>
      <x:c r="G72" s="277" t="str">
        <x:v>자동 점검 통과</x:v>
      </x:c>
      <x:c r="H72" s="235"/>
      <x:c r="I72" s="184" t="n">
        <x:v>24.573333333333334</x:v>
      </x:c>
      <x:c r="J72" s="235"/>
      <x:c r="K72" s="184" t="n">
        <x:v>219.1896</x:v>
      </x:c>
      <x:c r="L72" s="184"/>
      <x:c r="M72" s="265"/>
      <x:c r="N72" s="184" t="n">
        <x:v>240.03745454545452</x:v>
      </x:c>
      <x:c r="O72" s="184"/>
      <x:c r="P72" s="265"/>
      <x:c r="Q72" s="184" t="n">
        <x:v>614.0582222222223</x:v>
      </x:c>
      <x:c r="R72" s="266"/>
      <x:c r="S72" s="184" t="n">
        <x:v>671.926</x:v>
      </x:c>
      <x:c r="T72" s="266"/>
      <x:c r="U72" s="184" t="n">
        <x:v>685.58</x:v>
      </x:c>
      <x:c r="V72" s="266"/>
      <x:c r="W72" s="184" t="n">
        <x:v>701.21</x:v>
      </x:c>
      <x:c r="X72" s="266"/>
      <x:c r="Y72" s="184" t="n">
        <x:v>715.128</x:v>
      </x:c>
      <x:c r="Z72" s="219"/>
      <x:c r="AA72" s="184" t="n">
        <x:v>764.921142857143</x:v>
      </x:c>
      <x:c r="AB72" s="219"/>
      <x:c r="AC72" s="219"/>
      <x:c r="AD72" s="184" t="n">
        <x:v>791.5016</x:v>
      </x:c>
      <x:c r="AE72" s="219"/>
      <x:c r="AF72" s="219"/>
      <x:c r="AG72" s="184" t="n">
        <x:v>851.7628571428572</x:v>
      </x:c>
      <x:c r="AH72" s="219"/>
      <x:c r="AI72" s="219"/>
      <x:c r="AJ72" s="184" t="n">
        <x:v>919.732</x:v>
      </x:c>
      <x:c r="AK72" s="219"/>
      <x:c r="AL72" s="272"/>
      <x:c r="AM72" s="272"/>
      <x:c r="AN72" s="184" t="n">
        <x:v>1159.5773333333334</x:v>
      </x:c>
      <x:c r="AO72" s="274"/>
      <x:c r="AP72" s="274"/>
      <x:c r="AQ72" s="241"/>
      <x:c r="AR72" s="184" t="n">
        <x:v>1249.38</x:v>
      </x:c>
      <x:c r="AS72" s="241"/>
      <x:c r="AT72" s="184" t="n">
        <x:v>1261.544</x:v>
      </x:c>
      <x:c r="AU72" s="184"/>
      <x:c r="AV72" s="184"/>
      <x:c r="AW72" s="184"/>
      <x:c r="AX72" s="184"/>
      <x:c r="AY72" s="184"/>
      <x:c r="AZ72" s="184"/>
      <x:c r="BA72" s="184"/>
      <x:c r="BB72" s="184"/>
      <x:c r="BC72" s="184"/>
      <x:c r="BD72" s="184"/>
      <x:c r="BE72" s="184"/>
      <x:c r="BF72" s="184"/>
      <x:c r="BG72" s="184"/>
      <x:c r="BH72" s="184"/>
      <x:c r="BI72" s="184"/>
      <x:c r="BJ72" s="184"/>
    </x:row>
    <x:row r="73" ht="20" customHeight="1">
      <x:c r="A73" s="190"/>
      <x:c r="B73" s="190"/>
      <x:c r="C73" s="190" t="str">
        <x:v>전수 후보</x:v>
      </x:c>
      <x:c r="D73" s="190" t="str">
        <x:v>레이더(s)</x:v>
      </x:c>
      <x:c r="E73" s="190"/>
      <x:c r="F73" s="190"/>
      <x:c r="G73" s="190"/>
      <x:c r="H73" s="235" t="n">
        <x:v>15.872500000000063</x:v>
      </x:c>
      <x:c r="I73" s="184"/>
      <x:c r="J73" s="235" t="n">
        <x:v>209.8093333333334</x:v>
      </x:c>
      <x:c r="K73" s="184"/>
      <x:c r="L73" s="214" t="n">
        <x:v>227.92400000000006</x:v>
      </x:c>
      <x:c r="M73" s="265" t="n">
        <x:v>232.94600000000005</x:v>
      </x:c>
      <x:c r="N73" s="184"/>
      <x:c r="O73" s="184" t="n">
        <x:v>457.5200000000001</x:v>
      </x:c>
      <x:c r="P73" s="265" t="n">
        <x:v>604.3144000000001</x:v>
      </x:c>
      <x:c r="Q73" s="184"/>
      <x:c r="R73" s="266" t="n">
        <x:v>663.2120000000001</x:v>
      </x:c>
      <x:c r="S73" s="184"/>
      <x:c r="T73" s="266" t="n">
        <x:v>676.8386666666668</x:v>
      </x:c>
      <x:c r="U73" s="184"/>
      <x:c r="V73" s="266" t="n">
        <x:v>692.6408</x:v>
      </x:c>
      <x:c r="W73" s="184"/>
      <x:c r="X73" s="266" t="n">
        <x:v>705.4159999999999</x:v>
      </x:c>
      <x:c r="Y73" s="184"/>
      <x:c r="Z73" s="219" t="n">
        <x:v>756.3466666666666</x:v>
      </x:c>
      <x:c r="AA73" s="184"/>
      <x:c r="AB73" s="219" t="n">
        <x:v>770.6166666666668</x:v>
      </x:c>
      <x:c r="AC73" s="219" t="n">
        <x:v>782.38</x:v>
      </x:c>
      <x:c r="AD73" s="184"/>
      <x:c r="AE73" s="219" t="n">
        <x:v>828.0905000000001</x:v>
      </x:c>
      <x:c r="AF73" s="219" t="n">
        <x:v>842.6628571428572</x:v>
      </x:c>
      <x:c r="AG73" s="184"/>
      <x:c r="AH73" s="219" t="n">
        <x:v>892.4200000000001</x:v>
      </x:c>
      <x:c r="AI73" s="219" t="n">
        <x:v>910.9164999999999</x:v>
      </x:c>
      <x:c r="AJ73" s="184"/>
      <x:c r="AK73" s="219" t="n">
        <x:v>923.9386666666667</x:v>
      </x:c>
      <x:c r="AL73" s="272" t="n">
        <x:v>960.7520000000001</x:v>
      </x:c>
      <x:c r="AM73" s="272" t="n">
        <x:v>1148.8215000000002</x:v>
      </x:c>
      <x:c r="AN73" s="184"/>
      <x:c r="AO73" s="274" t="n">
        <x:v>1189.366</x:v>
      </x:c>
      <x:c r="AP73" s="274" t="n">
        <x:v>1214.386</x:v>
      </x:c>
      <x:c r="AQ73" s="241" t="n">
        <x:v>1240.432</x:v>
      </x:c>
      <x:c r="AR73" s="184"/>
      <x:c r="AS73" s="241" t="n">
        <x:v>1253.5580000000002</x:v>
      </x:c>
      <x:c r="AT73" s="184"/>
      <x:c r="AU73" s="184"/>
      <x:c r="AV73" s="184"/>
      <x:c r="AW73" s="184"/>
      <x:c r="AX73" s="184"/>
      <x:c r="AY73" s="184"/>
      <x:c r="AZ73" s="184"/>
      <x:c r="BA73" s="184"/>
      <x:c r="BB73" s="184"/>
      <x:c r="BC73" s="184"/>
      <x:c r="BD73" s="184"/>
      <x:c r="BE73" s="184"/>
      <x:c r="BF73" s="184"/>
      <x:c r="BG73" s="184"/>
      <x:c r="BH73" s="184"/>
      <x:c r="BI73" s="184"/>
      <x:c r="BJ73" s="184"/>
    </x:row>
    <x:row r="74" ht="20" customHeight="1">
      <x:c r="A74" s="190"/>
      <x:c r="B74" s="190"/>
      <x:c r="C74" s="190" t="str">
        <x:v>선택값</x:v>
      </x:c>
      <x:c r="D74" s="190" t="str">
        <x:v>레이더(s)</x:v>
      </x:c>
      <x:c r="E74" s="190"/>
      <x:c r="F74" s="190"/>
      <x:c r="G74" s="190"/>
      <x:c r="H74" s="235" t="n">
        <x:v>15.873</x:v>
      </x:c>
      <x:c r="I74" s="184"/>
      <x:c r="J74" s="235" t="n">
        <x:v>209.809</x:v>
      </x:c>
      <x:c r="K74" s="184"/>
      <x:c r="L74" s="184"/>
      <x:c r="M74" s="265" t="n">
        <x:v>232.946</x:v>
      </x:c>
      <x:c r="N74" s="184"/>
      <x:c r="O74" s="184"/>
      <x:c r="P74" s="265" t="n">
        <x:v>604.314</x:v>
      </x:c>
      <x:c r="Q74" s="184"/>
      <x:c r="R74" s="266" t="n">
        <x:v>663.212</x:v>
      </x:c>
      <x:c r="S74" s="184"/>
      <x:c r="T74" s="266" t="n">
        <x:v>676.839</x:v>
      </x:c>
      <x:c r="U74" s="184"/>
      <x:c r="V74" s="266" t="n">
        <x:v>692.641</x:v>
      </x:c>
      <x:c r="W74" s="184"/>
      <x:c r="X74" s="266" t="n">
        <x:v>705.416</x:v>
      </x:c>
      <x:c r="Y74" s="184"/>
      <x:c r="Z74" s="219" t="n">
        <x:v>756.347</x:v>
      </x:c>
      <x:c r="AA74" s="184"/>
      <x:c r="AB74" s="219" t="n">
        <x:v>770.617</x:v>
      </x:c>
      <x:c r="AC74" s="219" t="n">
        <x:v>782.38</x:v>
      </x:c>
      <x:c r="AD74" s="184"/>
      <x:c r="AE74" s="219" t="n">
        <x:v>828.091</x:v>
      </x:c>
      <x:c r="AF74" s="219" t="n">
        <x:v>842.663</x:v>
      </x:c>
      <x:c r="AG74" s="184"/>
      <x:c r="AH74" s="219" t="n">
        <x:v>892.42</x:v>
      </x:c>
      <x:c r="AI74" s="219" t="n">
        <x:v>910.917</x:v>
      </x:c>
      <x:c r="AJ74" s="184"/>
      <x:c r="AK74" s="219" t="n">
        <x:v>923.939</x:v>
      </x:c>
      <x:c r="AL74" s="272" t="n">
        <x:v>960.752</x:v>
      </x:c>
      <x:c r="AM74" s="272" t="n">
        <x:v>1148.822</x:v>
      </x:c>
      <x:c r="AN74" s="184"/>
      <x:c r="AO74" s="274" t="n">
        <x:v>1189.366</x:v>
      </x:c>
      <x:c r="AP74" s="274" t="n">
        <x:v>1214.386</x:v>
      </x:c>
      <x:c r="AQ74" s="241" t="n">
        <x:v>1240.432</x:v>
      </x:c>
      <x:c r="AR74" s="184"/>
      <x:c r="AS74" s="241" t="n">
        <x:v>1253.558</x:v>
      </x:c>
      <x:c r="AT74" s="184"/>
      <x:c r="AU74" s="184"/>
      <x:c r="AV74" s="184"/>
      <x:c r="AW74" s="184"/>
      <x:c r="AX74" s="184"/>
      <x:c r="AY74" s="184"/>
      <x:c r="AZ74" s="184"/>
      <x:c r="BA74" s="184"/>
      <x:c r="BB74" s="184"/>
      <x:c r="BC74" s="184"/>
      <x:c r="BD74" s="184"/>
      <x:c r="BE74" s="184"/>
      <x:c r="BF74" s="184"/>
      <x:c r="BG74" s="184"/>
      <x:c r="BH74" s="184"/>
      <x:c r="BI74" s="184"/>
      <x:c r="BJ74" s="184"/>
    </x:row>
    <x:row r="75" ht="34" customHeight="1">
      <x:c r="A75" s="195"/>
      <x:c r="B75" s="195"/>
      <x:c r="C75" s="195" t="str">
        <x:v>M번호 / 시나리오</x:v>
      </x:c>
      <x:c r="D75" s="195" t="str">
        <x:v>레이더(s)</x:v>
      </x:c>
      <x:c r="E75" s="195"/>
      <x:c r="F75" s="195"/>
      <x:c r="G75" s="195"/>
      <x:c r="H75" s="236" t="str">
        <x:v>M01 1 시작</x:v>
      </x:c>
      <x:c r="I75" s="196"/>
      <x:c r="J75" s="236" t="str">
        <x:v>M02 1 종료</x:v>
      </x:c>
      <x:c r="K75" s="196"/>
      <x:c r="L75" s="196"/>
      <x:c r="M75" s="278" t="str">
        <x:v>M03 2 시작</x:v>
      </x:c>
      <x:c r="N75" s="196"/>
      <x:c r="O75" s="196"/>
      <x:c r="P75" s="278" t="str">
        <x:v>M04 2 종료</x:v>
      </x:c>
      <x:c r="Q75" s="196"/>
      <x:c r="R75" s="267" t="str">
        <x:v>M05 3-1 시작</x:v>
      </x:c>
      <x:c r="S75" s="196"/>
      <x:c r="T75" s="267" t="str">
        <x:v>M06 3-1 종료</x:v>
      </x:c>
      <x:c r="U75" s="196"/>
      <x:c r="V75" s="267" t="str">
        <x:v>M07 3-2 시작</x:v>
      </x:c>
      <x:c r="W75" s="196"/>
      <x:c r="X75" s="267" t="str">
        <x:v>M08 3-2 종료</x:v>
      </x:c>
      <x:c r="Y75" s="196"/>
      <x:c r="Z75" s="220" t="str">
        <x:v>M09 4-1 시작</x:v>
      </x:c>
      <x:c r="AA75" s="196"/>
      <x:c r="AB75" s="220" t="str">
        <x:v>M10 4-1 종료</x:v>
      </x:c>
      <x:c r="AC75" s="220" t="str">
        <x:v>M11 4-2 시작</x:v>
      </x:c>
      <x:c r="AD75" s="196"/>
      <x:c r="AE75" s="220" t="str">
        <x:v>M12 4-2 종료</x:v>
      </x:c>
      <x:c r="AF75" s="220" t="str">
        <x:v>M13 4-3 시작</x:v>
      </x:c>
      <x:c r="AG75" s="196"/>
      <x:c r="AH75" s="220" t="str">
        <x:v>M14 4-3 종료</x:v>
      </x:c>
      <x:c r="AI75" s="220" t="str">
        <x:v>M15 4-4 시작</x:v>
      </x:c>
      <x:c r="AJ75" s="196"/>
      <x:c r="AK75" s="220" t="str">
        <x:v>M16 4-4 종료</x:v>
      </x:c>
      <x:c r="AL75" s="273" t="str">
        <x:v>M17 5 시작</x:v>
      </x:c>
      <x:c r="AM75" s="273" t="str">
        <x:v>M18 5 종료</x:v>
      </x:c>
      <x:c r="AN75" s="196"/>
      <x:c r="AO75" s="275" t="str">
        <x:v>M19 6 시작</x:v>
      </x:c>
      <x:c r="AP75" s="275" t="str">
        <x:v>M20 6 종료</x:v>
      </x:c>
      <x:c r="AQ75" s="279" t="str">
        <x:v>M21 7 시작</x:v>
      </x:c>
      <x:c r="AR75" s="196"/>
      <x:c r="AS75" s="279" t="str">
        <x:v>M22 7 종료</x:v>
      </x:c>
      <x:c r="AT75" s="196"/>
      <x:c r="AU75" s="196"/>
      <x:c r="AV75" s="196"/>
      <x:c r="AW75" s="196"/>
      <x:c r="AX75" s="196"/>
      <x:c r="AY75" s="196"/>
      <x:c r="AZ75" s="196"/>
      <x:c r="BA75" s="196"/>
      <x:c r="BB75" s="196"/>
      <x:c r="BC75" s="196"/>
      <x:c r="BD75" s="196"/>
      <x:c r="BE75" s="196"/>
      <x:c r="BF75" s="196"/>
      <x:c r="BG75" s="196"/>
      <x:c r="BH75" s="196"/>
      <x:c r="BI75" s="196"/>
      <x:c r="BJ75" s="196"/>
    </x:row>
    <x:row r="76" ht="20" customHeight="1">
      <x:c r="A76" s="198" t="n">
        <x:v>18</x:v>
      </x:c>
      <x:c r="B76" s="198" t="str">
        <x:v>S18_LJH</x:v>
      </x:c>
      <x:c r="C76" s="198" t="str">
        <x:v>RAW 8.5V</x:v>
      </x:c>
      <x:c r="D76" s="198" t="str">
        <x:v>레이더(s)</x:v>
      </x:c>
      <x:c r="E76" s="198" t="n">
        <x:v>22</x:v>
      </x:c>
      <x:c r="F76" s="198" t="n">
        <x:v>22</x:v>
      </x:c>
      <x:c r="G76" s="277" t="str">
        <x:v>자동 점검 통과</x:v>
      </x:c>
      <x:c r="H76" s="263" t="n">
        <x:v>15.296</x:v>
      </x:c>
      <x:c r="I76" s="263" t="n">
        <x:v>211.67999999999998</x:v>
      </x:c>
      <x:c r="J76" s="208" t="n">
        <x:v>231.176</x:v>
      </x:c>
      <x:c r="K76" s="184"/>
      <x:c r="L76" s="184"/>
      <x:c r="M76" s="208" t="n">
        <x:v>603.692</x:v>
      </x:c>
      <x:c r="N76" s="268" t="n">
        <x:v>637.644</x:v>
      </x:c>
      <x:c r="O76" s="268" t="n">
        <x:v>652.888</x:v>
      </x:c>
      <x:c r="P76" s="268" t="n">
        <x:v>669.5400000000001</x:v>
      </x:c>
      <x:c r="Q76" s="268" t="n">
        <x:v>681.076</x:v>
      </x:c>
      <x:c r="R76" s="270" t="n">
        <x:v>723.024</x:v>
      </x:c>
      <x:c r="S76" s="270" t="n">
        <x:v>738.546</x:v>
      </x:c>
      <x:c r="T76" s="270" t="n">
        <x:v>746.856</x:v>
      </x:c>
      <x:c r="U76" s="270" t="n">
        <x:v>793.2740000000001</x:v>
      </x:c>
      <x:c r="V76" s="270" t="n">
        <x:v>802.32</x:v>
      </x:c>
      <x:c r="W76" s="270" t="n">
        <x:v>848.24</x:v>
      </x:c>
      <x:c r="X76" s="270" t="n">
        <x:v>863.268</x:v>
      </x:c>
      <x:c r="Y76" s="270" t="n">
        <x:v>874.356</x:v>
      </x:c>
      <x:c r="Z76" s="237" t="n">
        <x:v>901.676</x:v>
      </x:c>
      <x:c r="AA76" s="237" t="n">
        <x:v>1085.964</x:v>
      </x:c>
      <x:c r="AB76" s="239" t="n">
        <x:v>1103.384</x:v>
      </x:c>
      <x:c r="AC76" s="239" t="n">
        <x:v>1127.688</x:v>
      </x:c>
      <x:c r="AD76" s="231" t="n">
        <x:v>1139.876</x:v>
      </x:c>
      <x:c r="AE76" s="231" t="n">
        <x:v>1151.364</x:v>
      </x:c>
      <x:c r="AF76" s="184"/>
      <x:c r="AG76" s="184"/>
      <x:c r="AH76" s="184"/>
      <x:c r="AI76" s="184"/>
      <x:c r="AJ76" s="184"/>
      <x:c r="AK76" s="184"/>
      <x:c r="AL76" s="184"/>
      <x:c r="AM76" s="184"/>
      <x:c r="AN76" s="184"/>
      <x:c r="AO76" s="184"/>
      <x:c r="AP76" s="184"/>
      <x:c r="AQ76" s="184"/>
      <x:c r="AR76" s="184"/>
      <x:c r="AS76" s="184"/>
      <x:c r="AT76" s="184"/>
      <x:c r="AU76" s="184"/>
      <x:c r="AV76" s="184"/>
      <x:c r="AW76" s="184"/>
      <x:c r="AX76" s="184"/>
      <x:c r="AY76" s="184"/>
      <x:c r="AZ76" s="184"/>
      <x:c r="BA76" s="184"/>
      <x:c r="BB76" s="184"/>
      <x:c r="BC76" s="184"/>
      <x:c r="BD76" s="184"/>
      <x:c r="BE76" s="184"/>
      <x:c r="BF76" s="184"/>
      <x:c r="BG76" s="184"/>
      <x:c r="BH76" s="184"/>
      <x:c r="BI76" s="184"/>
      <x:c r="BJ76" s="184"/>
    </x:row>
    <x:row r="77" ht="20" customHeight="1">
      <x:c r="A77" s="190"/>
      <x:c r="B77" s="190"/>
      <x:c r="C77" s="190" t="str">
        <x:v>전수 후보</x:v>
      </x:c>
      <x:c r="D77" s="190" t="str">
        <x:v>레이더(s)</x:v>
      </x:c>
      <x:c r="E77" s="190"/>
      <x:c r="F77" s="190"/>
      <x:c r="G77" s="190"/>
      <x:c r="H77" s="263" t="n">
        <x:v>15.296000000000042</x:v>
      </x:c>
      <x:c r="I77" s="263" t="n">
        <x:v>211.68000000000004</x:v>
      </x:c>
      <x:c r="J77" s="208" t="n">
        <x:v>231.17600000000004</x:v>
      </x:c>
      <x:c r="K77" s="184" t="n">
        <x:v>322.54</x:v>
      </x:c>
      <x:c r="L77" s="184" t="n">
        <x:v>332.24000000000007</x:v>
      </x:c>
      <x:c r="M77" s="208" t="n">
        <x:v>603.692</x:v>
      </x:c>
      <x:c r="N77" s="268" t="n">
        <x:v>637.644</x:v>
      </x:c>
      <x:c r="O77" s="268" t="n">
        <x:v>652.888</x:v>
      </x:c>
      <x:c r="P77" s="266" t="n">
        <x:v>669.5400000000001</x:v>
      </x:c>
      <x:c r="Q77" s="266" t="n">
        <x:v>681.076</x:v>
      </x:c>
      <x:c r="R77" s="219" t="n">
        <x:v>723.024</x:v>
      </x:c>
      <x:c r="S77" s="219" t="n">
        <x:v>737.3000000000001</x:v>
      </x:c>
      <x:c r="T77" s="219" t="n">
        <x:v>746.856</x:v>
      </x:c>
      <x:c r="U77" s="219" t="n">
        <x:v>792.1840000000001</x:v>
      </x:c>
      <x:c r="V77" s="219" t="n">
        <x:v>802.32</x:v>
      </x:c>
      <x:c r="W77" s="270" t="n">
        <x:v>848.24</x:v>
      </x:c>
      <x:c r="X77" s="219" t="n">
        <x:v>863.268</x:v>
      </x:c>
      <x:c r="Y77" s="219" t="n">
        <x:v>874.356</x:v>
      </x:c>
      <x:c r="Z77" s="237" t="n">
        <x:v>901.676</x:v>
      </x:c>
      <x:c r="AA77" s="237" t="n">
        <x:v>1085.964</x:v>
      </x:c>
      <x:c r="AB77" s="239" t="n">
        <x:v>1103.384</x:v>
      </x:c>
      <x:c r="AC77" s="274" t="n">
        <x:v>1127.688</x:v>
      </x:c>
      <x:c r="AD77" s="241" t="n">
        <x:v>1139.876</x:v>
      </x:c>
      <x:c r="AE77" s="241" t="n">
        <x:v>1151.364</x:v>
      </x:c>
      <x:c r="AF77" s="184"/>
      <x:c r="AG77" s="184"/>
      <x:c r="AH77" s="184"/>
      <x:c r="AI77" s="184"/>
      <x:c r="AJ77" s="184"/>
      <x:c r="AK77" s="184"/>
      <x:c r="AL77" s="184"/>
      <x:c r="AM77" s="184"/>
      <x:c r="AN77" s="184"/>
      <x:c r="AO77" s="184"/>
      <x:c r="AP77" s="184"/>
      <x:c r="AQ77" s="184"/>
      <x:c r="AR77" s="184"/>
      <x:c r="AS77" s="184"/>
      <x:c r="AT77" s="184"/>
      <x:c r="AU77" s="184"/>
      <x:c r="AV77" s="184"/>
      <x:c r="AW77" s="184"/>
      <x:c r="AX77" s="184"/>
      <x:c r="AY77" s="184"/>
      <x:c r="AZ77" s="184"/>
      <x:c r="BA77" s="184"/>
      <x:c r="BB77" s="184"/>
      <x:c r="BC77" s="184"/>
      <x:c r="BD77" s="184"/>
      <x:c r="BE77" s="184"/>
      <x:c r="BF77" s="184"/>
      <x:c r="BG77" s="184"/>
      <x:c r="BH77" s="184"/>
      <x:c r="BI77" s="184"/>
      <x:c r="BJ77" s="184"/>
    </x:row>
    <x:row r="78" ht="20" customHeight="1">
      <x:c r="A78" s="190"/>
      <x:c r="B78" s="190"/>
      <x:c r="C78" s="190" t="str">
        <x:v>선택값</x:v>
      </x:c>
      <x:c r="D78" s="190" t="str">
        <x:v>레이더(s)</x:v>
      </x:c>
      <x:c r="E78" s="190"/>
      <x:c r="F78" s="190"/>
      <x:c r="G78" s="190"/>
      <x:c r="H78" s="263" t="n">
        <x:v>15.296</x:v>
      </x:c>
      <x:c r="I78" s="263" t="n">
        <x:v>211.68</x:v>
      </x:c>
      <x:c r="J78" s="208" t="n">
        <x:v>231.176</x:v>
      </x:c>
      <x:c r="K78" s="184"/>
      <x:c r="L78" s="184"/>
      <x:c r="M78" s="208" t="n">
        <x:v>603.692</x:v>
      </x:c>
      <x:c r="N78" s="268" t="n">
        <x:v>637.644</x:v>
      </x:c>
      <x:c r="O78" s="268" t="n">
        <x:v>652.888</x:v>
      </x:c>
      <x:c r="P78" s="268" t="n">
        <x:v>669.54</x:v>
      </x:c>
      <x:c r="Q78" s="268" t="n">
        <x:v>681.076</x:v>
      </x:c>
      <x:c r="R78" s="270" t="n">
        <x:v>723.024</x:v>
      </x:c>
      <x:c r="S78" s="270" t="n">
        <x:v>737.3</x:v>
      </x:c>
      <x:c r="T78" s="270" t="n">
        <x:v>746.856</x:v>
      </x:c>
      <x:c r="U78" s="270" t="n">
        <x:v>792.184</x:v>
      </x:c>
      <x:c r="V78" s="270" t="n">
        <x:v>802.32</x:v>
      </x:c>
      <x:c r="W78" s="270" t="n">
        <x:v>848.24</x:v>
      </x:c>
      <x:c r="X78" s="270" t="n">
        <x:v>863.268</x:v>
      </x:c>
      <x:c r="Y78" s="270" t="n">
        <x:v>874.356</x:v>
      </x:c>
      <x:c r="Z78" s="237" t="n">
        <x:v>901.676</x:v>
      </x:c>
      <x:c r="AA78" s="237" t="n">
        <x:v>1085.964</x:v>
      </x:c>
      <x:c r="AB78" s="239" t="n">
        <x:v>1103.384</x:v>
      </x:c>
      <x:c r="AC78" s="239" t="n">
        <x:v>1127.688</x:v>
      </x:c>
      <x:c r="AD78" s="231" t="n">
        <x:v>1139.876</x:v>
      </x:c>
      <x:c r="AE78" s="231" t="n">
        <x:v>1151.364</x:v>
      </x:c>
      <x:c r="AF78" s="184"/>
      <x:c r="AG78" s="184"/>
      <x:c r="AH78" s="184"/>
      <x:c r="AI78" s="184"/>
      <x:c r="AJ78" s="184"/>
      <x:c r="AK78" s="184"/>
      <x:c r="AL78" s="184"/>
      <x:c r="AM78" s="184"/>
      <x:c r="AN78" s="184"/>
      <x:c r="AO78" s="184"/>
      <x:c r="AP78" s="184"/>
      <x:c r="AQ78" s="184"/>
      <x:c r="AR78" s="184"/>
      <x:c r="AS78" s="184"/>
      <x:c r="AT78" s="184"/>
      <x:c r="AU78" s="184"/>
      <x:c r="AV78" s="184"/>
      <x:c r="AW78" s="184"/>
      <x:c r="AX78" s="184"/>
      <x:c r="AY78" s="184"/>
      <x:c r="AZ78" s="184"/>
      <x:c r="BA78" s="184"/>
      <x:c r="BB78" s="184"/>
      <x:c r="BC78" s="184"/>
      <x:c r="BD78" s="184"/>
      <x:c r="BE78" s="184"/>
      <x:c r="BF78" s="184"/>
      <x:c r="BG78" s="184"/>
      <x:c r="BH78" s="184"/>
      <x:c r="BI78" s="184"/>
      <x:c r="BJ78" s="184"/>
    </x:row>
    <x:row r="79" ht="34" customHeight="1">
      <x:c r="A79" s="195"/>
      <x:c r="B79" s="195"/>
      <x:c r="C79" s="195" t="str">
        <x:v>M번호 / 시나리오</x:v>
      </x:c>
      <x:c r="D79" s="195" t="str">
        <x:v>레이더(s)</x:v>
      </x:c>
      <x:c r="E79" s="195"/>
      <x:c r="F79" s="195"/>
      <x:c r="G79" s="195"/>
      <x:c r="H79" s="264" t="str">
        <x:v>M01 1 시작</x:v>
      </x:c>
      <x:c r="I79" s="264" t="str">
        <x:v>M02 1 종료</x:v>
      </x:c>
      <x:c r="J79" s="209" t="str">
        <x:v>M03 2 시작</x:v>
      </x:c>
      <x:c r="K79" s="196"/>
      <x:c r="L79" s="196"/>
      <x:c r="M79" s="209" t="str">
        <x:v>M04 2 종료</x:v>
      </x:c>
      <x:c r="N79" s="269" t="str">
        <x:v>M05 3-1 시작</x:v>
      </x:c>
      <x:c r="O79" s="269" t="str">
        <x:v>M06 3-1 종료</x:v>
      </x:c>
      <x:c r="P79" s="269" t="str">
        <x:v>M07 3-2 시작</x:v>
      </x:c>
      <x:c r="Q79" s="269" t="str">
        <x:v>M08 3-2 종료</x:v>
      </x:c>
      <x:c r="R79" s="271" t="str">
        <x:v>M09 4-1 시작</x:v>
      </x:c>
      <x:c r="S79" s="271" t="str">
        <x:v>M10 4-1 종료</x:v>
      </x:c>
      <x:c r="T79" s="271" t="str">
        <x:v>M11 4-2 시작</x:v>
      </x:c>
      <x:c r="U79" s="271" t="str">
        <x:v>M12 4-2 종료</x:v>
      </x:c>
      <x:c r="V79" s="271" t="str">
        <x:v>M13 4-3 시작</x:v>
      </x:c>
      <x:c r="W79" s="271" t="str">
        <x:v>M14 4-3 종료</x:v>
      </x:c>
      <x:c r="X79" s="271" t="str">
        <x:v>M15 4-4 시작</x:v>
      </x:c>
      <x:c r="Y79" s="271" t="str">
        <x:v>M16 4-4 종료</x:v>
      </x:c>
      <x:c r="Z79" s="238" t="str">
        <x:v>M17 5 시작</x:v>
      </x:c>
      <x:c r="AA79" s="238" t="str">
        <x:v>M18 5 종료</x:v>
      </x:c>
      <x:c r="AB79" s="240" t="str">
        <x:v>M19 6 시작</x:v>
      </x:c>
      <x:c r="AC79" s="240" t="str">
        <x:v>M20 6 종료</x:v>
      </x:c>
      <x:c r="AD79" s="232" t="str">
        <x:v>M21 7 시작</x:v>
      </x:c>
      <x:c r="AE79" s="232" t="str">
        <x:v>M22 7 종료</x:v>
      </x:c>
      <x:c r="AF79" s="196"/>
      <x:c r="AG79" s="196"/>
      <x:c r="AH79" s="196"/>
      <x:c r="AI79" s="196"/>
      <x:c r="AJ79" s="196"/>
      <x:c r="AK79" s="196"/>
      <x:c r="AL79" s="196"/>
      <x:c r="AM79" s="196"/>
      <x:c r="AN79" s="196"/>
      <x:c r="AO79" s="196"/>
      <x:c r="AP79" s="196"/>
      <x:c r="AQ79" s="196"/>
      <x:c r="AR79" s="196"/>
      <x:c r="AS79" s="196"/>
      <x:c r="AT79" s="196"/>
      <x:c r="AU79" s="196"/>
      <x:c r="AV79" s="196"/>
      <x:c r="AW79" s="196"/>
      <x:c r="AX79" s="196"/>
      <x:c r="AY79" s="196"/>
      <x:c r="AZ79" s="196"/>
      <x:c r="BA79" s="196"/>
      <x:c r="BB79" s="196"/>
      <x:c r="BC79" s="196"/>
      <x:c r="BD79" s="196"/>
      <x:c r="BE79" s="196"/>
      <x:c r="BF79" s="196"/>
      <x:c r="BG79" s="196"/>
      <x:c r="BH79" s="196"/>
      <x:c r="BI79" s="196"/>
      <x:c r="BJ79" s="196"/>
    </x:row>
    <x:row r="80" ht="20" customHeight="1">
      <x:c r="A80" s="198" t="n">
        <x:v>19</x:v>
      </x:c>
      <x:c r="B80" s="198" t="str">
        <x:v>S19_CHW</x:v>
      </x:c>
      <x:c r="C80" s="198" t="str">
        <x:v>RAW 8.5V</x:v>
      </x:c>
      <x:c r="D80" s="198" t="str">
        <x:v>레이더(s)</x:v>
      </x:c>
      <x:c r="E80" s="198" t="n">
        <x:v>22</x:v>
      </x:c>
      <x:c r="F80" s="198" t="n">
        <x:v>22</x:v>
      </x:c>
      <x:c r="G80" s="277" t="str">
        <x:v>자동 점검 통과</x:v>
      </x:c>
      <x:c r="H80" s="263" t="n">
        <x:v>19.819199999999995</x:v>
      </x:c>
      <x:c r="I80" s="263" t="n">
        <x:v>213.6</x:v>
      </x:c>
      <x:c r="J80" s="208" t="n">
        <x:v>269.77200000000005</x:v>
      </x:c>
      <x:c r="K80" s="184"/>
      <x:c r="L80" s="184" t="n">
        <x:v>645.172</x:v>
      </x:c>
      <x:c r="M80" s="265"/>
      <x:c r="N80" s="268" t="n">
        <x:v>762.188</x:v>
      </x:c>
      <x:c r="O80" s="184" t="n">
        <x:v>779.076</x:v>
      </x:c>
      <x:c r="P80" s="266"/>
      <x:c r="Q80" s="268" t="n">
        <x:v>797.176</x:v>
      </x:c>
      <x:c r="R80" s="268" t="n">
        <x:v>814.128</x:v>
      </x:c>
      <x:c r="S80" s="184" t="n">
        <x:v>921.816</x:v>
      </x:c>
      <x:c r="T80" s="219"/>
      <x:c r="U80" s="184" t="n">
        <x:v>941.82</x:v>
      </x:c>
      <x:c r="V80" s="219"/>
      <x:c r="W80" s="270" t="n">
        <x:v>959.932</x:v>
      </x:c>
      <x:c r="X80" s="270" t="n">
        <x:v>1007.292</x:v>
      </x:c>
      <x:c r="Y80" s="270" t="n">
        <x:v>1023.5640000000001</x:v>
      </x:c>
      <x:c r="Z80" s="270" t="n">
        <x:v>1075.736</x:v>
      </x:c>
      <x:c r="AA80" s="219"/>
      <x:c r="AB80" s="270" t="n">
        <x:v>1104.6</x:v>
      </x:c>
      <x:c r="AC80" s="272"/>
      <x:c r="AD80" s="237" t="n">
        <x:v>1371.9499999999998</x:v>
      </x:c>
      <x:c r="AE80" s="274"/>
      <x:c r="AF80" s="239" t="n">
        <x:v>1453.908</x:v>
      </x:c>
      <x:c r="AG80" s="231" t="n">
        <x:v>1483.2199999999998</x:v>
      </x:c>
      <x:c r="AH80" s="231" t="n">
        <x:v>1505.164</x:v>
      </x:c>
      <x:c r="AI80" s="184"/>
      <x:c r="AJ80" s="184"/>
      <x:c r="AK80" s="184"/>
      <x:c r="AL80" s="184"/>
      <x:c r="AM80" s="184"/>
      <x:c r="AN80" s="184"/>
      <x:c r="AO80" s="184"/>
      <x:c r="AP80" s="184"/>
      <x:c r="AQ80" s="184"/>
      <x:c r="AR80" s="184"/>
      <x:c r="AS80" s="184"/>
      <x:c r="AT80" s="184"/>
      <x:c r="AU80" s="184"/>
      <x:c r="AV80" s="184"/>
      <x:c r="AW80" s="184"/>
      <x:c r="AX80" s="184"/>
      <x:c r="AY80" s="184"/>
      <x:c r="AZ80" s="184"/>
      <x:c r="BA80" s="184"/>
      <x:c r="BB80" s="184"/>
      <x:c r="BC80" s="184"/>
      <x:c r="BD80" s="184"/>
      <x:c r="BE80" s="184"/>
      <x:c r="BF80" s="184"/>
      <x:c r="BG80" s="184"/>
      <x:c r="BH80" s="184"/>
      <x:c r="BI80" s="184"/>
      <x:c r="BJ80" s="184"/>
    </x:row>
    <x:row r="81" ht="20" customHeight="1">
      <x:c r="A81" s="190"/>
      <x:c r="B81" s="190"/>
      <x:c r="C81" s="190" t="str">
        <x:v>전수 후보</x:v>
      </x:c>
      <x:c r="D81" s="190" t="str">
        <x:v>레이더(s)</x:v>
      </x:c>
      <x:c r="E81" s="190"/>
      <x:c r="F81" s="190"/>
      <x:c r="G81" s="190"/>
      <x:c r="H81" s="263" t="n">
        <x:v>19.82800000000003</x:v>
      </x:c>
      <x:c r="I81" s="263" t="n">
        <x:v>215.90000000000003</x:v>
      </x:c>
      <x:c r="J81" s="208" t="n">
        <x:v>272.07200000000006</x:v>
      </x:c>
      <x:c r="K81" s="184" t="n">
        <x:v>408.44800000000004</x:v>
      </x:c>
      <x:c r="L81" s="214" t="n">
        <x:v>647.472</x:v>
      </x:c>
      <x:c r="M81" s="265" t="n">
        <x:v>662.052</x:v>
      </x:c>
      <x:c r="N81" s="268" t="n">
        <x:v>763.568</x:v>
      </x:c>
      <x:c r="O81" s="184"/>
      <x:c r="P81" s="266" t="n">
        <x:v>783.8639999999999</x:v>
      </x:c>
      <x:c r="Q81" s="268" t="n">
        <x:v>799.476</x:v>
      </x:c>
      <x:c r="R81" s="268" t="n">
        <x:v>816.428</x:v>
      </x:c>
      <x:c r="S81" s="184"/>
      <x:c r="T81" s="219" t="n">
        <x:v>926.766</x:v>
      </x:c>
      <x:c r="U81" s="214" t="n">
        <x:v>944.12</x:v>
      </x:c>
      <x:c r="V81" s="219" t="n">
        <x:v>954.068</x:v>
      </x:c>
      <x:c r="W81" s="219" t="n">
        <x:v>962.232</x:v>
      </x:c>
      <x:c r="X81" s="219" t="n">
        <x:v>1009.592</x:v>
      </x:c>
      <x:c r="Y81" s="219" t="n">
        <x:v>1024.328</x:v>
      </x:c>
      <x:c r="Z81" s="270" t="n">
        <x:v>1076.0880000000002</x:v>
      </x:c>
      <x:c r="AA81" s="219" t="n">
        <x:v>1096.346</x:v>
      </x:c>
      <x:c r="AB81" s="219" t="n">
        <x:v>1106.604</x:v>
      </x:c>
      <x:c r="AC81" s="272" t="n">
        <x:v>1188.496</x:v>
      </x:c>
      <x:c r="AD81" s="237" t="n">
        <x:v>1372.364</x:v>
      </x:c>
      <x:c r="AE81" s="274" t="n">
        <x:v>1429.6920000000002</x:v>
      </x:c>
      <x:c r="AF81" s="239" t="n">
        <x:v>1454.906</x:v>
      </x:c>
      <x:c r="AG81" s="231" t="n">
        <x:v>1485.52</x:v>
      </x:c>
      <x:c r="AH81" s="231" t="n">
        <x:v>1507.4640000000002</x:v>
      </x:c>
      <x:c r="AI81" s="184"/>
      <x:c r="AJ81" s="184"/>
      <x:c r="AK81" s="184"/>
      <x:c r="AL81" s="184"/>
      <x:c r="AM81" s="184"/>
      <x:c r="AN81" s="184"/>
      <x:c r="AO81" s="184"/>
      <x:c r="AP81" s="184"/>
      <x:c r="AQ81" s="184"/>
      <x:c r="AR81" s="184"/>
      <x:c r="AS81" s="184"/>
      <x:c r="AT81" s="184"/>
      <x:c r="AU81" s="184"/>
      <x:c r="AV81" s="184"/>
      <x:c r="AW81" s="184"/>
      <x:c r="AX81" s="184"/>
      <x:c r="AY81" s="184"/>
      <x:c r="AZ81" s="184"/>
      <x:c r="BA81" s="184"/>
      <x:c r="BB81" s="184"/>
      <x:c r="BC81" s="184"/>
      <x:c r="BD81" s="184"/>
      <x:c r="BE81" s="184"/>
      <x:c r="BF81" s="184"/>
      <x:c r="BG81" s="184"/>
      <x:c r="BH81" s="184"/>
      <x:c r="BI81" s="184"/>
      <x:c r="BJ81" s="184"/>
    </x:row>
    <x:row r="82" ht="20" customHeight="1">
      <x:c r="A82" s="190"/>
      <x:c r="B82" s="190"/>
      <x:c r="C82" s="190" t="str">
        <x:v>선택값</x:v>
      </x:c>
      <x:c r="D82" s="190" t="str">
        <x:v>레이더(s)</x:v>
      </x:c>
      <x:c r="E82" s="190"/>
      <x:c r="F82" s="190"/>
      <x:c r="G82" s="190"/>
      <x:c r="H82" s="263" t="n">
        <x:v>19.828</x:v>
      </x:c>
      <x:c r="I82" s="263" t="n">
        <x:v>215.9</x:v>
      </x:c>
      <x:c r="J82" s="208" t="n">
        <x:v>272.072</x:v>
      </x:c>
      <x:c r="K82" s="184"/>
      <x:c r="L82" s="184"/>
      <x:c r="M82" s="265" t="n">
        <x:v>662.052</x:v>
      </x:c>
      <x:c r="N82" s="268" t="n">
        <x:v>763.568</x:v>
      </x:c>
      <x:c r="O82" s="184"/>
      <x:c r="P82" s="266" t="n">
        <x:v>783.864</x:v>
      </x:c>
      <x:c r="Q82" s="268" t="n">
        <x:v>799.476</x:v>
      </x:c>
      <x:c r="R82" s="268" t="n">
        <x:v>816.428</x:v>
      </x:c>
      <x:c r="S82" s="184"/>
      <x:c r="T82" s="219" t="n">
        <x:v>926.766</x:v>
      </x:c>
      <x:c r="U82" s="184"/>
      <x:c r="V82" s="219" t="n">
        <x:v>954.068</x:v>
      </x:c>
      <x:c r="W82" s="270" t="n">
        <x:v>962.232</x:v>
      </x:c>
      <x:c r="X82" s="270" t="n">
        <x:v>1009.592</x:v>
      </x:c>
      <x:c r="Y82" s="270" t="n">
        <x:v>1024.328</x:v>
      </x:c>
      <x:c r="Z82" s="270" t="n">
        <x:v>1076.088</x:v>
      </x:c>
      <x:c r="AA82" s="219" t="n">
        <x:v>1096.346</x:v>
      </x:c>
      <x:c r="AB82" s="270" t="n">
        <x:v>1106.604</x:v>
      </x:c>
      <x:c r="AC82" s="272" t="n">
        <x:v>1188.496</x:v>
      </x:c>
      <x:c r="AD82" s="237" t="n">
        <x:v>1372.364</x:v>
      </x:c>
      <x:c r="AE82" s="274" t="n">
        <x:v>1429.692</x:v>
      </x:c>
      <x:c r="AF82" s="239" t="n">
        <x:v>1454.906</x:v>
      </x:c>
      <x:c r="AG82" s="231" t="n">
        <x:v>1485.52</x:v>
      </x:c>
      <x:c r="AH82" s="231" t="n">
        <x:v>1507.464</x:v>
      </x:c>
      <x:c r="AI82" s="184"/>
      <x:c r="AJ82" s="184"/>
      <x:c r="AK82" s="184"/>
      <x:c r="AL82" s="184"/>
      <x:c r="AM82" s="184"/>
      <x:c r="AN82" s="184"/>
      <x:c r="AO82" s="184"/>
      <x:c r="AP82" s="184"/>
      <x:c r="AQ82" s="184"/>
      <x:c r="AR82" s="184"/>
      <x:c r="AS82" s="184"/>
      <x:c r="AT82" s="184"/>
      <x:c r="AU82" s="184"/>
      <x:c r="AV82" s="184"/>
      <x:c r="AW82" s="184"/>
      <x:c r="AX82" s="184"/>
      <x:c r="AY82" s="184"/>
      <x:c r="AZ82" s="184"/>
      <x:c r="BA82" s="184"/>
      <x:c r="BB82" s="184"/>
      <x:c r="BC82" s="184"/>
      <x:c r="BD82" s="184"/>
      <x:c r="BE82" s="184"/>
      <x:c r="BF82" s="184"/>
      <x:c r="BG82" s="184"/>
      <x:c r="BH82" s="184"/>
      <x:c r="BI82" s="184"/>
      <x:c r="BJ82" s="184"/>
    </x:row>
    <x:row r="83" ht="34" customHeight="1">
      <x:c r="A83" s="195"/>
      <x:c r="B83" s="195"/>
      <x:c r="C83" s="195" t="str">
        <x:v>M번호 / 시나리오</x:v>
      </x:c>
      <x:c r="D83" s="195" t="str">
        <x:v>레이더(s)</x:v>
      </x:c>
      <x:c r="E83" s="195"/>
      <x:c r="F83" s="195"/>
      <x:c r="G83" s="195"/>
      <x:c r="H83" s="264" t="str">
        <x:v>M01 1 시작</x:v>
      </x:c>
      <x:c r="I83" s="264" t="str">
        <x:v>M02 1 종료</x:v>
      </x:c>
      <x:c r="J83" s="209" t="str">
        <x:v>M03 2 시작</x:v>
      </x:c>
      <x:c r="K83" s="196"/>
      <x:c r="L83" s="196"/>
      <x:c r="M83" s="278" t="str">
        <x:v>M04 2 종료</x:v>
      </x:c>
      <x:c r="N83" s="269" t="str">
        <x:v>M05 3-1 시작</x:v>
      </x:c>
      <x:c r="O83" s="196"/>
      <x:c r="P83" s="267" t="str">
        <x:v>M06 3-1 종료</x:v>
      </x:c>
      <x:c r="Q83" s="269" t="str">
        <x:v>M07 3-2 시작</x:v>
      </x:c>
      <x:c r="R83" s="269" t="str">
        <x:v>M08 3-2 종료</x:v>
      </x:c>
      <x:c r="S83" s="196"/>
      <x:c r="T83" s="220" t="str">
        <x:v>M09 4-1 시작</x:v>
      </x:c>
      <x:c r="U83" s="196"/>
      <x:c r="V83" s="220" t="str">
        <x:v>M10 4-1 종료</x:v>
      </x:c>
      <x:c r="W83" s="271" t="str">
        <x:v>M11 4-2 시작</x:v>
      </x:c>
      <x:c r="X83" s="271" t="str">
        <x:v>M12 4-2 종료</x:v>
      </x:c>
      <x:c r="Y83" s="271" t="str">
        <x:v>M13 4-3 시작</x:v>
      </x:c>
      <x:c r="Z83" s="271" t="str">
        <x:v>M14 4-3 종료</x:v>
      </x:c>
      <x:c r="AA83" s="220" t="str">
        <x:v>M15 4-4 시작</x:v>
      </x:c>
      <x:c r="AB83" s="271" t="str">
        <x:v>M16 4-4 종료</x:v>
      </x:c>
      <x:c r="AC83" s="273" t="str">
        <x:v>M17 5 시작</x:v>
      </x:c>
      <x:c r="AD83" s="238" t="str">
        <x:v>M18 5 종료</x:v>
      </x:c>
      <x:c r="AE83" s="275" t="str">
        <x:v>M19 6 시작</x:v>
      </x:c>
      <x:c r="AF83" s="240" t="str">
        <x:v>M20 6 종료</x:v>
      </x:c>
      <x:c r="AG83" s="232" t="str">
        <x:v>M21 7 시작</x:v>
      </x:c>
      <x:c r="AH83" s="232" t="str">
        <x:v>M22 7 종료</x:v>
      </x:c>
      <x:c r="AI83" s="196"/>
      <x:c r="AJ83" s="196"/>
      <x:c r="AK83" s="196"/>
      <x:c r="AL83" s="196"/>
      <x:c r="AM83" s="196"/>
      <x:c r="AN83" s="196"/>
      <x:c r="AO83" s="196"/>
      <x:c r="AP83" s="196"/>
      <x:c r="AQ83" s="196"/>
      <x:c r="AR83" s="196"/>
      <x:c r="AS83" s="196"/>
      <x:c r="AT83" s="196"/>
      <x:c r="AU83" s="196"/>
      <x:c r="AV83" s="196"/>
      <x:c r="AW83" s="196"/>
      <x:c r="AX83" s="196"/>
      <x:c r="AY83" s="196"/>
      <x:c r="AZ83" s="196"/>
      <x:c r="BA83" s="196"/>
      <x:c r="BB83" s="196"/>
      <x:c r="BC83" s="196"/>
      <x:c r="BD83" s="196"/>
      <x:c r="BE83" s="196"/>
      <x:c r="BF83" s="196"/>
      <x:c r="BG83" s="196"/>
      <x:c r="BH83" s="196"/>
      <x:c r="BI83" s="196"/>
      <x:c r="BJ83" s="196"/>
    </x:row>
    <x:row r="84" ht="20" customHeight="1">
      <x:c r="A84" s="198" t="n">
        <x:v>20</x:v>
      </x:c>
      <x:c r="B84" s="198" t="str">
        <x:v>S20_YSE</x:v>
      </x:c>
      <x:c r="C84" s="198" t="str">
        <x:v>RAW 8.5V</x:v>
      </x:c>
      <x:c r="D84" s="198" t="str">
        <x:v>레이더(s)</x:v>
      </x:c>
      <x:c r="E84" s="198" t="n">
        <x:v>22</x:v>
      </x:c>
      <x:c r="F84" s="198" t="n">
        <x:v>22</x:v>
      </x:c>
      <x:c r="G84" s="262" t="str">
        <x:v>대체 후보 있음</x:v>
      </x:c>
      <x:c r="H84" s="263" t="n">
        <x:v>9.004000000000001</x:v>
      </x:c>
      <x:c r="I84" s="184" t="n">
        <x:v>13.256000000000002</x:v>
      </x:c>
      <x:c r="J84" s="263" t="n">
        <x:v>205.34799999999998</x:v>
      </x:c>
      <x:c r="K84" s="208" t="n">
        <x:v>227.512</x:v>
      </x:c>
      <x:c r="L84" s="184"/>
      <x:c r="M84" s="265"/>
      <x:c r="N84" s="268" t="n">
        <x:v>646.796</x:v>
      </x:c>
      <x:c r="O84" s="268" t="n">
        <x:v>659.5120000000001</x:v>
      </x:c>
      <x:c r="P84" s="268" t="n">
        <x:v>678.8520000000001</x:v>
      </x:c>
      <x:c r="Q84" s="268" t="n">
        <x:v>691.028</x:v>
      </x:c>
      <x:c r="R84" s="270" t="n">
        <x:v>753.9440000000001</x:v>
      </x:c>
      <x:c r="S84" s="184" t="n">
        <x:v>758.604</x:v>
      </x:c>
      <x:c r="T84" s="184"/>
      <x:c r="U84" s="219" t="n">
        <x:v>769.7860000000001</x:v>
      </x:c>
      <x:c r="V84" s="270" t="n">
        <x:v>787.1400000000001</x:v>
      </x:c>
      <x:c r="W84" s="270" t="n">
        <x:v>834.3000000000001</x:v>
      </x:c>
      <x:c r="X84" s="270" t="n">
        <x:v>845.676</x:v>
      </x:c>
      <x:c r="Y84" s="219"/>
      <x:c r="Z84" s="219" t="n">
        <x:v>894.136</x:v>
      </x:c>
      <x:c r="AA84" s="184" t="n">
        <x:v>915.1700000000001</x:v>
      </x:c>
      <x:c r="AB84" s="270" t="n">
        <x:v>926.768</x:v>
      </x:c>
      <x:c r="AC84" s="237" t="n">
        <x:v>963.5680000000001</x:v>
      </x:c>
      <x:c r="AD84" s="237" t="n">
        <x:v>1154.108</x:v>
      </x:c>
      <x:c r="AE84" s="274"/>
      <x:c r="AF84" s="274"/>
      <x:c r="AG84" s="231" t="n">
        <x:v>1223.056</x:v>
      </x:c>
      <x:c r="AH84" s="241"/>
      <x:c r="AI84" s="184"/>
      <x:c r="AJ84" s="184"/>
      <x:c r="AK84" s="184"/>
      <x:c r="AL84" s="184"/>
      <x:c r="AM84" s="184"/>
      <x:c r="AN84" s="184"/>
      <x:c r="AO84" s="184"/>
      <x:c r="AP84" s="184"/>
      <x:c r="AQ84" s="184"/>
      <x:c r="AR84" s="184"/>
      <x:c r="AS84" s="184"/>
      <x:c r="AT84" s="184"/>
      <x:c r="AU84" s="184"/>
      <x:c r="AV84" s="184"/>
      <x:c r="AW84" s="184"/>
      <x:c r="AX84" s="184"/>
      <x:c r="AY84" s="184"/>
      <x:c r="AZ84" s="184"/>
      <x:c r="BA84" s="184"/>
      <x:c r="BB84" s="184"/>
      <x:c r="BC84" s="184"/>
      <x:c r="BD84" s="184"/>
      <x:c r="BE84" s="184"/>
      <x:c r="BF84" s="184"/>
      <x:c r="BG84" s="184"/>
      <x:c r="BH84" s="184"/>
      <x:c r="BI84" s="184"/>
      <x:c r="BJ84" s="184"/>
    </x:row>
    <x:row r="85" ht="20" customHeight="1">
      <x:c r="A85" s="190"/>
      <x:c r="B85" s="190"/>
      <x:c r="C85" s="190" t="str">
        <x:v>전수 후보</x:v>
      </x:c>
      <x:c r="D85" s="190" t="str">
        <x:v>레이더(s)</x:v>
      </x:c>
      <x:c r="E85" s="190"/>
      <x:c r="F85" s="190"/>
      <x:c r="G85" s="190"/>
      <x:c r="H85" s="263" t="n">
        <x:v>11.204000000000049</x:v>
      </x:c>
      <x:c r="I85" s="184"/>
      <x:c r="J85" s="263" t="n">
        <x:v>207.54800000000006</x:v>
      </x:c>
      <x:c r="K85" s="208" t="n">
        <x:v>229.71200000000005</x:v>
      </x:c>
      <x:c r="L85" s="184" t="n">
        <x:v>455.576</x:v>
      </x:c>
      <x:c r="M85" s="265" t="n">
        <x:v>600.7440000000001</x:v>
      </x:c>
      <x:c r="N85" s="266" t="n">
        <x:v>648.9960000000001</x:v>
      </x:c>
      <x:c r="O85" s="266" t="n">
        <x:v>661.7120000000001</x:v>
      </x:c>
      <x:c r="P85" s="266" t="n">
        <x:v>681.0520000000001</x:v>
      </x:c>
      <x:c r="Q85" s="266" t="n">
        <x:v>693.2280000000001</x:v>
      </x:c>
      <x:c r="R85" s="219" t="n">
        <x:v>756.1440000000001</x:v>
      </x:c>
      <x:c r="S85" s="184"/>
      <x:c r="T85" s="214" t="n">
        <x:v>766.3520000000001</x:v>
      </x:c>
      <x:c r="U85" s="219" t="n">
        <x:v>770.7160000000001</x:v>
      </x:c>
      <x:c r="V85" s="270" t="n">
        <x:v>789.3400000000001</x:v>
      </x:c>
      <x:c r="W85" s="219" t="n">
        <x:v>836.5000000000001</x:v>
      </x:c>
      <x:c r="X85" s="219" t="n">
        <x:v>847.8760000000001</x:v>
      </x:c>
      <x:c r="Y85" s="219" t="n">
        <x:v>890.6000000000001</x:v>
      </x:c>
      <x:c r="Z85" s="219" t="n">
        <x:v>894.6840000000001</x:v>
      </x:c>
      <x:c r="AA85" s="214" t="n">
        <x:v>916.3040000000001</x:v>
      </x:c>
      <x:c r="AB85" s="270" t="n">
        <x:v>927.4040000000001</x:v>
      </x:c>
      <x:c r="AC85" s="237" t="n">
        <x:v>965.7680000000001</x:v>
      </x:c>
      <x:c r="AD85" s="237" t="n">
        <x:v>1155.384</x:v>
      </x:c>
      <x:c r="AE85" s="274" t="n">
        <x:v>1178.794</x:v>
      </x:c>
      <x:c r="AF85" s="274" t="n">
        <x:v>1203.0320000000002</x:v>
      </x:c>
      <x:c r="AG85" s="241" t="n">
        <x:v>1225.256</x:v>
      </x:c>
      <x:c r="AH85" s="241" t="n">
        <x:v>1234.496</x:v>
      </x:c>
      <x:c r="AI85" s="184"/>
      <x:c r="AJ85" s="184"/>
      <x:c r="AK85" s="184"/>
      <x:c r="AL85" s="184"/>
      <x:c r="AM85" s="184"/>
      <x:c r="AN85" s="184"/>
      <x:c r="AO85" s="184"/>
      <x:c r="AP85" s="184"/>
      <x:c r="AQ85" s="184"/>
      <x:c r="AR85" s="184"/>
      <x:c r="AS85" s="184"/>
      <x:c r="AT85" s="184"/>
      <x:c r="AU85" s="184"/>
      <x:c r="AV85" s="184"/>
      <x:c r="AW85" s="184"/>
      <x:c r="AX85" s="184"/>
      <x:c r="AY85" s="184"/>
      <x:c r="AZ85" s="184"/>
      <x:c r="BA85" s="184"/>
      <x:c r="BB85" s="184"/>
      <x:c r="BC85" s="184"/>
      <x:c r="BD85" s="184"/>
      <x:c r="BE85" s="184"/>
      <x:c r="BF85" s="184"/>
      <x:c r="BG85" s="184"/>
      <x:c r="BH85" s="184"/>
      <x:c r="BI85" s="184"/>
      <x:c r="BJ85" s="184"/>
    </x:row>
    <x:row r="86" ht="20" customHeight="1">
      <x:c r="A86" s="190"/>
      <x:c r="B86" s="190"/>
      <x:c r="C86" s="190" t="str">
        <x:v>선택값</x:v>
      </x:c>
      <x:c r="D86" s="190" t="str">
        <x:v>레이더(s)</x:v>
      </x:c>
      <x:c r="E86" s="190"/>
      <x:c r="F86" s="190"/>
      <x:c r="G86" s="190"/>
      <x:c r="H86" s="263" t="n">
        <x:v>11.204</x:v>
      </x:c>
      <x:c r="I86" s="184"/>
      <x:c r="J86" s="263" t="n">
        <x:v>207.548</x:v>
      </x:c>
      <x:c r="K86" s="208" t="n">
        <x:v>229.712</x:v>
      </x:c>
      <x:c r="L86" s="184"/>
      <x:c r="M86" s="265" t="n">
        <x:v>600.744</x:v>
      </x:c>
      <x:c r="N86" s="268" t="n">
        <x:v>648.996</x:v>
      </x:c>
      <x:c r="O86" s="268" t="n">
        <x:v>661.712</x:v>
      </x:c>
      <x:c r="P86" s="268" t="n">
        <x:v>681.052</x:v>
      </x:c>
      <x:c r="Q86" s="268" t="n">
        <x:v>693.228</x:v>
      </x:c>
      <x:c r="R86" s="270" t="n">
        <x:v>756.144</x:v>
      </x:c>
      <x:c r="S86" s="184"/>
      <x:c r="T86" s="184"/>
      <x:c r="U86" s="219" t="n">
        <x:v>770.716</x:v>
      </x:c>
      <x:c r="V86" s="270" t="n">
        <x:v>789.34</x:v>
      </x:c>
      <x:c r="W86" s="270" t="n">
        <x:v>836.5</x:v>
      </x:c>
      <x:c r="X86" s="270" t="n">
        <x:v>847.876</x:v>
      </x:c>
      <x:c r="Y86" s="219" t="n">
        <x:v>890.6</x:v>
      </x:c>
      <x:c r="Z86" s="219" t="n">
        <x:v>894.684</x:v>
      </x:c>
      <x:c r="AA86" s="184"/>
      <x:c r="AB86" s="270" t="n">
        <x:v>927.404</x:v>
      </x:c>
      <x:c r="AC86" s="237" t="n">
        <x:v>965.768</x:v>
      </x:c>
      <x:c r="AD86" s="237" t="n">
        <x:v>1155.384</x:v>
      </x:c>
      <x:c r="AE86" s="274" t="n">
        <x:v>1178.794</x:v>
      </x:c>
      <x:c r="AF86" s="274" t="n">
        <x:v>1203.032</x:v>
      </x:c>
      <x:c r="AG86" s="231" t="n">
        <x:v>1225.256</x:v>
      </x:c>
      <x:c r="AH86" s="241" t="n">
        <x:v>1234.496</x:v>
      </x:c>
      <x:c r="AI86" s="184"/>
      <x:c r="AJ86" s="184"/>
      <x:c r="AK86" s="184"/>
      <x:c r="AL86" s="184"/>
      <x:c r="AM86" s="184"/>
      <x:c r="AN86" s="184"/>
      <x:c r="AO86" s="184"/>
      <x:c r="AP86" s="184"/>
      <x:c r="AQ86" s="184"/>
      <x:c r="AR86" s="184"/>
      <x:c r="AS86" s="184"/>
      <x:c r="AT86" s="184"/>
      <x:c r="AU86" s="184"/>
      <x:c r="AV86" s="184"/>
      <x:c r="AW86" s="184"/>
      <x:c r="AX86" s="184"/>
      <x:c r="AY86" s="184"/>
      <x:c r="AZ86" s="184"/>
      <x:c r="BA86" s="184"/>
      <x:c r="BB86" s="184"/>
      <x:c r="BC86" s="184"/>
      <x:c r="BD86" s="184"/>
      <x:c r="BE86" s="184"/>
      <x:c r="BF86" s="184"/>
      <x:c r="BG86" s="184"/>
      <x:c r="BH86" s="184"/>
      <x:c r="BI86" s="184"/>
      <x:c r="BJ86" s="184"/>
    </x:row>
    <x:row r="87" ht="34" customHeight="1">
      <x:c r="A87" s="195"/>
      <x:c r="B87" s="195"/>
      <x:c r="C87" s="195" t="str">
        <x:v>M번호 / 시나리오</x:v>
      </x:c>
      <x:c r="D87" s="195" t="str">
        <x:v>레이더(s)</x:v>
      </x:c>
      <x:c r="E87" s="195"/>
      <x:c r="F87" s="195"/>
      <x:c r="G87" s="195"/>
      <x:c r="H87" s="264" t="str">
        <x:v>M01 1 시작</x:v>
      </x:c>
      <x:c r="I87" s="196"/>
      <x:c r="J87" s="264" t="str">
        <x:v>M02 1 종료</x:v>
      </x:c>
      <x:c r="K87" s="209" t="str">
        <x:v>M03 2 시작</x:v>
      </x:c>
      <x:c r="L87" s="196"/>
      <x:c r="M87" s="278" t="str">
        <x:v>M04 2 종료</x:v>
      </x:c>
      <x:c r="N87" s="269" t="str">
        <x:v>M05 3-1 시작</x:v>
      </x:c>
      <x:c r="O87" s="269" t="str">
        <x:v>M06 3-1 종료</x:v>
      </x:c>
      <x:c r="P87" s="269" t="str">
        <x:v>M07 3-2 시작</x:v>
      </x:c>
      <x:c r="Q87" s="269" t="str">
        <x:v>M08 3-2 종료</x:v>
      </x:c>
      <x:c r="R87" s="271" t="str">
        <x:v>M09 4-1 시작</x:v>
      </x:c>
      <x:c r="S87" s="196"/>
      <x:c r="T87" s="196"/>
      <x:c r="U87" s="220" t="str">
        <x:v>M10 4-1 종료</x:v>
      </x:c>
      <x:c r="V87" s="271" t="str">
        <x:v>M11 4-2 시작</x:v>
      </x:c>
      <x:c r="W87" s="271" t="str">
        <x:v>M12 4-2 종료</x:v>
      </x:c>
      <x:c r="X87" s="271" t="str">
        <x:v>M13 4-3 시작</x:v>
      </x:c>
      <x:c r="Y87" s="220" t="str">
        <x:v>M14 4-3 종료</x:v>
      </x:c>
      <x:c r="Z87" s="220" t="str">
        <x:v>M15 4-4 시작</x:v>
      </x:c>
      <x:c r="AA87" s="196"/>
      <x:c r="AB87" s="271" t="str">
        <x:v>M16 4-4 종료</x:v>
      </x:c>
      <x:c r="AC87" s="238" t="str">
        <x:v>M17 5 시작</x:v>
      </x:c>
      <x:c r="AD87" s="238" t="str">
        <x:v>M18 5 종료</x:v>
      </x:c>
      <x:c r="AE87" s="275" t="str">
        <x:v>M19 6 시작</x:v>
      </x:c>
      <x:c r="AF87" s="275" t="str">
        <x:v>M20 6 종료</x:v>
      </x:c>
      <x:c r="AG87" s="232" t="str">
        <x:v>M21 7 시작</x:v>
      </x:c>
      <x:c r="AH87" s="279" t="str">
        <x:v>M22 7 종료</x:v>
      </x:c>
      <x:c r="AI87" s="196"/>
      <x:c r="AJ87" s="196"/>
      <x:c r="AK87" s="196"/>
      <x:c r="AL87" s="196"/>
      <x:c r="AM87" s="196"/>
      <x:c r="AN87" s="196"/>
      <x:c r="AO87" s="196"/>
      <x:c r="AP87" s="196"/>
      <x:c r="AQ87" s="196"/>
      <x:c r="AR87" s="196"/>
      <x:c r="AS87" s="196"/>
      <x:c r="AT87" s="196"/>
      <x:c r="AU87" s="196"/>
      <x:c r="AV87" s="196"/>
      <x:c r="AW87" s="196"/>
      <x:c r="AX87" s="196"/>
      <x:c r="AY87" s="196"/>
      <x:c r="AZ87" s="196"/>
      <x:c r="BA87" s="196"/>
      <x:c r="BB87" s="196"/>
      <x:c r="BC87" s="196"/>
      <x:c r="BD87" s="196"/>
      <x:c r="BE87" s="196"/>
      <x:c r="BF87" s="196"/>
      <x:c r="BG87" s="196"/>
      <x:c r="BH87" s="196"/>
      <x:c r="BI87" s="196"/>
      <x:c r="BJ87" s="196"/>
    </x:row>
    <x:row r="88" ht="20" customHeight="1">
      <x:c r="A88" s="198" t="n">
        <x:v>21</x:v>
      </x:c>
      <x:c r="B88" s="198" t="str">
        <x:v>S21_PSJ</x:v>
      </x:c>
      <x:c r="C88" s="198" t="str">
        <x:v>RAW 8.5V</x:v>
      </x:c>
      <x:c r="D88" s="198" t="str">
        <x:v>레이더(s)</x:v>
      </x:c>
      <x:c r="E88" s="198" t="n">
        <x:v>22</x:v>
      </x:c>
      <x:c r="F88" s="198" t="n">
        <x:v>22</x:v>
      </x:c>
      <x:c r="G88" s="277" t="str">
        <x:v>자동 점검 통과</x:v>
      </x:c>
      <x:c r="H88" s="263" t="n">
        <x:v>19.951999999999998</x:v>
      </x:c>
      <x:c r="I88" s="263" t="n">
        <x:v>214.06</x:v>
      </x:c>
      <x:c r="J88" s="208" t="n">
        <x:v>235.40400000000002</x:v>
      </x:c>
      <x:c r="K88" s="208" t="n">
        <x:v>612.212</x:v>
      </x:c>
      <x:c r="L88" s="184"/>
      <x:c r="M88" s="268" t="n">
        <x:v>654.9079999999999</x:v>
      </x:c>
      <x:c r="N88" s="268" t="n">
        <x:v>668.3599999999999</x:v>
      </x:c>
      <x:c r="O88" s="268" t="n">
        <x:v>688.3399999999999</x:v>
      </x:c>
      <x:c r="P88" s="268" t="n">
        <x:v>698.516</x:v>
      </x:c>
      <x:c r="Q88" s="270" t="n">
        <x:v>793.548</x:v>
      </x:c>
      <x:c r="R88" s="270" t="n">
        <x:v>806.584</x:v>
      </x:c>
      <x:c r="S88" s="270" t="n">
        <x:v>816.42</x:v>
      </x:c>
      <x:c r="T88" s="270" t="n">
        <x:v>862.9</x:v>
      </x:c>
      <x:c r="U88" s="219"/>
      <x:c r="V88" s="270" t="n">
        <x:v>921.3439999999999</x:v>
      </x:c>
      <x:c r="W88" s="270" t="n">
        <x:v>937.592</x:v>
      </x:c>
      <x:c r="X88" s="184"/>
      <x:c r="Y88" s="270" t="n">
        <x:v>970.5799999999999</x:v>
      </x:c>
      <x:c r="Z88" s="272"/>
      <x:c r="AA88" s="184" t="n">
        <x:v>1020.4159999999999</x:v>
      </x:c>
      <x:c r="AB88" s="237" t="n">
        <x:v>1208.9679999999998</x:v>
      </x:c>
      <x:c r="AC88" s="239" t="n">
        <x:v>1248.0639999999999</x:v>
      </x:c>
      <x:c r="AD88" s="239" t="n">
        <x:v>1270.892</x:v>
      </x:c>
      <x:c r="AE88" s="231" t="n">
        <x:v>1306.696</x:v>
      </x:c>
      <x:c r="AF88" s="231" t="n">
        <x:v>1317.132</x:v>
      </x:c>
      <x:c r="AG88" s="184"/>
      <x:c r="AH88" s="184"/>
      <x:c r="AI88" s="184"/>
      <x:c r="AJ88" s="184"/>
      <x:c r="AK88" s="184"/>
      <x:c r="AL88" s="184"/>
      <x:c r="AM88" s="184"/>
      <x:c r="AN88" s="184"/>
      <x:c r="AO88" s="184"/>
      <x:c r="AP88" s="184"/>
      <x:c r="AQ88" s="184"/>
      <x:c r="AR88" s="184"/>
      <x:c r="AS88" s="184"/>
      <x:c r="AT88" s="184"/>
      <x:c r="AU88" s="184"/>
      <x:c r="AV88" s="184"/>
      <x:c r="AW88" s="184"/>
      <x:c r="AX88" s="184"/>
      <x:c r="AY88" s="184"/>
      <x:c r="AZ88" s="184"/>
      <x:c r="BA88" s="184"/>
      <x:c r="BB88" s="184"/>
      <x:c r="BC88" s="184"/>
      <x:c r="BD88" s="184"/>
      <x:c r="BE88" s="184"/>
      <x:c r="BF88" s="184"/>
      <x:c r="BG88" s="184"/>
      <x:c r="BH88" s="184"/>
      <x:c r="BI88" s="184"/>
      <x:c r="BJ88" s="184"/>
    </x:row>
    <x:row r="89" ht="20" customHeight="1">
      <x:c r="A89" s="190"/>
      <x:c r="B89" s="190"/>
      <x:c r="C89" s="190" t="str">
        <x:v>전수 후보</x:v>
      </x:c>
      <x:c r="D89" s="190" t="str">
        <x:v>레이더(s)</x:v>
      </x:c>
      <x:c r="E89" s="190"/>
      <x:c r="F89" s="190"/>
      <x:c r="G89" s="190"/>
      <x:c r="H89" s="263" t="n">
        <x:v>19.952000000000034</x:v>
      </x:c>
      <x:c r="I89" s="263" t="n">
        <x:v>214.06000000000003</x:v>
      </x:c>
      <x:c r="J89" s="208" t="n">
        <x:v>235.40400000000005</x:v>
      </x:c>
      <x:c r="K89" s="208" t="n">
        <x:v>612.2120000000001</x:v>
      </x:c>
      <x:c r="L89" s="184" t="n">
        <x:v>637.4040000000001</x:v>
      </x:c>
      <x:c r="M89" s="266" t="n">
        <x:v>654.908</x:v>
      </x:c>
      <x:c r="N89" s="266" t="n">
        <x:v>668.36</x:v>
      </x:c>
      <x:c r="O89" s="266" t="n">
        <x:v>688.34</x:v>
      </x:c>
      <x:c r="P89" s="266" t="n">
        <x:v>698.5160000000001</x:v>
      </x:c>
      <x:c r="Q89" s="219" t="n">
        <x:v>793.5480000000001</x:v>
      </x:c>
      <x:c r="R89" s="219" t="n">
        <x:v>807.974</x:v>
      </x:c>
      <x:c r="S89" s="219" t="n">
        <x:v>816.4200000000001</x:v>
      </x:c>
      <x:c r="T89" s="219" t="n">
        <x:v>862.9000000000001</x:v>
      </x:c>
      <x:c r="U89" s="219" t="n">
        <x:v>875.248</x:v>
      </x:c>
      <x:c r="V89" s="270" t="n">
        <x:v>921.344</x:v>
      </x:c>
      <x:c r="W89" s="270" t="n">
        <x:v>937.5920000000001</x:v>
      </x:c>
      <x:c r="X89" s="214" t="n">
        <x:v>958.3520000000001</x:v>
      </x:c>
      <x:c r="Y89" s="270" t="n">
        <x:v>970.58</x:v>
      </x:c>
      <x:c r="Z89" s="272" t="n">
        <x:v>1012.864</x:v>
      </x:c>
      <x:c r="AA89" s="214" t="n">
        <x:v>1020.416</x:v>
      </x:c>
      <x:c r="AB89" s="237" t="n">
        <x:v>1208.9679999999998</x:v>
      </x:c>
      <x:c r="AC89" s="239" t="n">
        <x:v>1248.0639999999999</x:v>
      </x:c>
      <x:c r="AD89" s="239" t="n">
        <x:v>1270.892</x:v>
      </x:c>
      <x:c r="AE89" s="241" t="n">
        <x:v>1306.696</x:v>
      </x:c>
      <x:c r="AF89" s="241" t="n">
        <x:v>1317.132</x:v>
      </x:c>
      <x:c r="AG89" s="184"/>
      <x:c r="AH89" s="184"/>
      <x:c r="AI89" s="184"/>
      <x:c r="AJ89" s="184"/>
      <x:c r="AK89" s="184"/>
      <x:c r="AL89" s="184"/>
      <x:c r="AM89" s="184"/>
      <x:c r="AN89" s="184"/>
      <x:c r="AO89" s="184"/>
      <x:c r="AP89" s="184"/>
      <x:c r="AQ89" s="184"/>
      <x:c r="AR89" s="184"/>
      <x:c r="AS89" s="184"/>
      <x:c r="AT89" s="184"/>
      <x:c r="AU89" s="184"/>
      <x:c r="AV89" s="184"/>
      <x:c r="AW89" s="184"/>
      <x:c r="AX89" s="184"/>
      <x:c r="AY89" s="184"/>
      <x:c r="AZ89" s="184"/>
      <x:c r="BA89" s="184"/>
      <x:c r="BB89" s="184"/>
      <x:c r="BC89" s="184"/>
      <x:c r="BD89" s="184"/>
      <x:c r="BE89" s="184"/>
      <x:c r="BF89" s="184"/>
      <x:c r="BG89" s="184"/>
      <x:c r="BH89" s="184"/>
      <x:c r="BI89" s="184"/>
      <x:c r="BJ89" s="184"/>
    </x:row>
    <x:row r="90" ht="20" customHeight="1">
      <x:c r="A90" s="190"/>
      <x:c r="B90" s="190"/>
      <x:c r="C90" s="190" t="str">
        <x:v>선택값</x:v>
      </x:c>
      <x:c r="D90" s="190" t="str">
        <x:v>레이더(s)</x:v>
      </x:c>
      <x:c r="E90" s="190"/>
      <x:c r="F90" s="190"/>
      <x:c r="G90" s="190"/>
      <x:c r="H90" s="263" t="n">
        <x:v>19.952</x:v>
      </x:c>
      <x:c r="I90" s="263" t="n">
        <x:v>214.06</x:v>
      </x:c>
      <x:c r="J90" s="208" t="n">
        <x:v>235.404</x:v>
      </x:c>
      <x:c r="K90" s="208" t="n">
        <x:v>612.212</x:v>
      </x:c>
      <x:c r="L90" s="184"/>
      <x:c r="M90" s="268" t="n">
        <x:v>654.908</x:v>
      </x:c>
      <x:c r="N90" s="268" t="n">
        <x:v>668.36</x:v>
      </x:c>
      <x:c r="O90" s="268" t="n">
        <x:v>688.34</x:v>
      </x:c>
      <x:c r="P90" s="268" t="n">
        <x:v>698.516</x:v>
      </x:c>
      <x:c r="Q90" s="270" t="n">
        <x:v>793.548</x:v>
      </x:c>
      <x:c r="R90" s="270" t="n">
        <x:v>807.974</x:v>
      </x:c>
      <x:c r="S90" s="270" t="n">
        <x:v>816.42</x:v>
      </x:c>
      <x:c r="T90" s="270" t="n">
        <x:v>862.9</x:v>
      </x:c>
      <x:c r="U90" s="219" t="n">
        <x:v>875.248</x:v>
      </x:c>
      <x:c r="V90" s="270" t="n">
        <x:v>921.344</x:v>
      </x:c>
      <x:c r="W90" s="270" t="n">
        <x:v>937.592</x:v>
      </x:c>
      <x:c r="X90" s="184"/>
      <x:c r="Y90" s="270" t="n">
        <x:v>970.58</x:v>
      </x:c>
      <x:c r="Z90" s="272" t="n">
        <x:v>1012.864</x:v>
      </x:c>
      <x:c r="AA90" s="184"/>
      <x:c r="AB90" s="237" t="n">
        <x:v>1208.968</x:v>
      </x:c>
      <x:c r="AC90" s="239" t="n">
        <x:v>1248.064</x:v>
      </x:c>
      <x:c r="AD90" s="239" t="n">
        <x:v>1270.892</x:v>
      </x:c>
      <x:c r="AE90" s="231" t="n">
        <x:v>1306.696</x:v>
      </x:c>
      <x:c r="AF90" s="231" t="n">
        <x:v>1317.132</x:v>
      </x:c>
      <x:c r="AG90" s="184"/>
      <x:c r="AH90" s="184"/>
      <x:c r="AI90" s="184"/>
      <x:c r="AJ90" s="184"/>
      <x:c r="AK90" s="184"/>
      <x:c r="AL90" s="184"/>
      <x:c r="AM90" s="184"/>
      <x:c r="AN90" s="184"/>
      <x:c r="AO90" s="184"/>
      <x:c r="AP90" s="184"/>
      <x:c r="AQ90" s="184"/>
      <x:c r="AR90" s="184"/>
      <x:c r="AS90" s="184"/>
      <x:c r="AT90" s="184"/>
      <x:c r="AU90" s="184"/>
      <x:c r="AV90" s="184"/>
      <x:c r="AW90" s="184"/>
      <x:c r="AX90" s="184"/>
      <x:c r="AY90" s="184"/>
      <x:c r="AZ90" s="184"/>
      <x:c r="BA90" s="184"/>
      <x:c r="BB90" s="184"/>
      <x:c r="BC90" s="184"/>
      <x:c r="BD90" s="184"/>
      <x:c r="BE90" s="184"/>
      <x:c r="BF90" s="184"/>
      <x:c r="BG90" s="184"/>
      <x:c r="BH90" s="184"/>
      <x:c r="BI90" s="184"/>
      <x:c r="BJ90" s="184"/>
    </x:row>
    <x:row r="91" ht="34" customHeight="1">
      <x:c r="A91" s="195"/>
      <x:c r="B91" s="195"/>
      <x:c r="C91" s="195" t="str">
        <x:v>M번호 / 시나리오</x:v>
      </x:c>
      <x:c r="D91" s="195" t="str">
        <x:v>레이더(s)</x:v>
      </x:c>
      <x:c r="E91" s="195"/>
      <x:c r="F91" s="195"/>
      <x:c r="G91" s="195"/>
      <x:c r="H91" s="264" t="str">
        <x:v>M01 1 시작</x:v>
      </x:c>
      <x:c r="I91" s="264" t="str">
        <x:v>M02 1 종료</x:v>
      </x:c>
      <x:c r="J91" s="209" t="str">
        <x:v>M03 2 시작</x:v>
      </x:c>
      <x:c r="K91" s="209" t="str">
        <x:v>M04 2 종료</x:v>
      </x:c>
      <x:c r="L91" s="196"/>
      <x:c r="M91" s="269" t="str">
        <x:v>M05 3-1 시작</x:v>
      </x:c>
      <x:c r="N91" s="269" t="str">
        <x:v>M06 3-1 종료</x:v>
      </x:c>
      <x:c r="O91" s="269" t="str">
        <x:v>M07 3-2 시작</x:v>
      </x:c>
      <x:c r="P91" s="269" t="str">
        <x:v>M08 3-2 종료</x:v>
      </x:c>
      <x:c r="Q91" s="271" t="str">
        <x:v>M09 4-1 시작</x:v>
      </x:c>
      <x:c r="R91" s="271" t="str">
        <x:v>M10 4-1 종료</x:v>
      </x:c>
      <x:c r="S91" s="271" t="str">
        <x:v>M11 4-2 시작</x:v>
      </x:c>
      <x:c r="T91" s="271" t="str">
        <x:v>M12 4-2 종료</x:v>
      </x:c>
      <x:c r="U91" s="220" t="str">
        <x:v>M13 4-3 시작</x:v>
      </x:c>
      <x:c r="V91" s="271" t="str">
        <x:v>M14 4-3 종료</x:v>
      </x:c>
      <x:c r="W91" s="271" t="str">
        <x:v>M15 4-4 시작</x:v>
      </x:c>
      <x:c r="X91" s="196"/>
      <x:c r="Y91" s="271" t="str">
        <x:v>M16 4-4 종료</x:v>
      </x:c>
      <x:c r="Z91" s="273" t="str">
        <x:v>M17 5 시작</x:v>
      </x:c>
      <x:c r="AA91" s="196"/>
      <x:c r="AB91" s="238" t="str">
        <x:v>M18 5 종료</x:v>
      </x:c>
      <x:c r="AC91" s="240" t="str">
        <x:v>M19 6 시작</x:v>
      </x:c>
      <x:c r="AD91" s="240" t="str">
        <x:v>M20 6 종료</x:v>
      </x:c>
      <x:c r="AE91" s="232" t="str">
        <x:v>M21 7 시작</x:v>
      </x:c>
      <x:c r="AF91" s="232" t="str">
        <x:v>M22 7 종료</x:v>
      </x:c>
      <x:c r="AG91" s="196"/>
      <x:c r="AH91" s="196"/>
      <x:c r="AI91" s="196"/>
      <x:c r="AJ91" s="196"/>
      <x:c r="AK91" s="196"/>
      <x:c r="AL91" s="196"/>
      <x:c r="AM91" s="196"/>
      <x:c r="AN91" s="196"/>
      <x:c r="AO91" s="196"/>
      <x:c r="AP91" s="196"/>
      <x:c r="AQ91" s="196"/>
      <x:c r="AR91" s="196"/>
      <x:c r="AS91" s="196"/>
      <x:c r="AT91" s="196"/>
      <x:c r="AU91" s="196"/>
      <x:c r="AV91" s="196"/>
      <x:c r="AW91" s="196"/>
      <x:c r="AX91" s="196"/>
      <x:c r="AY91" s="196"/>
      <x:c r="AZ91" s="196"/>
      <x:c r="BA91" s="196"/>
      <x:c r="BB91" s="196"/>
      <x:c r="BC91" s="196"/>
      <x:c r="BD91" s="196"/>
      <x:c r="BE91" s="196"/>
      <x:c r="BF91" s="196"/>
      <x:c r="BG91" s="196"/>
      <x:c r="BH91" s="196"/>
      <x:c r="BI91" s="196"/>
      <x:c r="BJ91" s="196"/>
    </x:row>
    <x:row r="92" ht="20" customHeight="1">
      <x:c r="A92" s="198" t="n">
        <x:v>22</x:v>
      </x:c>
      <x:c r="B92" s="198" t="str">
        <x:v>S22_KJH</x:v>
      </x:c>
      <x:c r="C92" s="198" t="str">
        <x:v>RAW 8.5V</x:v>
      </x:c>
      <x:c r="D92" s="198" t="str">
        <x:v>레이더(s)</x:v>
      </x:c>
      <x:c r="E92" s="198" t="n">
        <x:v>22</x:v>
      </x:c>
      <x:c r="F92" s="198" t="n">
        <x:v>22</x:v>
      </x:c>
      <x:c r="G92" s="243" t="str">
        <x:v>후보군 검토 필요</x:v>
      </x:c>
      <x:c r="H92" s="244"/>
      <x:c r="I92" s="244"/>
      <x:c r="J92" s="246"/>
      <x:c r="K92" s="246"/>
      <x:c r="L92" s="248" t="n">
        <x:v>699.798</x:v>
      </x:c>
      <x:c r="M92" s="248" t="n">
        <x:v>716.1880000000001</x:v>
      </x:c>
      <x:c r="N92" s="248" t="n">
        <x:v>734.028</x:v>
      </x:c>
      <x:c r="O92" s="248" t="n">
        <x:v>814.292</x:v>
      </x:c>
      <x:c r="P92" s="184" t="n">
        <x:v>822.634</x:v>
      </x:c>
      <x:c r="Q92" s="251"/>
      <x:c r="R92" s="251" t="n">
        <x:v>835.3520000000001</x:v>
      </x:c>
      <x:c r="S92" s="251" t="n">
        <x:v>848.076</x:v>
      </x:c>
      <x:c r="T92" s="251" t="n">
        <x:v>894.9480000000001</x:v>
      </x:c>
      <x:c r="U92" s="184" t="n">
        <x:v>905.24</x:v>
      </x:c>
      <x:c r="V92" s="251"/>
      <x:c r="W92" s="184"/>
      <x:c r="X92" s="251" t="n">
        <x:v>953.556</x:v>
      </x:c>
      <x:c r="Y92" s="251" t="n">
        <x:v>971.8053333333334</x:v>
      </x:c>
      <x:c r="Z92" s="251" t="n">
        <x:v>982.648</x:v>
      </x:c>
      <x:c r="AA92" s="254" t="n">
        <x:v>1050.704</x:v>
      </x:c>
      <x:c r="AB92" s="254" t="n">
        <x:v>1240.084</x:v>
      </x:c>
      <x:c r="AC92" s="257" t="n">
        <x:v>1285.42</x:v>
      </x:c>
      <x:c r="AD92" s="257" t="n">
        <x:v>1309.876</x:v>
      </x:c>
      <x:c r="AE92" s="259" t="n">
        <x:v>1342.536</x:v>
      </x:c>
      <x:c r="AF92" s="259" t="n">
        <x:v>1356.28</x:v>
      </x:c>
      <x:c r="AG92" s="184"/>
      <x:c r="AH92" s="184"/>
      <x:c r="AI92" s="184"/>
      <x:c r="AJ92" s="184"/>
      <x:c r="AK92" s="184"/>
      <x:c r="AL92" s="184"/>
      <x:c r="AM92" s="184"/>
      <x:c r="AN92" s="184"/>
      <x:c r="AO92" s="184"/>
      <x:c r="AP92" s="184"/>
      <x:c r="AQ92" s="184"/>
      <x:c r="AR92" s="184"/>
      <x:c r="AS92" s="184"/>
      <x:c r="AT92" s="184"/>
      <x:c r="AU92" s="184"/>
      <x:c r="AV92" s="184"/>
      <x:c r="AW92" s="184"/>
      <x:c r="AX92" s="184"/>
      <x:c r="AY92" s="184"/>
      <x:c r="AZ92" s="184"/>
      <x:c r="BA92" s="184"/>
      <x:c r="BB92" s="184"/>
      <x:c r="BC92" s="184"/>
      <x:c r="BD92" s="184"/>
      <x:c r="BE92" s="184"/>
      <x:c r="BF92" s="184"/>
      <x:c r="BG92" s="184"/>
      <x:c r="BH92" s="184"/>
      <x:c r="BI92" s="184"/>
      <x:c r="BJ92" s="184"/>
    </x:row>
    <x:row r="93" ht="20" customHeight="1">
      <x:c r="A93" s="190"/>
      <x:c r="B93" s="190"/>
      <x:c r="C93" s="190" t="str">
        <x:v>전수 후보</x:v>
      </x:c>
      <x:c r="D93" s="190" t="str">
        <x:v>레이더(s)</x:v>
      </x:c>
      <x:c r="E93" s="190"/>
      <x:c r="F93" s="190"/>
      <x:c r="G93" s="190"/>
      <x:c r="H93" s="244" t="n">
        <x:v>222.04000000000005</x:v>
      </x:c>
      <x:c r="I93" s="282" t="n">
        <x:v>304.812</x:v>
      </x:c>
      <x:c r="J93" s="283" t="n">
        <x:v>314.732</x:v>
      </x:c>
      <x:c r="K93" s="246" t="n">
        <x:v>681.412</x:v>
      </x:c>
      <x:c r="L93" s="248" t="n">
        <x:v>698.652</x:v>
      </x:c>
      <x:c r="M93" s="248" t="n">
        <x:v>715.7880000000001</x:v>
      </x:c>
      <x:c r="N93" s="248" t="n">
        <x:v>733.628</x:v>
      </x:c>
      <x:c r="O93" s="248" t="n">
        <x:v>813.892</x:v>
      </x:c>
      <x:c r="P93" s="184"/>
      <x:c r="Q93" s="253" t="n">
        <x:v>830.1160000000001</x:v>
      </x:c>
      <x:c r="R93" s="253" t="n">
        <x:v>834.9520000000001</x:v>
      </x:c>
      <x:c r="S93" s="253" t="n">
        <x:v>847.676</x:v>
      </x:c>
      <x:c r="T93" s="251" t="n">
        <x:v>894.5480000000001</x:v>
      </x:c>
      <x:c r="U93" s="214" t="n">
        <x:v>903.916</x:v>
      </x:c>
      <x:c r="V93" s="251" t="n">
        <x:v>912.0200000000001</x:v>
      </x:c>
      <x:c r="W93" s="214" t="n">
        <x:v>948.576</x:v>
      </x:c>
      <x:c r="X93" s="251" t="n">
        <x:v>953.1560000000001</x:v>
      </x:c>
      <x:c r="Y93" s="253" t="n">
        <x:v>969.6840000000001</x:v>
      </x:c>
      <x:c r="Z93" s="253" t="n">
        <x:v>982.248</x:v>
      </x:c>
      <x:c r="AA93" s="254" t="n">
        <x:v>1050.3039999999999</x:v>
      </x:c>
      <x:c r="AB93" s="254" t="n">
        <x:v>1238.176</x:v>
      </x:c>
      <x:c r="AC93" s="257" t="n">
        <x:v>1285.02</x:v>
      </x:c>
      <x:c r="AD93" s="257" t="n">
        <x:v>1309.4759999999999</x:v>
      </x:c>
      <x:c r="AE93" s="281" t="n">
        <x:v>1342.136</x:v>
      </x:c>
      <x:c r="AF93" s="281" t="n">
        <x:v>1355.8799999999999</x:v>
      </x:c>
      <x:c r="AG93" s="184"/>
      <x:c r="AH93" s="184"/>
      <x:c r="AI93" s="184"/>
      <x:c r="AJ93" s="184"/>
      <x:c r="AK93" s="184"/>
      <x:c r="AL93" s="184"/>
      <x:c r="AM93" s="184"/>
      <x:c r="AN93" s="184"/>
      <x:c r="AO93" s="184"/>
      <x:c r="AP93" s="184"/>
      <x:c r="AQ93" s="184"/>
      <x:c r="AR93" s="184"/>
      <x:c r="AS93" s="184"/>
      <x:c r="AT93" s="184"/>
      <x:c r="AU93" s="184"/>
      <x:c r="AV93" s="184"/>
      <x:c r="AW93" s="184"/>
      <x:c r="AX93" s="184"/>
      <x:c r="AY93" s="184"/>
      <x:c r="AZ93" s="184"/>
      <x:c r="BA93" s="184"/>
      <x:c r="BB93" s="184"/>
      <x:c r="BC93" s="184"/>
      <x:c r="BD93" s="184"/>
      <x:c r="BE93" s="184"/>
      <x:c r="BF93" s="184"/>
      <x:c r="BG93" s="184"/>
      <x:c r="BH93" s="184"/>
      <x:c r="BI93" s="184"/>
      <x:c r="BJ93" s="184"/>
    </x:row>
    <x:row r="94" ht="20" customHeight="1">
      <x:c r="A94" s="190"/>
      <x:c r="B94" s="190"/>
      <x:c r="C94" s="190" t="str">
        <x:v>추천값(미확정)</x:v>
      </x:c>
      <x:c r="D94" s="190" t="str">
        <x:v>레이더(s)</x:v>
      </x:c>
      <x:c r="E94" s="190"/>
      <x:c r="F94" s="190"/>
      <x:c r="G94" s="190"/>
      <x:c r="H94" s="244" t="n">
        <x:v>222.04</x:v>
      </x:c>
      <x:c r="I94" s="244" t="n">
        <x:v>304.812</x:v>
      </x:c>
      <x:c r="J94" s="246" t="n">
        <x:v>314.732</x:v>
      </x:c>
      <x:c r="K94" s="246" t="n">
        <x:v>681.412</x:v>
      </x:c>
      <x:c r="L94" s="248" t="n">
        <x:v>698.652</x:v>
      </x:c>
      <x:c r="M94" s="248" t="n">
        <x:v>715.788</x:v>
      </x:c>
      <x:c r="N94" s="248" t="n">
        <x:v>733.628</x:v>
      </x:c>
      <x:c r="O94" s="248" t="n">
        <x:v>813.892</x:v>
      </x:c>
      <x:c r="P94" s="184"/>
      <x:c r="Q94" s="251" t="n">
        <x:v>830.116</x:v>
      </x:c>
      <x:c r="R94" s="251" t="n">
        <x:v>834.952</x:v>
      </x:c>
      <x:c r="S94" s="251" t="n">
        <x:v>847.676</x:v>
      </x:c>
      <x:c r="T94" s="251" t="n">
        <x:v>894.548</x:v>
      </x:c>
      <x:c r="U94" s="184"/>
      <x:c r="V94" s="251" t="n">
        <x:v>912.02</x:v>
      </x:c>
      <x:c r="W94" s="184"/>
      <x:c r="X94" s="251" t="n">
        <x:v>953.156</x:v>
      </x:c>
      <x:c r="Y94" s="251" t="n">
        <x:v>969.684</x:v>
      </x:c>
      <x:c r="Z94" s="251" t="n">
        <x:v>982.248</x:v>
      </x:c>
      <x:c r="AA94" s="254" t="n">
        <x:v>1050.304</x:v>
      </x:c>
      <x:c r="AB94" s="254" t="n">
        <x:v>1238.176</x:v>
      </x:c>
      <x:c r="AC94" s="257" t="n">
        <x:v>1285.02</x:v>
      </x:c>
      <x:c r="AD94" s="257" t="n">
        <x:v>1309.476</x:v>
      </x:c>
      <x:c r="AE94" s="259" t="n">
        <x:v>1342.136</x:v>
      </x:c>
      <x:c r="AF94" s="259" t="n">
        <x:v>1355.88</x:v>
      </x:c>
      <x:c r="AG94" s="184"/>
      <x:c r="AH94" s="184"/>
      <x:c r="AI94" s="184"/>
      <x:c r="AJ94" s="184"/>
      <x:c r="AK94" s="184"/>
      <x:c r="AL94" s="184"/>
      <x:c r="AM94" s="184"/>
      <x:c r="AN94" s="184"/>
      <x:c r="AO94" s="184"/>
      <x:c r="AP94" s="184"/>
      <x:c r="AQ94" s="184"/>
      <x:c r="AR94" s="184"/>
      <x:c r="AS94" s="184"/>
      <x:c r="AT94" s="184"/>
      <x:c r="AU94" s="184"/>
      <x:c r="AV94" s="184"/>
      <x:c r="AW94" s="184"/>
      <x:c r="AX94" s="184"/>
      <x:c r="AY94" s="184"/>
      <x:c r="AZ94" s="184"/>
      <x:c r="BA94" s="184"/>
      <x:c r="BB94" s="184"/>
      <x:c r="BC94" s="184"/>
      <x:c r="BD94" s="184"/>
      <x:c r="BE94" s="184"/>
      <x:c r="BF94" s="184"/>
      <x:c r="BG94" s="184"/>
      <x:c r="BH94" s="184"/>
      <x:c r="BI94" s="184"/>
      <x:c r="BJ94" s="184"/>
    </x:row>
    <x:row r="95" ht="34" customHeight="1">
      <x:c r="A95" s="195"/>
      <x:c r="B95" s="195"/>
      <x:c r="C95" s="195" t="str">
        <x:v>M번호 / 시나리오</x:v>
      </x:c>
      <x:c r="D95" s="195" t="str">
        <x:v>레이더(s)</x:v>
      </x:c>
      <x:c r="E95" s="195"/>
      <x:c r="F95" s="195"/>
      <x:c r="G95" s="195"/>
      <x:c r="H95" s="245" t="str">
        <x:v>M01 1 시작</x:v>
      </x:c>
      <x:c r="I95" s="245" t="str">
        <x:v>M02 1 종료</x:v>
      </x:c>
      <x:c r="J95" s="247" t="str">
        <x:v>M03 2 시작</x:v>
      </x:c>
      <x:c r="K95" s="247" t="str">
        <x:v>M04 2 종료</x:v>
      </x:c>
      <x:c r="L95" s="249" t="str">
        <x:v>M05 3-1 시작</x:v>
      </x:c>
      <x:c r="M95" s="249" t="str">
        <x:v>M06 3-1 종료</x:v>
      </x:c>
      <x:c r="N95" s="249" t="str">
        <x:v>M07 3-2 시작</x:v>
      </x:c>
      <x:c r="O95" s="249" t="str">
        <x:v>M08 3-2 종료</x:v>
      </x:c>
      <x:c r="P95" s="196"/>
      <x:c r="Q95" s="252" t="str">
        <x:v>M09 4-1 시작</x:v>
      </x:c>
      <x:c r="R95" s="252" t="str">
        <x:v>M10 4-1 종료</x:v>
      </x:c>
      <x:c r="S95" s="252" t="str">
        <x:v>M11 4-2 시작</x:v>
      </x:c>
      <x:c r="T95" s="252" t="str">
        <x:v>M12 4-2 종료</x:v>
      </x:c>
      <x:c r="U95" s="196"/>
      <x:c r="V95" s="252" t="str">
        <x:v>M13 4-3 시작</x:v>
      </x:c>
      <x:c r="W95" s="196"/>
      <x:c r="X95" s="252" t="str">
        <x:v>M14 4-3 종료</x:v>
      </x:c>
      <x:c r="Y95" s="252" t="str">
        <x:v>M15 4-4 시작</x:v>
      </x:c>
      <x:c r="Z95" s="252" t="str">
        <x:v>M16 4-4 종료</x:v>
      </x:c>
      <x:c r="AA95" s="255" t="str">
        <x:v>M17 5 시작</x:v>
      </x:c>
      <x:c r="AB95" s="255" t="str">
        <x:v>M18 5 종료</x:v>
      </x:c>
      <x:c r="AC95" s="258" t="str">
        <x:v>M19 6 시작</x:v>
      </x:c>
      <x:c r="AD95" s="258" t="str">
        <x:v>M20 6 종료</x:v>
      </x:c>
      <x:c r="AE95" s="260" t="str">
        <x:v>M21 7 시작</x:v>
      </x:c>
      <x:c r="AF95" s="260" t="str">
        <x:v>M22 7 종료</x:v>
      </x:c>
      <x:c r="AG95" s="196"/>
      <x:c r="AH95" s="196"/>
      <x:c r="AI95" s="196"/>
      <x:c r="AJ95" s="196"/>
      <x:c r="AK95" s="196"/>
      <x:c r="AL95" s="196"/>
      <x:c r="AM95" s="196"/>
      <x:c r="AN95" s="196"/>
      <x:c r="AO95" s="196"/>
      <x:c r="AP95" s="196"/>
      <x:c r="AQ95" s="196"/>
      <x:c r="AR95" s="196"/>
      <x:c r="AS95" s="196"/>
      <x:c r="AT95" s="196"/>
      <x:c r="AU95" s="196"/>
      <x:c r="AV95" s="196"/>
      <x:c r="AW95" s="196"/>
      <x:c r="AX95" s="196"/>
      <x:c r="AY95" s="196"/>
      <x:c r="AZ95" s="196"/>
      <x:c r="BA95" s="196"/>
      <x:c r="BB95" s="196"/>
      <x:c r="BC95" s="196"/>
      <x:c r="BD95" s="196"/>
      <x:c r="BE95" s="196"/>
      <x:c r="BF95" s="196"/>
      <x:c r="BG95" s="196"/>
      <x:c r="BH95" s="196"/>
      <x:c r="BI95" s="196"/>
      <x:c r="BJ95" s="196"/>
    </x:row>
    <x:row r="96" ht="20" customHeight="1">
      <x:c r="A96" s="198" t="n">
        <x:v>23</x:v>
      </x:c>
      <x:c r="B96" s="198" t="str">
        <x:v>S23_KDM</x:v>
      </x:c>
      <x:c r="C96" s="198" t="str">
        <x:v>RAW 8.5V</x:v>
      </x:c>
      <x:c r="D96" s="198" t="str">
        <x:v>레이더(s)</x:v>
      </x:c>
      <x:c r="E96" s="198" t="n">
        <x:v>22</x:v>
      </x:c>
      <x:c r="F96" s="198" t="n">
        <x:v>22</x:v>
      </x:c>
      <x:c r="G96" s="277" t="str">
        <x:v>자동 점검 통과</x:v>
      </x:c>
      <x:c r="H96" s="184" t="n">
        <x:v>8.931999999999999</x:v>
      </x:c>
      <x:c r="I96" s="235"/>
      <x:c r="J96" s="184" t="n">
        <x:v>204.7</x:v>
      </x:c>
      <x:c r="K96" s="235"/>
      <x:c r="L96" s="184" t="n">
        <x:v>221.59199999999998</x:v>
      </x:c>
      <x:c r="M96" s="208" t="n">
        <x:v>228.89</x:v>
      </x:c>
      <x:c r="N96" s="184"/>
      <x:c r="O96" s="184"/>
      <x:c r="P96" s="184"/>
      <x:c r="Q96" s="184"/>
      <x:c r="R96" s="184"/>
      <x:c r="S96" s="184"/>
      <x:c r="T96" s="184"/>
      <x:c r="U96" s="184"/>
      <x:c r="V96" s="184" t="n">
        <x:v>595.4240000000001</x:v>
      </x:c>
      <x:c r="W96" s="265"/>
      <x:c r="X96" s="184" t="n">
        <x:v>651.8960000000001</x:v>
      </x:c>
      <x:c r="Y96" s="268" t="n">
        <x:v>662.988</x:v>
      </x:c>
      <x:c r="Z96" s="266"/>
      <x:c r="AA96" s="184" t="n">
        <x:v>682.144</x:v>
      </x:c>
      <x:c r="AB96" s="268" t="n">
        <x:v>694.4680000000001</x:v>
      </x:c>
      <x:c r="AC96" s="266"/>
      <x:c r="AD96" s="184" t="n">
        <x:v>748.0120000000001</x:v>
      </x:c>
      <x:c r="AE96" s="270" t="n">
        <x:v>757.662</x:v>
      </x:c>
      <x:c r="AF96" s="219"/>
      <x:c r="AG96" s="184" t="n">
        <x:v>769.8040000000001</x:v>
      </x:c>
      <x:c r="AH96" s="219"/>
      <x:c r="AI96" s="184" t="n">
        <x:v>811.464</x:v>
      </x:c>
      <x:c r="AJ96" s="219"/>
      <x:c r="AK96" s="184" t="n">
        <x:v>826.0426666666668</x:v>
      </x:c>
      <x:c r="AL96" s="219"/>
      <x:c r="AM96" s="184"/>
      <x:c r="AN96" s="184" t="n">
        <x:v>872.792</x:v>
      </x:c>
      <x:c r="AO96" s="219"/>
      <x:c r="AP96" s="184" t="n">
        <x:v>891.808</x:v>
      </x:c>
      <x:c r="AQ96" s="270" t="n">
        <x:v>899.6600000000001</x:v>
      </x:c>
      <x:c r="AR96" s="219"/>
      <x:c r="AS96" s="184" t="n">
        <x:v>938.5360000000001</x:v>
      </x:c>
      <x:c r="AT96" s="272"/>
      <x:c r="AU96" s="184" t="n">
        <x:v>1122.1960000000001</x:v>
      </x:c>
      <x:c r="AV96" s="272"/>
      <x:c r="AW96" s="184" t="n">
        <x:v>1139.2920000000001</x:v>
      </x:c>
      <x:c r="AX96" s="274"/>
      <x:c r="AY96" s="184" t="n">
        <x:v>1162.556</x:v>
      </x:c>
      <x:c r="AZ96" s="274"/>
      <x:c r="BA96" s="184" t="n">
        <x:v>1185.616</x:v>
      </x:c>
      <x:c r="BB96" s="241"/>
      <x:c r="BC96" s="184" t="n">
        <x:v>1203.324</x:v>
      </x:c>
      <x:c r="BD96" s="241"/>
      <x:c r="BE96" s="184"/>
      <x:c r="BF96" s="184"/>
      <x:c r="BG96" s="184"/>
      <x:c r="BH96" s="184"/>
      <x:c r="BI96" s="184"/>
      <x:c r="BJ96" s="184"/>
    </x:row>
    <x:row r="97" ht="20" customHeight="1">
      <x:c r="A97" s="190"/>
      <x:c r="B97" s="190"/>
      <x:c r="C97" s="190" t="str">
        <x:v>전수 후보</x:v>
      </x:c>
      <x:c r="D97" s="190" t="str">
        <x:v>레이더(s)</x:v>
      </x:c>
      <x:c r="E97" s="190"/>
      <x:c r="F97" s="190"/>
      <x:c r="G97" s="190"/>
      <x:c r="H97" s="184"/>
      <x:c r="I97" s="235" t="n">
        <x:v>17.03200000000001</x:v>
      </x:c>
      <x:c r="J97" s="184"/>
      <x:c r="K97" s="235" t="n">
        <x:v>212.8</x:v>
      </x:c>
      <x:c r="L97" s="184"/>
      <x:c r="M97" s="208" t="n">
        <x:v>229.692</x:v>
      </x:c>
      <x:c r="N97" s="184" t="n">
        <x:v>303.844</x:v>
      </x:c>
      <x:c r="O97" s="184" t="n">
        <x:v>314.196</x:v>
      </x:c>
      <x:c r="P97" s="184" t="n">
        <x:v>324.152</x:v>
      </x:c>
      <x:c r="Q97" s="184" t="n">
        <x:v>333.6</x:v>
      </x:c>
      <x:c r="R97" s="184" t="n">
        <x:v>344.072</x:v>
      </x:c>
      <x:c r="S97" s="184" t="n">
        <x:v>363.56</x:v>
      </x:c>
      <x:c r="T97" s="184" t="n">
        <x:v>392.26</x:v>
      </x:c>
      <x:c r="U97" s="184" t="n">
        <x:v>581.6800000000001</x:v>
      </x:c>
      <x:c r="V97" s="184"/>
      <x:c r="W97" s="265" t="n">
        <x:v>603.5240000000001</x:v>
      </x:c>
      <x:c r="X97" s="184"/>
      <x:c r="Y97" s="266" t="n">
        <x:v>659.9960000000001</x:v>
      </x:c>
      <x:c r="Z97" s="266" t="n">
        <x:v>671.0880000000001</x:v>
      </x:c>
      <x:c r="AA97" s="184"/>
      <x:c r="AB97" s="266" t="n">
        <x:v>691.2120000000001</x:v>
      </x:c>
      <x:c r="AC97" s="266" t="n">
        <x:v>702.5680000000001</x:v>
      </x:c>
      <x:c r="AD97" s="184"/>
      <x:c r="AE97" s="219" t="n">
        <x:v>756.1120000000001</x:v>
      </x:c>
      <x:c r="AF97" s="219" t="n">
        <x:v>762.3066666666667</x:v>
      </x:c>
      <x:c r="AG97" s="184"/>
      <x:c r="AH97" s="219" t="n">
        <x:v>777.9040000000001</x:v>
      </x:c>
      <x:c r="AI97" s="184"/>
      <x:c r="AJ97" s="219" t="n">
        <x:v>819.5640000000001</x:v>
      </x:c>
      <x:c r="AK97" s="184"/>
      <x:c r="AL97" s="219" t="n">
        <x:v>831.408</x:v>
      </x:c>
      <x:c r="AM97" s="214" t="n">
        <x:v>841.3760000000001</x:v>
      </x:c>
      <x:c r="AN97" s="184"/>
      <x:c r="AO97" s="219" t="n">
        <x:v>880.892</x:v>
      </x:c>
      <x:c r="AP97" s="184"/>
      <x:c r="AQ97" s="219" t="n">
        <x:v>899.908</x:v>
      </x:c>
      <x:c r="AR97" s="219" t="n">
        <x:v>907.7600000000001</x:v>
      </x:c>
      <x:c r="AS97" s="184"/>
      <x:c r="AT97" s="272" t="n">
        <x:v>946.6360000000001</x:v>
      </x:c>
      <x:c r="AU97" s="184"/>
      <x:c r="AV97" s="272" t="n">
        <x:v>1130.296</x:v>
      </x:c>
      <x:c r="AW97" s="184"/>
      <x:c r="AX97" s="274" t="n">
        <x:v>1147.392</x:v>
      </x:c>
      <x:c r="AY97" s="184"/>
      <x:c r="AZ97" s="274" t="n">
        <x:v>1170.656</x:v>
      </x:c>
      <x:c r="BA97" s="184"/>
      <x:c r="BB97" s="241" t="n">
        <x:v>1193.716</x:v>
      </x:c>
      <x:c r="BC97" s="214" t="n">
        <x:v>1202.568</x:v>
      </x:c>
      <x:c r="BD97" s="241" t="n">
        <x:v>1211.424</x:v>
      </x:c>
      <x:c r="BE97" s="184"/>
      <x:c r="BF97" s="184"/>
      <x:c r="BG97" s="184"/>
      <x:c r="BH97" s="184"/>
      <x:c r="BI97" s="184"/>
      <x:c r="BJ97" s="184"/>
    </x:row>
    <x:row r="98" ht="20" customHeight="1">
      <x:c r="A98" s="190"/>
      <x:c r="B98" s="190"/>
      <x:c r="C98" s="190" t="str">
        <x:v>선택값</x:v>
      </x:c>
      <x:c r="D98" s="190" t="str">
        <x:v>레이더(s)</x:v>
      </x:c>
      <x:c r="E98" s="190"/>
      <x:c r="F98" s="190"/>
      <x:c r="G98" s="190"/>
      <x:c r="H98" s="184"/>
      <x:c r="I98" s="235" t="n">
        <x:v>17.032</x:v>
      </x:c>
      <x:c r="J98" s="184"/>
      <x:c r="K98" s="235" t="n">
        <x:v>212.8</x:v>
      </x:c>
      <x:c r="L98" s="184"/>
      <x:c r="M98" s="208" t="n">
        <x:v>229.692</x:v>
      </x:c>
      <x:c r="N98" s="184"/>
      <x:c r="O98" s="184"/>
      <x:c r="P98" s="184"/>
      <x:c r="Q98" s="184"/>
      <x:c r="R98" s="184"/>
      <x:c r="S98" s="184"/>
      <x:c r="T98" s="184"/>
      <x:c r="U98" s="184"/>
      <x:c r="V98" s="184"/>
      <x:c r="W98" s="265" t="n">
        <x:v>603.524</x:v>
      </x:c>
      <x:c r="X98" s="184"/>
      <x:c r="Y98" s="268" t="n">
        <x:v>659.996</x:v>
      </x:c>
      <x:c r="Z98" s="266" t="n">
        <x:v>671.088</x:v>
      </x:c>
      <x:c r="AA98" s="184"/>
      <x:c r="AB98" s="268" t="n">
        <x:v>691.212</x:v>
      </x:c>
      <x:c r="AC98" s="266" t="n">
        <x:v>702.568</x:v>
      </x:c>
      <x:c r="AD98" s="184"/>
      <x:c r="AE98" s="270" t="n">
        <x:v>756.112</x:v>
      </x:c>
      <x:c r="AF98" s="219" t="n">
        <x:v>762.307</x:v>
      </x:c>
      <x:c r="AG98" s="184"/>
      <x:c r="AH98" s="219" t="n">
        <x:v>777.904</x:v>
      </x:c>
      <x:c r="AI98" s="184"/>
      <x:c r="AJ98" s="219" t="n">
        <x:v>819.564</x:v>
      </x:c>
      <x:c r="AK98" s="184"/>
      <x:c r="AL98" s="219" t="n">
        <x:v>831.408</x:v>
      </x:c>
      <x:c r="AM98" s="184"/>
      <x:c r="AN98" s="184"/>
      <x:c r="AO98" s="219" t="n">
        <x:v>880.892</x:v>
      </x:c>
      <x:c r="AP98" s="184"/>
      <x:c r="AQ98" s="270" t="n">
        <x:v>899.908</x:v>
      </x:c>
      <x:c r="AR98" s="219" t="n">
        <x:v>907.76</x:v>
      </x:c>
      <x:c r="AS98" s="184"/>
      <x:c r="AT98" s="272" t="n">
        <x:v>946.636</x:v>
      </x:c>
      <x:c r="AU98" s="184"/>
      <x:c r="AV98" s="272" t="n">
        <x:v>1130.296</x:v>
      </x:c>
      <x:c r="AW98" s="184"/>
      <x:c r="AX98" s="274" t="n">
        <x:v>1147.392</x:v>
      </x:c>
      <x:c r="AY98" s="184"/>
      <x:c r="AZ98" s="274" t="n">
        <x:v>1170.656</x:v>
      </x:c>
      <x:c r="BA98" s="184"/>
      <x:c r="BB98" s="241" t="n">
        <x:v>1193.716</x:v>
      </x:c>
      <x:c r="BC98" s="184"/>
      <x:c r="BD98" s="241" t="n">
        <x:v>1211.424</x:v>
      </x:c>
      <x:c r="BE98" s="184"/>
      <x:c r="BF98" s="184"/>
      <x:c r="BG98" s="184"/>
      <x:c r="BH98" s="184"/>
      <x:c r="BI98" s="184"/>
      <x:c r="BJ98" s="184"/>
    </x:row>
    <x:row r="99" ht="34" customHeight="1">
      <x:c r="A99" s="195"/>
      <x:c r="B99" s="195"/>
      <x:c r="C99" s="195" t="str">
        <x:v>M번호 / 시나리오</x:v>
      </x:c>
      <x:c r="D99" s="195" t="str">
        <x:v>레이더(s)</x:v>
      </x:c>
      <x:c r="E99" s="195"/>
      <x:c r="F99" s="195"/>
      <x:c r="G99" s="195"/>
      <x:c r="H99" s="196"/>
      <x:c r="I99" s="236" t="str">
        <x:v>M01 1 시작</x:v>
      </x:c>
      <x:c r="J99" s="196"/>
      <x:c r="K99" s="236" t="str">
        <x:v>M02 1 종료</x:v>
      </x:c>
      <x:c r="L99" s="196"/>
      <x:c r="M99" s="209" t="str">
        <x:v>M03 2 시작</x:v>
      </x:c>
      <x:c r="N99" s="196"/>
      <x:c r="O99" s="196"/>
      <x:c r="P99" s="196"/>
      <x:c r="Q99" s="196"/>
      <x:c r="R99" s="196"/>
      <x:c r="S99" s="196"/>
      <x:c r="T99" s="196"/>
      <x:c r="U99" s="196"/>
      <x:c r="V99" s="196"/>
      <x:c r="W99" s="278" t="str">
        <x:v>M04 2 종료</x:v>
      </x:c>
      <x:c r="X99" s="196"/>
      <x:c r="Y99" s="269" t="str">
        <x:v>M05 3-1 시작</x:v>
      </x:c>
      <x:c r="Z99" s="267" t="str">
        <x:v>M06 3-1 종료</x:v>
      </x:c>
      <x:c r="AA99" s="196"/>
      <x:c r="AB99" s="269" t="str">
        <x:v>M07 3-2 시작</x:v>
      </x:c>
      <x:c r="AC99" s="267" t="str">
        <x:v>M08 3-2 종료</x:v>
      </x:c>
      <x:c r="AD99" s="196"/>
      <x:c r="AE99" s="271" t="str">
        <x:v>M09 4-1 시작</x:v>
      </x:c>
      <x:c r="AF99" s="220" t="str">
        <x:v>M10 4-1 종료</x:v>
      </x:c>
      <x:c r="AG99" s="196"/>
      <x:c r="AH99" s="220" t="str">
        <x:v>M11 4-2 시작</x:v>
      </x:c>
      <x:c r="AI99" s="196"/>
      <x:c r="AJ99" s="220" t="str">
        <x:v>M12 4-2 종료</x:v>
      </x:c>
      <x:c r="AK99" s="196"/>
      <x:c r="AL99" s="220" t="str">
        <x:v>M13 4-3 시작</x:v>
      </x:c>
      <x:c r="AM99" s="196"/>
      <x:c r="AN99" s="196"/>
      <x:c r="AO99" s="220" t="str">
        <x:v>M14 4-3 종료</x:v>
      </x:c>
      <x:c r="AP99" s="196"/>
      <x:c r="AQ99" s="271" t="str">
        <x:v>M15 4-4 시작</x:v>
      </x:c>
      <x:c r="AR99" s="220" t="str">
        <x:v>M16 4-4 종료</x:v>
      </x:c>
      <x:c r="AS99" s="196"/>
      <x:c r="AT99" s="273" t="str">
        <x:v>M17 5 시작</x:v>
      </x:c>
      <x:c r="AU99" s="196"/>
      <x:c r="AV99" s="273" t="str">
        <x:v>M18 5 종료</x:v>
      </x:c>
      <x:c r="AW99" s="196"/>
      <x:c r="AX99" s="275" t="str">
        <x:v>M19 6 시작</x:v>
      </x:c>
      <x:c r="AY99" s="196"/>
      <x:c r="AZ99" s="275" t="str">
        <x:v>M20 6 종료</x:v>
      </x:c>
      <x:c r="BA99" s="196"/>
      <x:c r="BB99" s="279" t="str">
        <x:v>M21 7 시작</x:v>
      </x:c>
      <x:c r="BC99" s="196"/>
      <x:c r="BD99" s="279" t="str">
        <x:v>M22 7 종료</x:v>
      </x:c>
      <x:c r="BE99" s="196"/>
      <x:c r="BF99" s="196"/>
      <x:c r="BG99" s="196"/>
      <x:c r="BH99" s="196"/>
      <x:c r="BI99" s="196"/>
      <x:c r="BJ99" s="196"/>
    </x:row>
    <x:row r="100" ht="20" customHeight="1">
      <x:c r="A100" s="198" t="n">
        <x:v>24</x:v>
      </x:c>
      <x:c r="B100" s="198" t="str">
        <x:v>S24_KHJ</x:v>
      </x:c>
      <x:c r="C100" s="198" t="str">
        <x:v>RAW 8.5V</x:v>
      </x:c>
      <x:c r="D100" s="198" t="str">
        <x:v>BIOPAC(s)</x:v>
      </x:c>
      <x:c r="E100" s="198" t="n">
        <x:v>22</x:v>
      </x:c>
      <x:c r="F100" s="198" t="n">
        <x:v>0</x:v>
      </x:c>
      <x:c r="G100" s="199" t="str">
        <x:v>원본 누락</x:v>
      </x:c>
      <x:c r="H100" s="184"/>
      <x:c r="I100" s="184"/>
      <x:c r="J100" s="184"/>
      <x:c r="K100" s="184"/>
      <x:c r="L100" s="184"/>
      <x:c r="M100" s="184"/>
      <x:c r="N100" s="184"/>
      <x:c r="O100" s="184"/>
      <x:c r="P100" s="184"/>
      <x:c r="Q100" s="184"/>
      <x:c r="R100" s="184"/>
      <x:c r="S100" s="184"/>
      <x:c r="T100" s="184"/>
      <x:c r="U100" s="184"/>
      <x:c r="V100" s="184"/>
      <x:c r="W100" s="184" t="n">
        <x:v>897.512</x:v>
      </x:c>
      <x:c r="X100" s="184"/>
      <x:c r="Y100" s="184" t="n">
        <x:v>955.52</x:v>
      </x:c>
      <x:c r="Z100" s="184"/>
      <x:c r="AA100" s="184"/>
      <x:c r="AB100" s="184"/>
      <x:c r="AC100" s="184"/>
      <x:c r="AD100" s="184"/>
      <x:c r="AE100" s="184"/>
      <x:c r="AF100" s="184"/>
      <x:c r="AG100" s="184" t="n">
        <x:v>1345.4</x:v>
      </x:c>
      <x:c r="AH100" s="184"/>
      <x:c r="AI100" s="184"/>
      <x:c r="AJ100" s="184"/>
      <x:c r="AK100" s="184"/>
      <x:c r="AL100" s="184"/>
      <x:c r="AM100" s="184"/>
      <x:c r="AN100" s="184"/>
      <x:c r="AO100" s="184"/>
      <x:c r="AP100" s="184"/>
      <x:c r="AQ100" s="184"/>
      <x:c r="AR100" s="184"/>
      <x:c r="AS100" s="184"/>
      <x:c r="AT100" s="184"/>
      <x:c r="AU100" s="184"/>
      <x:c r="AV100" s="184"/>
      <x:c r="AW100" s="184"/>
      <x:c r="AX100" s="184"/>
      <x:c r="AY100" s="184"/>
      <x:c r="AZ100" s="184"/>
      <x:c r="BA100" s="184"/>
      <x:c r="BB100" s="184"/>
      <x:c r="BC100" s="184"/>
      <x:c r="BD100" s="184"/>
      <x:c r="BE100" s="184"/>
      <x:c r="BF100" s="184"/>
      <x:c r="BG100" s="184"/>
      <x:c r="BH100" s="184"/>
      <x:c r="BI100" s="184"/>
      <x:c r="BJ100" s="184"/>
    </x:row>
    <x:row r="101" ht="20" customHeight="1">
      <x:c r="A101" s="190"/>
      <x:c r="B101" s="190"/>
      <x:c r="C101" s="190" t="str">
        <x:v>전수 후보</x:v>
      </x:c>
      <x:c r="D101" s="190" t="str">
        <x:v>BIOPAC(s)</x:v>
      </x:c>
      <x:c r="E101" s="190"/>
      <x:c r="F101" s="190"/>
      <x:c r="G101" s="190"/>
      <x:c r="H101" s="184" t="n">
        <x:v>31.216</x:v>
      </x:c>
      <x:c r="I101" s="184" t="n">
        <x:v>223.514</x:v>
      </x:c>
      <x:c r="J101" s="184" t="n">
        <x:v>252.228</x:v>
      </x:c>
      <x:c r="K101" s="184" t="n">
        <x:v>478.376</x:v>
      </x:c>
      <x:c r="L101" s="184" t="n">
        <x:v>624.2280000000001</x:v>
      </x:c>
      <x:c r="M101" s="184" t="n">
        <x:v>634.784</x:v>
      </x:c>
      <x:c r="N101" s="184" t="n">
        <x:v>692.024</x:v>
      </x:c>
      <x:c r="O101" s="184" t="n">
        <x:v>696.056</x:v>
      </x:c>
      <x:c r="P101" s="184" t="n">
        <x:v>711.212</x:v>
      </x:c>
      <x:c r="Q101" s="184" t="n">
        <x:v>727.148</x:v>
      </x:c>
      <x:c r="R101" s="184" t="n">
        <x:v>739.528</x:v>
      </x:c>
      <x:c r="S101" s="184" t="n">
        <x:v>820.468</x:v>
      </x:c>
      <x:c r="T101" s="184" t="n">
        <x:v>841.34</x:v>
      </x:c>
      <x:c r="U101" s="184" t="n">
        <x:v>852.294</x:v>
      </x:c>
      <x:c r="V101" s="184" t="n">
        <x:v>859.132</x:v>
      </x:c>
      <x:c r="W101" s="184" t="n">
        <x:v>899.2139999999999</x:v>
      </x:c>
      <x:c r="X101" s="184" t="n">
        <x:v>907.82</x:v>
      </x:c>
      <x:c r="Y101" s="184" t="n">
        <x:v>956.9680000000001</x:v>
      </x:c>
      <x:c r="Z101" s="184" t="n">
        <x:v>984.156</x:v>
      </x:c>
      <x:c r="AA101" s="184" t="n">
        <x:v>1056.436</x:v>
      </x:c>
      <x:c r="AB101" s="184" t="n">
        <x:v>1240.9</x:v>
      </x:c>
      <x:c r="AC101" s="184" t="n">
        <x:v>1276.02</x:v>
      </x:c>
      <x:c r="AD101" s="184" t="n">
        <x:v>1289.632</x:v>
      </x:c>
      <x:c r="AE101" s="184" t="n">
        <x:v>1294.388</x:v>
      </x:c>
      <x:c r="AF101" s="184" t="n">
        <x:v>1317.1493333333335</x:v>
      </x:c>
      <x:c r="AG101" s="184" t="n">
        <x:v>1345.4</x:v>
      </x:c>
      <x:c r="AH101" s="184" t="n">
        <x:v>1360.308</x:v>
      </x:c>
      <x:c r="AI101" s="184"/>
      <x:c r="AJ101" s="184"/>
      <x:c r="AK101" s="184"/>
      <x:c r="AL101" s="184"/>
      <x:c r="AM101" s="184"/>
      <x:c r="AN101" s="184"/>
      <x:c r="AO101" s="184"/>
      <x:c r="AP101" s="184"/>
      <x:c r="AQ101" s="184"/>
      <x:c r="AR101" s="184"/>
      <x:c r="AS101" s="184"/>
      <x:c r="AT101" s="184"/>
      <x:c r="AU101" s="184"/>
      <x:c r="AV101" s="184"/>
      <x:c r="AW101" s="184"/>
      <x:c r="AX101" s="184"/>
      <x:c r="AY101" s="184"/>
      <x:c r="AZ101" s="184"/>
      <x:c r="BA101" s="184"/>
      <x:c r="BB101" s="184"/>
      <x:c r="BC101" s="184"/>
      <x:c r="BD101" s="184"/>
      <x:c r="BE101" s="184"/>
      <x:c r="BF101" s="184"/>
      <x:c r="BG101" s="184"/>
      <x:c r="BH101" s="184"/>
      <x:c r="BI101" s="184"/>
      <x:c r="BJ101" s="184"/>
    </x:row>
    <x:row r="102" ht="20" customHeight="1">
      <x:c r="A102" s="190"/>
      <x:c r="B102" s="190"/>
      <x:c r="C102" s="190" t="str">
        <x:v>추천값(미확정)</x:v>
      </x:c>
      <x:c r="D102" s="190" t="str">
        <x:v>BIOPAC(s)</x:v>
      </x:c>
      <x:c r="E102" s="190"/>
      <x:c r="F102" s="190"/>
      <x:c r="G102" s="190"/>
      <x:c r="H102" s="184"/>
      <x:c r="I102" s="184"/>
      <x:c r="J102" s="184"/>
      <x:c r="K102" s="184"/>
      <x:c r="L102" s="184"/>
      <x:c r="M102" s="184"/>
      <x:c r="N102" s="184"/>
      <x:c r="O102" s="184"/>
      <x:c r="P102" s="184"/>
      <x:c r="Q102" s="184"/>
      <x:c r="R102" s="184"/>
      <x:c r="S102" s="184"/>
      <x:c r="T102" s="184"/>
      <x:c r="U102" s="184"/>
      <x:c r="V102" s="184"/>
      <x:c r="W102" s="184"/>
      <x:c r="X102" s="184"/>
      <x:c r="Y102" s="184"/>
      <x:c r="Z102" s="184"/>
      <x:c r="AA102" s="184"/>
      <x:c r="AB102" s="184"/>
      <x:c r="AC102" s="184"/>
      <x:c r="AD102" s="184"/>
      <x:c r="AE102" s="184"/>
      <x:c r="AF102" s="184"/>
      <x:c r="AG102" s="184"/>
      <x:c r="AH102" s="184"/>
      <x:c r="AI102" s="184"/>
      <x:c r="AJ102" s="184"/>
      <x:c r="AK102" s="184"/>
      <x:c r="AL102" s="184"/>
      <x:c r="AM102" s="184"/>
      <x:c r="AN102" s="184"/>
      <x:c r="AO102" s="184"/>
      <x:c r="AP102" s="184"/>
      <x:c r="AQ102" s="184"/>
      <x:c r="AR102" s="184"/>
      <x:c r="AS102" s="184"/>
      <x:c r="AT102" s="184"/>
      <x:c r="AU102" s="184"/>
      <x:c r="AV102" s="184"/>
      <x:c r="AW102" s="184"/>
      <x:c r="AX102" s="184"/>
      <x:c r="AY102" s="184"/>
      <x:c r="AZ102" s="184"/>
      <x:c r="BA102" s="184"/>
      <x:c r="BB102" s="184"/>
      <x:c r="BC102" s="184"/>
      <x:c r="BD102" s="184"/>
      <x:c r="BE102" s="184"/>
      <x:c r="BF102" s="184"/>
      <x:c r="BG102" s="184"/>
      <x:c r="BH102" s="184"/>
      <x:c r="BI102" s="184"/>
      <x:c r="BJ102" s="184"/>
    </x:row>
    <x:row r="103" ht="34" customHeight="1">
      <x:c r="A103" s="195"/>
      <x:c r="B103" s="195"/>
      <x:c r="C103" s="195" t="str">
        <x:v>M번호 / 시나리오</x:v>
      </x:c>
      <x:c r="D103" s="195" t="str">
        <x:v>BIOPAC(s)</x:v>
      </x:c>
      <x:c r="E103" s="195"/>
      <x:c r="F103" s="195"/>
      <x:c r="G103" s="195"/>
      <x:c r="H103" s="196"/>
      <x:c r="I103" s="196"/>
      <x:c r="J103" s="196"/>
      <x:c r="K103" s="196"/>
      <x:c r="L103" s="196"/>
      <x:c r="M103" s="196"/>
      <x:c r="N103" s="196"/>
      <x:c r="O103" s="196"/>
      <x:c r="P103" s="196"/>
      <x:c r="Q103" s="196"/>
      <x:c r="R103" s="196"/>
      <x:c r="S103" s="196"/>
      <x:c r="T103" s="196"/>
      <x:c r="U103" s="196"/>
      <x:c r="V103" s="196"/>
      <x:c r="W103" s="196"/>
      <x:c r="X103" s="196"/>
      <x:c r="Y103" s="196"/>
      <x:c r="Z103" s="196"/>
      <x:c r="AA103" s="196"/>
      <x:c r="AB103" s="196"/>
      <x:c r="AC103" s="196"/>
      <x:c r="AD103" s="196"/>
      <x:c r="AE103" s="196"/>
      <x:c r="AF103" s="196"/>
      <x:c r="AG103" s="196"/>
      <x:c r="AH103" s="196"/>
      <x:c r="AI103" s="196"/>
      <x:c r="AJ103" s="196"/>
      <x:c r="AK103" s="196"/>
      <x:c r="AL103" s="196"/>
      <x:c r="AM103" s="196"/>
      <x:c r="AN103" s="196"/>
      <x:c r="AO103" s="196"/>
      <x:c r="AP103" s="196"/>
      <x:c r="AQ103" s="196"/>
      <x:c r="AR103" s="196"/>
      <x:c r="AS103" s="196"/>
      <x:c r="AT103" s="196"/>
      <x:c r="AU103" s="196"/>
      <x:c r="AV103" s="196"/>
      <x:c r="AW103" s="196"/>
      <x:c r="AX103" s="196"/>
      <x:c r="AY103" s="196"/>
      <x:c r="AZ103" s="196"/>
      <x:c r="BA103" s="196"/>
      <x:c r="BB103" s="196"/>
      <x:c r="BC103" s="196"/>
      <x:c r="BD103" s="196"/>
      <x:c r="BE103" s="196"/>
      <x:c r="BF103" s="196"/>
      <x:c r="BG103" s="196"/>
      <x:c r="BH103" s="196"/>
      <x:c r="BI103" s="196"/>
      <x:c r="BJ103" s="196"/>
    </x:row>
    <x:row r="104" ht="20" customHeight="1">
      <x:c r="A104" s="198" t="n">
        <x:v>25</x:v>
      </x:c>
      <x:c r="B104" s="198" t="str">
        <x:v>S25_GEC</x:v>
      </x:c>
      <x:c r="C104" s="198" t="str">
        <x:v>RAW 8.5V</x:v>
      </x:c>
      <x:c r="D104" s="198" t="str">
        <x:v>레이더(s)</x:v>
      </x:c>
      <x:c r="E104" s="198" t="n">
        <x:v>22</x:v>
      </x:c>
      <x:c r="F104" s="198" t="n">
        <x:v>22</x:v>
      </x:c>
      <x:c r="G104" s="262" t="str">
        <x:v>대체 후보 있음</x:v>
      </x:c>
      <x:c r="H104" s="263" t="n">
        <x:v>15.204</x:v>
      </x:c>
      <x:c r="I104" s="235" t="n">
        <x:v>213.008</x:v>
      </x:c>
      <x:c r="J104" s="184" t="n">
        <x:v>217.284</x:v>
      </x:c>
      <x:c r="K104" s="208" t="n">
        <x:v>233.468</x:v>
      </x:c>
      <x:c r="L104" s="208" t="n">
        <x:v>606.384</x:v>
      </x:c>
      <x:c r="M104" s="268" t="n">
        <x:v>696.37</x:v>
      </x:c>
      <x:c r="N104" s="268" t="n">
        <x:v>719.132</x:v>
      </x:c>
      <x:c r="O104" s="268" t="n">
        <x:v>735.104</x:v>
      </x:c>
      <x:c r="P104" s="268" t="n">
        <x:v>745.764</x:v>
      </x:c>
      <x:c r="Q104" s="270" t="n">
        <x:v>844.468</x:v>
      </x:c>
      <x:c r="R104" s="270" t="n">
        <x:v>860.176</x:v>
      </x:c>
      <x:c r="S104" s="270" t="n">
        <x:v>871.024</x:v>
      </x:c>
      <x:c r="T104" s="184" t="n">
        <x:v>915.992</x:v>
      </x:c>
      <x:c r="U104" s="219" t="n">
        <x:v>920.376</x:v>
      </x:c>
      <x:c r="V104" s="270" t="n">
        <x:v>930.448</x:v>
      </x:c>
      <x:c r="W104" s="184" t="n">
        <x:v>980.384</x:v>
      </x:c>
      <x:c r="X104" s="270" t="n">
        <x:v>985.748</x:v>
      </x:c>
      <x:c r="Y104" s="270" t="n">
        <x:v>1004.616</x:v>
      </x:c>
      <x:c r="Z104" s="270" t="n">
        <x:v>1018.392</x:v>
      </x:c>
      <x:c r="AA104" s="237" t="n">
        <x:v>1090.024</x:v>
      </x:c>
      <x:c r="AB104" s="237" t="n">
        <x:v>1280.38</x:v>
      </x:c>
      <x:c r="AC104" s="184" t="n">
        <x:v>1308.192</x:v>
      </x:c>
      <x:c r="AD104" s="239" t="n">
        <x:v>1315.896</x:v>
      </x:c>
      <x:c r="AE104" s="184" t="n">
        <x:v>1321.248</x:v>
      </x:c>
      <x:c r="AF104" s="239" t="n">
        <x:v>1341.88</x:v>
      </x:c>
      <x:c r="AG104" s="231" t="n">
        <x:v>1369.612</x:v>
      </x:c>
      <x:c r="AH104" s="231" t="n">
        <x:v>1383.88</x:v>
      </x:c>
      <x:c r="AI104" s="184"/>
      <x:c r="AJ104" s="184"/>
      <x:c r="AK104" s="184"/>
      <x:c r="AL104" s="184"/>
      <x:c r="AM104" s="184"/>
      <x:c r="AN104" s="184"/>
      <x:c r="AO104" s="184"/>
      <x:c r="AP104" s="184"/>
      <x:c r="AQ104" s="184"/>
      <x:c r="AR104" s="184"/>
      <x:c r="AS104" s="184"/>
      <x:c r="AT104" s="184"/>
      <x:c r="AU104" s="184"/>
      <x:c r="AV104" s="184"/>
      <x:c r="AW104" s="184"/>
      <x:c r="AX104" s="184"/>
      <x:c r="AY104" s="184"/>
      <x:c r="AZ104" s="184"/>
      <x:c r="BA104" s="184"/>
      <x:c r="BB104" s="184"/>
      <x:c r="BC104" s="184"/>
      <x:c r="BD104" s="184"/>
      <x:c r="BE104" s="184"/>
      <x:c r="BF104" s="184"/>
      <x:c r="BG104" s="184"/>
      <x:c r="BH104" s="184"/>
      <x:c r="BI104" s="184"/>
      <x:c r="BJ104" s="184"/>
    </x:row>
    <x:row r="105" ht="20" customHeight="1">
      <x:c r="A105" s="190"/>
      <x:c r="B105" s="190"/>
      <x:c r="C105" s="190" t="str">
        <x:v>전수 후보</x:v>
      </x:c>
      <x:c r="D105" s="190" t="str">
        <x:v>레이더(s)</x:v>
      </x:c>
      <x:c r="E105" s="190"/>
      <x:c r="F105" s="190"/>
      <x:c r="G105" s="190"/>
      <x:c r="H105" s="263" t="n">
        <x:v>18.704000000000022</x:v>
      </x:c>
      <x:c r="I105" s="235" t="n">
        <x:v>216.50800000000004</x:v>
      </x:c>
      <x:c r="J105" s="214" t="n">
        <x:v>220.78400000000002</x:v>
      </x:c>
      <x:c r="K105" s="208" t="n">
        <x:v>236.96800000000002</x:v>
      </x:c>
      <x:c r="L105" s="208" t="n">
        <x:v>609.884</x:v>
      </x:c>
      <x:c r="M105" s="268" t="n">
        <x:v>699.87</x:v>
      </x:c>
      <x:c r="N105" s="268" t="n">
        <x:v>722.632</x:v>
      </x:c>
      <x:c r="O105" s="266" t="n">
        <x:v>738.604</x:v>
      </x:c>
      <x:c r="P105" s="266" t="n">
        <x:v>749.264</x:v>
      </x:c>
      <x:c r="Q105" s="270" t="n">
        <x:v>847.968</x:v>
      </x:c>
      <x:c r="R105" s="219" t="n">
        <x:v>863.676</x:v>
      </x:c>
      <x:c r="S105" s="219" t="n">
        <x:v>874.524</x:v>
      </x:c>
      <x:c r="T105" s="214" t="n">
        <x:v>919.492</x:v>
      </x:c>
      <x:c r="U105" s="219" t="n">
        <x:v>923.876</x:v>
      </x:c>
      <x:c r="V105" s="219" t="n">
        <x:v>933.948</x:v>
      </x:c>
      <x:c r="W105" s="214" t="n">
        <x:v>983.884</x:v>
      </x:c>
      <x:c r="X105" s="270" t="n">
        <x:v>989.248</x:v>
      </x:c>
      <x:c r="Y105" s="219" t="n">
        <x:v>1008.116</x:v>
      </x:c>
      <x:c r="Z105" s="219" t="n">
        <x:v>1021.892</x:v>
      </x:c>
      <x:c r="AA105" s="237" t="n">
        <x:v>1093.524</x:v>
      </x:c>
      <x:c r="AB105" s="237" t="n">
        <x:v>1283.88</x:v>
      </x:c>
      <x:c r="AC105" s="214" t="n">
        <x:v>1311.692</x:v>
      </x:c>
      <x:c r="AD105" s="239" t="n">
        <x:v>1319.396</x:v>
      </x:c>
      <x:c r="AE105" s="214" t="n">
        <x:v>1324.748</x:v>
      </x:c>
      <x:c r="AF105" s="239" t="n">
        <x:v>1345.38</x:v>
      </x:c>
      <x:c r="AG105" s="241" t="n">
        <x:v>1373.112</x:v>
      </x:c>
      <x:c r="AH105" s="241" t="n">
        <x:v>1387.38</x:v>
      </x:c>
      <x:c r="AI105" s="184"/>
      <x:c r="AJ105" s="184"/>
      <x:c r="AK105" s="184"/>
      <x:c r="AL105" s="184"/>
      <x:c r="AM105" s="184"/>
      <x:c r="AN105" s="184"/>
      <x:c r="AO105" s="184"/>
      <x:c r="AP105" s="184"/>
      <x:c r="AQ105" s="184"/>
      <x:c r="AR105" s="184"/>
      <x:c r="AS105" s="184"/>
      <x:c r="AT105" s="184"/>
      <x:c r="AU105" s="184"/>
      <x:c r="AV105" s="184"/>
      <x:c r="AW105" s="184"/>
      <x:c r="AX105" s="184"/>
      <x:c r="AY105" s="184"/>
      <x:c r="AZ105" s="184"/>
      <x:c r="BA105" s="184"/>
      <x:c r="BB105" s="184"/>
      <x:c r="BC105" s="184"/>
      <x:c r="BD105" s="184"/>
      <x:c r="BE105" s="184"/>
      <x:c r="BF105" s="184"/>
      <x:c r="BG105" s="184"/>
      <x:c r="BH105" s="184"/>
      <x:c r="BI105" s="184"/>
      <x:c r="BJ105" s="184"/>
    </x:row>
    <x:row r="106" ht="20" customHeight="1">
      <x:c r="A106" s="190"/>
      <x:c r="B106" s="190"/>
      <x:c r="C106" s="190" t="str">
        <x:v>선택값</x:v>
      </x:c>
      <x:c r="D106" s="190" t="str">
        <x:v>레이더(s)</x:v>
      </x:c>
      <x:c r="E106" s="190"/>
      <x:c r="F106" s="190"/>
      <x:c r="G106" s="190"/>
      <x:c r="H106" s="263" t="n">
        <x:v>19</x:v>
      </x:c>
      <x:c r="I106" s="235" t="n">
        <x:v>216.6</x:v>
      </x:c>
      <x:c r="J106" s="184"/>
      <x:c r="K106" s="208" t="n">
        <x:v>237</x:v>
      </x:c>
      <x:c r="L106" s="208" t="n">
        <x:v>611.8</x:v>
      </x:c>
      <x:c r="M106" s="268" t="n">
        <x:v>700.7</x:v>
      </x:c>
      <x:c r="N106" s="268" t="n">
        <x:v>722.7</x:v>
      </x:c>
      <x:c r="O106" s="268" t="n">
        <x:v>739.9</x:v>
      </x:c>
      <x:c r="P106" s="268" t="n">
        <x:v>749.3</x:v>
      </x:c>
      <x:c r="Q106" s="270" t="n">
        <x:v>848.9</x:v>
      </x:c>
      <x:c r="R106" s="270" t="n">
        <x:v>863.8</x:v>
      </x:c>
      <x:c r="S106" s="270" t="n">
        <x:v>874.6</x:v>
      </x:c>
      <x:c r="T106" s="184"/>
      <x:c r="U106" s="219" t="n">
        <x:v>923.9</x:v>
      </x:c>
      <x:c r="V106" s="270" t="n">
        <x:v>934</x:v>
      </x:c>
      <x:c r="W106" s="184"/>
      <x:c r="X106" s="270" t="n">
        <x:v>989.2</x:v>
      </x:c>
      <x:c r="Y106" s="270" t="n">
        <x:v>1008.1</x:v>
      </x:c>
      <x:c r="Z106" s="270" t="n">
        <x:v>1021.9</x:v>
      </x:c>
      <x:c r="AA106" s="237" t="n">
        <x:v>1093.6</x:v>
      </x:c>
      <x:c r="AB106" s="237" t="n">
        <x:v>1283.9</x:v>
      </x:c>
      <x:c r="AC106" s="184"/>
      <x:c r="AD106" s="239" t="n">
        <x:v>1319.4</x:v>
      </x:c>
      <x:c r="AE106" s="184"/>
      <x:c r="AF106" s="239" t="n">
        <x:v>1345.4</x:v>
      </x:c>
      <x:c r="AG106" s="231" t="n">
        <x:v>1373.2</x:v>
      </x:c>
      <x:c r="AH106" s="231" t="n">
        <x:v>1387.4</x:v>
      </x:c>
      <x:c r="AI106" s="184"/>
      <x:c r="AJ106" s="184"/>
      <x:c r="AK106" s="184"/>
      <x:c r="AL106" s="184"/>
      <x:c r="AM106" s="184"/>
      <x:c r="AN106" s="184"/>
      <x:c r="AO106" s="184"/>
      <x:c r="AP106" s="184"/>
      <x:c r="AQ106" s="184"/>
      <x:c r="AR106" s="184"/>
      <x:c r="AS106" s="184"/>
      <x:c r="AT106" s="184"/>
      <x:c r="AU106" s="184"/>
      <x:c r="AV106" s="184"/>
      <x:c r="AW106" s="184"/>
      <x:c r="AX106" s="184"/>
      <x:c r="AY106" s="184"/>
      <x:c r="AZ106" s="184"/>
      <x:c r="BA106" s="184"/>
      <x:c r="BB106" s="184"/>
      <x:c r="BC106" s="184"/>
      <x:c r="BD106" s="184"/>
      <x:c r="BE106" s="184"/>
      <x:c r="BF106" s="184"/>
      <x:c r="BG106" s="184"/>
      <x:c r="BH106" s="184"/>
      <x:c r="BI106" s="184"/>
      <x:c r="BJ106" s="184"/>
    </x:row>
    <x:row r="107" ht="34" customHeight="1">
      <x:c r="A107" s="195"/>
      <x:c r="B107" s="195"/>
      <x:c r="C107" s="195" t="str">
        <x:v>M번호 / 시나리오</x:v>
      </x:c>
      <x:c r="D107" s="195" t="str">
        <x:v>레이더(s)</x:v>
      </x:c>
      <x:c r="E107" s="195"/>
      <x:c r="F107" s="195"/>
      <x:c r="G107" s="195"/>
      <x:c r="H107" s="264" t="str">
        <x:v>M01 1 시작</x:v>
      </x:c>
      <x:c r="I107" s="236" t="str">
        <x:v>M02 1 종료</x:v>
      </x:c>
      <x:c r="J107" s="196"/>
      <x:c r="K107" s="209" t="str">
        <x:v>M03 2 시작</x:v>
      </x:c>
      <x:c r="L107" s="209" t="str">
        <x:v>M04 2 종료</x:v>
      </x:c>
      <x:c r="M107" s="269" t="str">
        <x:v>M05 3-1 시작</x:v>
      </x:c>
      <x:c r="N107" s="269" t="str">
        <x:v>M06 3-1 종료</x:v>
      </x:c>
      <x:c r="O107" s="269" t="str">
        <x:v>M07 3-2 시작</x:v>
      </x:c>
      <x:c r="P107" s="269" t="str">
        <x:v>M08 3-2 종료</x:v>
      </x:c>
      <x:c r="Q107" s="271" t="str">
        <x:v>M09 4-1 시작</x:v>
      </x:c>
      <x:c r="R107" s="271" t="str">
        <x:v>M10 4-1 종료</x:v>
      </x:c>
      <x:c r="S107" s="271" t="str">
        <x:v>M11 4-2 시작</x:v>
      </x:c>
      <x:c r="T107" s="196"/>
      <x:c r="U107" s="220" t="str">
        <x:v>M12 4-2 종료</x:v>
      </x:c>
      <x:c r="V107" s="271" t="str">
        <x:v>M13 4-3 시작</x:v>
      </x:c>
      <x:c r="W107" s="196"/>
      <x:c r="X107" s="271" t="str">
        <x:v>M14 4-3 종료</x:v>
      </x:c>
      <x:c r="Y107" s="271" t="str">
        <x:v>M15 4-4 시작</x:v>
      </x:c>
      <x:c r="Z107" s="271" t="str">
        <x:v>M16 4-4 종료</x:v>
      </x:c>
      <x:c r="AA107" s="238" t="str">
        <x:v>M17 5 시작</x:v>
      </x:c>
      <x:c r="AB107" s="238" t="str">
        <x:v>M18 5 종료</x:v>
      </x:c>
      <x:c r="AC107" s="196"/>
      <x:c r="AD107" s="240" t="str">
        <x:v>M19 6 시작</x:v>
      </x:c>
      <x:c r="AE107" s="196"/>
      <x:c r="AF107" s="240" t="str">
        <x:v>M20 6 종료</x:v>
      </x:c>
      <x:c r="AG107" s="232" t="str">
        <x:v>M21 7 시작</x:v>
      </x:c>
      <x:c r="AH107" s="232" t="str">
        <x:v>M22 7 종료</x:v>
      </x:c>
      <x:c r="AI107" s="196"/>
      <x:c r="AJ107" s="196"/>
      <x:c r="AK107" s="196"/>
      <x:c r="AL107" s="196"/>
      <x:c r="AM107" s="196"/>
      <x:c r="AN107" s="196"/>
      <x:c r="AO107" s="196"/>
      <x:c r="AP107" s="196"/>
      <x:c r="AQ107" s="196"/>
      <x:c r="AR107" s="196"/>
      <x:c r="AS107" s="196"/>
      <x:c r="AT107" s="196"/>
      <x:c r="AU107" s="196"/>
      <x:c r="AV107" s="196"/>
      <x:c r="AW107" s="196"/>
      <x:c r="AX107" s="196"/>
      <x:c r="AY107" s="196"/>
      <x:c r="AZ107" s="196"/>
      <x:c r="BA107" s="196"/>
      <x:c r="BB107" s="196"/>
      <x:c r="BC107" s="196"/>
      <x:c r="BD107" s="196"/>
      <x:c r="BE107" s="196"/>
      <x:c r="BF107" s="196"/>
      <x:c r="BG107" s="196"/>
      <x:c r="BH107" s="196"/>
      <x:c r="BI107" s="196"/>
      <x:c r="BJ107" s="196"/>
    </x:row>
    <x:row r="108" ht="20" customHeight="1">
      <x:c r="A108" s="198" t="n">
        <x:v>26</x:v>
      </x:c>
      <x:c r="B108" s="198" t="str">
        <x:v>S26_LDW</x:v>
      </x:c>
      <x:c r="C108" s="198" t="str">
        <x:v>RAW 8.5V</x:v>
      </x:c>
      <x:c r="D108" s="198" t="str">
        <x:v>레이더(s)</x:v>
      </x:c>
      <x:c r="E108" s="198" t="n">
        <x:v>22</x:v>
      </x:c>
      <x:c r="F108" s="198" t="n">
        <x:v>22</x:v>
      </x:c>
      <x:c r="G108" s="277" t="str">
        <x:v>자동 점검 통과</x:v>
      </x:c>
      <x:c r="H108" s="263" t="n">
        <x:v>12.588</x:v>
      </x:c>
      <x:c r="I108" s="263" t="n">
        <x:v>206.844</x:v>
      </x:c>
      <x:c r="J108" s="208" t="n">
        <x:v>257.132</x:v>
      </x:c>
      <x:c r="K108" s="208" t="n">
        <x:v>633.0600000000001</x:v>
      </x:c>
      <x:c r="L108" s="268" t="n">
        <x:v>687.072</x:v>
      </x:c>
      <x:c r="M108" s="268" t="n">
        <x:v>699.96</x:v>
      </x:c>
      <x:c r="N108" s="268" t="n">
        <x:v>718.672</x:v>
      </x:c>
      <x:c r="O108" s="268" t="n">
        <x:v>730.8000000000001</x:v>
      </x:c>
      <x:c r="P108" s="270" t="n">
        <x:v>788.4200000000001</x:v>
      </x:c>
      <x:c r="Q108" s="184"/>
      <x:c r="R108" s="270" t="n">
        <x:v>804.976</x:v>
      </x:c>
      <x:c r="S108" s="270" t="n">
        <x:v>819.274</x:v>
      </x:c>
      <x:c r="T108" s="270" t="n">
        <x:v>862.852</x:v>
      </x:c>
      <x:c r="U108" s="270" t="n">
        <x:v>874.236</x:v>
      </x:c>
      <x:c r="V108" s="184"/>
      <x:c r="W108" s="270" t="n">
        <x:v>922.5020000000001</x:v>
      </x:c>
      <x:c r="X108" s="270" t="n">
        <x:v>944.8960000000001</x:v>
      </x:c>
      <x:c r="Y108" s="270" t="n">
        <x:v>958.112</x:v>
      </x:c>
      <x:c r="Z108" s="237" t="n">
        <x:v>1021.684</x:v>
      </x:c>
      <x:c r="AA108" s="237" t="n">
        <x:v>1211.224</x:v>
      </x:c>
      <x:c r="AB108" s="239" t="n">
        <x:v>1230.52</x:v>
      </x:c>
      <x:c r="AC108" s="239" t="n">
        <x:v>1258.388</x:v>
      </x:c>
      <x:c r="AD108" s="231" t="n">
        <x:v>1279.098</x:v>
      </x:c>
      <x:c r="AE108" s="231" t="n">
        <x:v>1292.84</x:v>
      </x:c>
      <x:c r="AF108" s="184"/>
      <x:c r="AG108" s="184"/>
      <x:c r="AH108" s="184"/>
      <x:c r="AI108" s="184"/>
      <x:c r="AJ108" s="184"/>
      <x:c r="AK108" s="184"/>
      <x:c r="AL108" s="184"/>
      <x:c r="AM108" s="184"/>
      <x:c r="AN108" s="184"/>
      <x:c r="AO108" s="184"/>
      <x:c r="AP108" s="184"/>
      <x:c r="AQ108" s="184"/>
      <x:c r="AR108" s="184"/>
      <x:c r="AS108" s="184"/>
      <x:c r="AT108" s="184"/>
      <x:c r="AU108" s="184"/>
      <x:c r="AV108" s="184"/>
      <x:c r="AW108" s="184"/>
      <x:c r="AX108" s="184"/>
      <x:c r="AY108" s="184"/>
      <x:c r="AZ108" s="184"/>
      <x:c r="BA108" s="184"/>
      <x:c r="BB108" s="184"/>
      <x:c r="BC108" s="184"/>
      <x:c r="BD108" s="184"/>
      <x:c r="BE108" s="184"/>
      <x:c r="BF108" s="184"/>
      <x:c r="BG108" s="184"/>
      <x:c r="BH108" s="184"/>
      <x:c r="BI108" s="184"/>
      <x:c r="BJ108" s="184"/>
    </x:row>
    <x:row r="109" ht="20" customHeight="1">
      <x:c r="A109" s="190"/>
      <x:c r="B109" s="190"/>
      <x:c r="C109" s="190" t="str">
        <x:v>전수 후보</x:v>
      </x:c>
      <x:c r="D109" s="190" t="str">
        <x:v>레이더(s)</x:v>
      </x:c>
      <x:c r="E109" s="190"/>
      <x:c r="F109" s="190"/>
      <x:c r="G109" s="190"/>
      <x:c r="H109" s="263" t="n">
        <x:v>12.588000000000042</x:v>
      </x:c>
      <x:c r="I109" s="263" t="n">
        <x:v>206.84400000000005</x:v>
      </x:c>
      <x:c r="J109" s="208" t="n">
        <x:v>257.132</x:v>
      </x:c>
      <x:c r="K109" s="208" t="n">
        <x:v>633.0600000000001</x:v>
      </x:c>
      <x:c r="L109" s="266" t="n">
        <x:v>687.072</x:v>
      </x:c>
      <x:c r="M109" s="266" t="n">
        <x:v>699.96</x:v>
      </x:c>
      <x:c r="N109" s="266" t="n">
        <x:v>718.672</x:v>
      </x:c>
      <x:c r="O109" s="266" t="n">
        <x:v>730.8000000000001</x:v>
      </x:c>
      <x:c r="P109" s="270" t="n">
        <x:v>788.4200000000001</x:v>
      </x:c>
      <x:c r="Q109" s="214" t="n">
        <x:v>794.936</x:v>
      </x:c>
      <x:c r="R109" s="219" t="n">
        <x:v>804.976</x:v>
      </x:c>
      <x:c r="S109" s="219" t="n">
        <x:v>817.904</x:v>
      </x:c>
      <x:c r="T109" s="219" t="n">
        <x:v>864.6493333333334</x:v>
      </x:c>
      <x:c r="U109" s="219" t="n">
        <x:v>874.236</x:v>
      </x:c>
      <x:c r="V109" s="214" t="n">
        <x:v>879.344</x:v>
      </x:c>
      <x:c r="W109" s="270" t="n">
        <x:v>923.3600000000001</x:v>
      </x:c>
      <x:c r="X109" s="219" t="n">
        <x:v>944.8960000000001</x:v>
      </x:c>
      <x:c r="Y109" s="219" t="n">
        <x:v>958.112</x:v>
      </x:c>
      <x:c r="Z109" s="237" t="n">
        <x:v>1021.684</x:v>
      </x:c>
      <x:c r="AA109" s="237" t="n">
        <x:v>1213.6293333333333</x:v>
      </x:c>
      <x:c r="AB109" s="239" t="n">
        <x:v>1230.5200000000002</x:v>
      </x:c>
      <x:c r="AC109" s="239" t="n">
        <x:v>1256.652</x:v>
      </x:c>
      <x:c r="AD109" s="241" t="n">
        <x:v>1277.9920000000002</x:v>
      </x:c>
      <x:c r="AE109" s="241" t="n">
        <x:v>1291.4080000000001</x:v>
      </x:c>
      <x:c r="AF109" s="184"/>
      <x:c r="AG109" s="184"/>
      <x:c r="AH109" s="184"/>
      <x:c r="AI109" s="184"/>
      <x:c r="AJ109" s="184"/>
      <x:c r="AK109" s="184"/>
      <x:c r="AL109" s="184"/>
      <x:c r="AM109" s="184"/>
      <x:c r="AN109" s="184"/>
      <x:c r="AO109" s="184"/>
      <x:c r="AP109" s="184"/>
      <x:c r="AQ109" s="184"/>
      <x:c r="AR109" s="184"/>
      <x:c r="AS109" s="184"/>
      <x:c r="AT109" s="184"/>
      <x:c r="AU109" s="184"/>
      <x:c r="AV109" s="184"/>
      <x:c r="AW109" s="184"/>
      <x:c r="AX109" s="184"/>
      <x:c r="AY109" s="184"/>
      <x:c r="AZ109" s="184"/>
      <x:c r="BA109" s="184"/>
      <x:c r="BB109" s="184"/>
      <x:c r="BC109" s="184"/>
      <x:c r="BD109" s="184"/>
      <x:c r="BE109" s="184"/>
      <x:c r="BF109" s="184"/>
      <x:c r="BG109" s="184"/>
      <x:c r="BH109" s="184"/>
      <x:c r="BI109" s="184"/>
      <x:c r="BJ109" s="184"/>
    </x:row>
    <x:row r="110" ht="20" customHeight="1">
      <x:c r="A110" s="190"/>
      <x:c r="B110" s="190"/>
      <x:c r="C110" s="190" t="str">
        <x:v>선택값</x:v>
      </x:c>
      <x:c r="D110" s="190" t="str">
        <x:v>레이더(s)</x:v>
      </x:c>
      <x:c r="E110" s="190"/>
      <x:c r="F110" s="190"/>
      <x:c r="G110" s="190"/>
      <x:c r="H110" s="263" t="n">
        <x:v>12.588</x:v>
      </x:c>
      <x:c r="I110" s="263" t="n">
        <x:v>206.844</x:v>
      </x:c>
      <x:c r="J110" s="208" t="n">
        <x:v>257.132</x:v>
      </x:c>
      <x:c r="K110" s="208" t="n">
        <x:v>633.06</x:v>
      </x:c>
      <x:c r="L110" s="268" t="n">
        <x:v>687.072</x:v>
      </x:c>
      <x:c r="M110" s="268" t="n">
        <x:v>699.96</x:v>
      </x:c>
      <x:c r="N110" s="268" t="n">
        <x:v>718.672</x:v>
      </x:c>
      <x:c r="O110" s="268" t="n">
        <x:v>730.8</x:v>
      </x:c>
      <x:c r="P110" s="270" t="n">
        <x:v>788.42</x:v>
      </x:c>
      <x:c r="Q110" s="184"/>
      <x:c r="R110" s="270" t="n">
        <x:v>804.976</x:v>
      </x:c>
      <x:c r="S110" s="270" t="n">
        <x:v>817.904</x:v>
      </x:c>
      <x:c r="T110" s="270" t="n">
        <x:v>864.649</x:v>
      </x:c>
      <x:c r="U110" s="270" t="n">
        <x:v>874.236</x:v>
      </x:c>
      <x:c r="V110" s="184"/>
      <x:c r="W110" s="270" t="n">
        <x:v>923.36</x:v>
      </x:c>
      <x:c r="X110" s="270" t="n">
        <x:v>944.896</x:v>
      </x:c>
      <x:c r="Y110" s="270" t="n">
        <x:v>958.112</x:v>
      </x:c>
      <x:c r="Z110" s="237" t="n">
        <x:v>1021.684</x:v>
      </x:c>
      <x:c r="AA110" s="237" t="n">
        <x:v>1213.629</x:v>
      </x:c>
      <x:c r="AB110" s="239" t="n">
        <x:v>1230.52</x:v>
      </x:c>
      <x:c r="AC110" s="239" t="n">
        <x:v>1256.652</x:v>
      </x:c>
      <x:c r="AD110" s="231" t="n">
        <x:v>1277.992</x:v>
      </x:c>
      <x:c r="AE110" s="231" t="n">
        <x:v>1291.408</x:v>
      </x:c>
      <x:c r="AF110" s="184"/>
      <x:c r="AG110" s="184"/>
      <x:c r="AH110" s="184"/>
      <x:c r="AI110" s="184"/>
      <x:c r="AJ110" s="184"/>
      <x:c r="AK110" s="184"/>
      <x:c r="AL110" s="184"/>
      <x:c r="AM110" s="184"/>
      <x:c r="AN110" s="184"/>
      <x:c r="AO110" s="184"/>
      <x:c r="AP110" s="184"/>
      <x:c r="AQ110" s="184"/>
      <x:c r="AR110" s="184"/>
      <x:c r="AS110" s="184"/>
      <x:c r="AT110" s="184"/>
      <x:c r="AU110" s="184"/>
      <x:c r="AV110" s="184"/>
      <x:c r="AW110" s="184"/>
      <x:c r="AX110" s="184"/>
      <x:c r="AY110" s="184"/>
      <x:c r="AZ110" s="184"/>
      <x:c r="BA110" s="184"/>
      <x:c r="BB110" s="184"/>
      <x:c r="BC110" s="184"/>
      <x:c r="BD110" s="184"/>
      <x:c r="BE110" s="184"/>
      <x:c r="BF110" s="184"/>
      <x:c r="BG110" s="184"/>
      <x:c r="BH110" s="184"/>
      <x:c r="BI110" s="184"/>
      <x:c r="BJ110" s="184"/>
    </x:row>
    <x:row r="111" ht="34" customHeight="1">
      <x:c r="A111" s="195"/>
      <x:c r="B111" s="195"/>
      <x:c r="C111" s="195" t="str">
        <x:v>M번호 / 시나리오</x:v>
      </x:c>
      <x:c r="D111" s="195" t="str">
        <x:v>레이더(s)</x:v>
      </x:c>
      <x:c r="E111" s="195"/>
      <x:c r="F111" s="195"/>
      <x:c r="G111" s="195"/>
      <x:c r="H111" s="264" t="str">
        <x:v>M01 1 시작</x:v>
      </x:c>
      <x:c r="I111" s="264" t="str">
        <x:v>M02 1 종료</x:v>
      </x:c>
      <x:c r="J111" s="209" t="str">
        <x:v>M03 2 시작</x:v>
      </x:c>
      <x:c r="K111" s="209" t="str">
        <x:v>M04 2 종료</x:v>
      </x:c>
      <x:c r="L111" s="269" t="str">
        <x:v>M05 3-1 시작</x:v>
      </x:c>
      <x:c r="M111" s="269" t="str">
        <x:v>M06 3-1 종료</x:v>
      </x:c>
      <x:c r="N111" s="269" t="str">
        <x:v>M07 3-2 시작</x:v>
      </x:c>
      <x:c r="O111" s="269" t="str">
        <x:v>M08 3-2 종료</x:v>
      </x:c>
      <x:c r="P111" s="271" t="str">
        <x:v>M09 4-1 시작</x:v>
      </x:c>
      <x:c r="Q111" s="196"/>
      <x:c r="R111" s="271" t="str">
        <x:v>M10 4-1 종료</x:v>
      </x:c>
      <x:c r="S111" s="271" t="str">
        <x:v>M11 4-2 시작</x:v>
      </x:c>
      <x:c r="T111" s="271" t="str">
        <x:v>M12 4-2 종료</x:v>
      </x:c>
      <x:c r="U111" s="271" t="str">
        <x:v>M13 4-3 시작</x:v>
      </x:c>
      <x:c r="V111" s="196"/>
      <x:c r="W111" s="271" t="str">
        <x:v>M14 4-3 종료</x:v>
      </x:c>
      <x:c r="X111" s="271" t="str">
        <x:v>M15 4-4 시작</x:v>
      </x:c>
      <x:c r="Y111" s="271" t="str">
        <x:v>M16 4-4 종료</x:v>
      </x:c>
      <x:c r="Z111" s="238" t="str">
        <x:v>M17 5 시작</x:v>
      </x:c>
      <x:c r="AA111" s="238" t="str">
        <x:v>M18 5 종료</x:v>
      </x:c>
      <x:c r="AB111" s="240" t="str">
        <x:v>M19 6 시작</x:v>
      </x:c>
      <x:c r="AC111" s="240" t="str">
        <x:v>M20 6 종료</x:v>
      </x:c>
      <x:c r="AD111" s="232" t="str">
        <x:v>M21 7 시작</x:v>
      </x:c>
      <x:c r="AE111" s="232" t="str">
        <x:v>M22 7 종료</x:v>
      </x:c>
      <x:c r="AF111" s="196"/>
      <x:c r="AG111" s="196"/>
      <x:c r="AH111" s="196"/>
      <x:c r="AI111" s="196"/>
      <x:c r="AJ111" s="196"/>
      <x:c r="AK111" s="196"/>
      <x:c r="AL111" s="196"/>
      <x:c r="AM111" s="196"/>
      <x:c r="AN111" s="196"/>
      <x:c r="AO111" s="196"/>
      <x:c r="AP111" s="196"/>
      <x:c r="AQ111" s="196"/>
      <x:c r="AR111" s="196"/>
      <x:c r="AS111" s="196"/>
      <x:c r="AT111" s="196"/>
      <x:c r="AU111" s="196"/>
      <x:c r="AV111" s="196"/>
      <x:c r="AW111" s="196"/>
      <x:c r="AX111" s="196"/>
      <x:c r="AY111" s="196"/>
      <x:c r="AZ111" s="196"/>
      <x:c r="BA111" s="196"/>
      <x:c r="BB111" s="196"/>
      <x:c r="BC111" s="196"/>
      <x:c r="BD111" s="196"/>
      <x:c r="BE111" s="196"/>
      <x:c r="BF111" s="196"/>
      <x:c r="BG111" s="196"/>
      <x:c r="BH111" s="196"/>
      <x:c r="BI111" s="196"/>
      <x:c r="BJ111" s="196"/>
    </x:row>
    <x:row r="112" ht="20" customHeight="1">
      <x:c r="A112" s="198" t="n">
        <x:v>27</x:v>
      </x:c>
      <x:c r="B112" s="198" t="str">
        <x:v>S27_HDH</x:v>
      </x:c>
      <x:c r="C112" s="198" t="str">
        <x:v>RAW 8.5V</x:v>
      </x:c>
      <x:c r="D112" s="198" t="str">
        <x:v>레이더(s)</x:v>
      </x:c>
      <x:c r="E112" s="198" t="n">
        <x:v>22</x:v>
      </x:c>
      <x:c r="F112" s="198" t="n">
        <x:v>22</x:v>
      </x:c>
      <x:c r="G112" s="199" t="str">
        <x:v>수동값/원시 불일치</x:v>
      </x:c>
      <x:c r="H112" s="184" t="n">
        <x:v>-0.2159999999999993</x:v>
      </x:c>
      <x:c r="I112" s="263" t="n">
        <x:v>6.541333333333334</x:v>
      </x:c>
      <x:c r="J112" s="202"/>
      <x:c r="K112" s="184" t="n">
        <x:v>203.65333333333336</x:v>
      </x:c>
      <x:c r="L112" s="206"/>
      <x:c r="M112" s="184" t="n">
        <x:v>225.25511111111112</x:v>
      </x:c>
      <x:c r="N112" s="184"/>
      <x:c r="O112" s="184"/>
      <x:c r="P112" s="184"/>
      <x:c r="Q112" s="184"/>
      <x:c r="R112" s="184"/>
      <x:c r="S112" s="184"/>
      <x:c r="T112" s="184"/>
      <x:c r="U112" s="184"/>
      <x:c r="V112" s="208" t="n">
        <x:v>599.9331428571429</x:v>
      </x:c>
      <x:c r="W112" s="268" t="n">
        <x:v>649.808</x:v>
      </x:c>
      <x:c r="X112" s="268" t="n">
        <x:v>667.05</x:v>
      </x:c>
      <x:c r="Y112" s="212"/>
      <x:c r="Z112" s="184" t="n">
        <x:v>685.356</x:v>
      </x:c>
      <x:c r="AA112" s="212"/>
      <x:c r="AB112" s="184" t="n">
        <x:v>698.092</x:v>
      </x:c>
      <x:c r="AC112" s="270" t="n">
        <x:v>755.9048</x:v>
      </x:c>
      <x:c r="AD112" s="184"/>
      <x:c r="AE112" s="219" t="n">
        <x:v>770.1696</x:v>
      </x:c>
      <x:c r="AF112" s="270" t="n">
        <x:v>781.622</x:v>
      </x:c>
      <x:c r="AG112" s="184"/>
      <x:c r="AH112" s="270" t="n">
        <x:v>828.5619999999999</x:v>
      </x:c>
      <x:c r="AI112" s="217"/>
      <x:c r="AJ112" s="184" t="n">
        <x:v>842.1013333333333</x:v>
      </x:c>
      <x:c r="AK112" s="270" t="n">
        <x:v>891.5889999999999</x:v>
      </x:c>
      <x:c r="AL112" s="270" t="n">
        <x:v>913.1856000000001</x:v>
      </x:c>
      <x:c r="AM112" s="270" t="n">
        <x:v>924.0079999999999</x:v>
      </x:c>
      <x:c r="AN112" s="184" t="n">
        <x:v>971.6103999999999</x:v>
      </x:c>
      <x:c r="AO112" s="223"/>
      <x:c r="AP112" s="237" t="n">
        <x:v>1160.2486666666666</x:v>
      </x:c>
      <x:c r="AQ112" s="239" t="n">
        <x:v>1185.9239999999998</x:v>
      </x:c>
      <x:c r="AR112" s="274"/>
      <x:c r="AS112" s="231" t="n">
        <x:v>1226.0539999999999</x:v>
      </x:c>
      <x:c r="AT112" s="231" t="n">
        <x:v>1238.0933333333332</x:v>
      </x:c>
      <x:c r="AU112" s="184"/>
      <x:c r="AV112" s="184"/>
      <x:c r="AW112" s="184"/>
      <x:c r="AX112" s="184"/>
      <x:c r="AY112" s="184"/>
      <x:c r="AZ112" s="184"/>
      <x:c r="BA112" s="184"/>
      <x:c r="BB112" s="184"/>
      <x:c r="BC112" s="184"/>
      <x:c r="BD112" s="184"/>
      <x:c r="BE112" s="184"/>
      <x:c r="BF112" s="184"/>
      <x:c r="BG112" s="184"/>
      <x:c r="BH112" s="184"/>
      <x:c r="BI112" s="184"/>
      <x:c r="BJ112" s="184"/>
    </x:row>
    <x:row r="113" ht="20" customHeight="1">
      <x:c r="A113" s="190"/>
      <x:c r="B113" s="190"/>
      <x:c r="C113" s="190" t="str">
        <x:v>전수 후보</x:v>
      </x:c>
      <x:c r="D113" s="190" t="str">
        <x:v>레이더(s)</x:v>
      </x:c>
      <x:c r="E113" s="190"/>
      <x:c r="F113" s="190"/>
      <x:c r="G113" s="190"/>
      <x:c r="H113" s="214" t="n">
        <x:v>-2.083999999999936</x:v>
      </x:c>
      <x:c r="I113" s="263" t="n">
        <x:v>4.8680000000000625</x:v>
      </x:c>
      <x:c r="J113" s="202"/>
      <x:c r="K113" s="184" t="n">
        <x:v>201.85333333333338</x:v>
      </x:c>
      <x:c r="L113" s="206"/>
      <x:c r="M113" s="184" t="n">
        <x:v>224.43040000000008</x:v>
      </x:c>
      <x:c r="N113" s="184" t="n">
        <x:v>294.83200000000005</x:v>
      </x:c>
      <x:c r="O113" s="184" t="n">
        <x:v>333.85600000000005</x:v>
      </x:c>
      <x:c r="P113" s="184" t="n">
        <x:v>343.6240000000001</x:v>
      </x:c>
      <x:c r="Q113" s="184" t="n">
        <x:v>480.2752000000001</x:v>
      </x:c>
      <x:c r="R113" s="184" t="n">
        <x:v>494.9800000000001</x:v>
      </x:c>
      <x:c r="S113" s="184" t="n">
        <x:v>535.9920000000001</x:v>
      </x:c>
      <x:c r="T113" s="184" t="n">
        <x:v>546.6620000000001</x:v>
      </x:c>
      <x:c r="U113" s="184" t="n">
        <x:v>580.2640000000001</x:v>
      </x:c>
      <x:c r="V113" s="208" t="n">
        <x:v>598.373</x:v>
      </x:c>
      <x:c r="W113" s="268" t="n">
        <x:v>648.4440000000001</x:v>
      </x:c>
      <x:c r="X113" s="268" t="n">
        <x:v>665.6626666666668</x:v>
      </x:c>
      <x:c r="Y113" s="212"/>
      <x:c r="Z113" s="214" t="n">
        <x:v>684.2653333333335</x:v>
      </x:c>
      <x:c r="AA113" s="212"/>
      <x:c r="AB113" s="184" t="n">
        <x:v>698.0120000000001</x:v>
      </x:c>
      <x:c r="AC113" s="219" t="n">
        <x:v>754.6417142857144</x:v>
      </x:c>
      <x:c r="AD113" s="214" t="n">
        <x:v>762.7600000000001</x:v>
      </x:c>
      <x:c r="AE113" s="219" t="n">
        <x:v>768.6224000000001</x:v>
      </x:c>
      <x:c r="AF113" s="270" t="n">
        <x:v>779.8220000000001</x:v>
      </x:c>
      <x:c r="AG113" s="214" t="n">
        <x:v>786.4840000000002</x:v>
      </x:c>
      <x:c r="AH113" s="219" t="n">
        <x:v>826.4820000000001</x:v>
      </x:c>
      <x:c r="AI113" s="217"/>
      <x:c r="AJ113" s="214" t="n">
        <x:v>840.8826666666669</x:v>
      </x:c>
      <x:c r="AK113" s="270" t="n">
        <x:v>890.0660000000001</x:v>
      </x:c>
      <x:c r="AL113" s="219" t="n">
        <x:v>911.0400000000002</x:v>
      </x:c>
      <x:c r="AM113" s="219" t="n">
        <x:v>921.5666666666667</x:v>
      </x:c>
      <x:c r="AN113" s="184" t="n">
        <x:v>969.8104000000001</x:v>
      </x:c>
      <x:c r="AO113" s="223"/>
      <x:c r="AP113" s="237" t="n">
        <x:v>1158.0295</x:v>
      </x:c>
      <x:c r="AQ113" s="239" t="n">
        <x:v>1184.4899999999998</x:v>
      </x:c>
      <x:c r="AR113" s="274" t="n">
        <x:v>1205.3973333333333</x:v>
      </x:c>
      <x:c r="AS113" s="241" t="n">
        <x:v>1224.254</x:v>
      </x:c>
      <x:c r="AT113" s="241" t="n">
        <x:v>1236.2933333333333</x:v>
      </x:c>
      <x:c r="AU113" s="184"/>
      <x:c r="AV113" s="184"/>
      <x:c r="AW113" s="184"/>
      <x:c r="AX113" s="184"/>
      <x:c r="AY113" s="184"/>
      <x:c r="AZ113" s="184"/>
      <x:c r="BA113" s="184"/>
      <x:c r="BB113" s="184"/>
      <x:c r="BC113" s="184"/>
      <x:c r="BD113" s="184"/>
      <x:c r="BE113" s="184"/>
      <x:c r="BF113" s="184"/>
      <x:c r="BG113" s="184"/>
      <x:c r="BH113" s="184"/>
      <x:c r="BI113" s="184"/>
      <x:c r="BJ113" s="184"/>
    </x:row>
    <x:row r="114" ht="20" customHeight="1">
      <x:c r="A114" s="190"/>
      <x:c r="B114" s="190"/>
      <x:c r="C114" s="190" t="str">
        <x:v>선택값</x:v>
      </x:c>
      <x:c r="D114" s="190" t="str">
        <x:v>레이더(s)</x:v>
      </x:c>
      <x:c r="E114" s="190"/>
      <x:c r="F114" s="190"/>
      <x:c r="G114" s="190"/>
      <x:c r="H114" s="184"/>
      <x:c r="I114" s="263" t="n">
        <x:v>6.2</x:v>
      </x:c>
      <x:c r="J114" s="202" t="n">
        <x:v>198.3</x:v>
      </x:c>
      <x:c r="K114" s="184"/>
      <x:c r="L114" s="206" t="n">
        <x:v>221.1</x:v>
      </x:c>
      <x:c r="M114" s="184"/>
      <x:c r="N114" s="184"/>
      <x:c r="O114" s="184"/>
      <x:c r="P114" s="184"/>
      <x:c r="Q114" s="184"/>
      <x:c r="R114" s="184"/>
      <x:c r="S114" s="184"/>
      <x:c r="T114" s="184"/>
      <x:c r="U114" s="184"/>
      <x:c r="V114" s="208" t="n">
        <x:v>596.9</x:v>
      </x:c>
      <x:c r="W114" s="268" t="n">
        <x:v>649.1</x:v>
      </x:c>
      <x:c r="X114" s="268" t="n">
        <x:v>663.7</x:v>
      </x:c>
      <x:c r="Y114" s="212" t="n">
        <x:v>682.1</x:v>
      </x:c>
      <x:c r="Z114" s="184"/>
      <x:c r="AA114" s="212" t="n">
        <x:v>695.7</x:v>
      </x:c>
      <x:c r="AB114" s="184"/>
      <x:c r="AC114" s="270" t="n">
        <x:v>754</x:v>
      </x:c>
      <x:c r="AD114" s="184"/>
      <x:c r="AE114" s="219" t="n">
        <x:v>767.2</x:v>
      </x:c>
      <x:c r="AF114" s="270" t="n">
        <x:v>780.3</x:v>
      </x:c>
      <x:c r="AG114" s="184"/>
      <x:c r="AH114" s="270" t="n">
        <x:v>825.9</x:v>
      </x:c>
      <x:c r="AI114" s="217" t="n">
        <x:v>838.1</x:v>
      </x:c>
      <x:c r="AJ114" s="184"/>
      <x:c r="AK114" s="270" t="n">
        <x:v>889</x:v>
      </x:c>
      <x:c r="AL114" s="270" t="n">
        <x:v>910</x:v>
      </x:c>
      <x:c r="AM114" s="270" t="n">
        <x:v>922.5</x:v>
      </x:c>
      <x:c r="AN114" s="184"/>
      <x:c r="AO114" s="223" t="n">
        <x:v>972</x:v>
      </x:c>
      <x:c r="AP114" s="237" t="n">
        <x:v>1159.6</x:v>
      </x:c>
      <x:c r="AQ114" s="239" t="n">
        <x:v>1183.3</x:v>
      </x:c>
      <x:c r="AR114" s="274" t="n">
        <x:v>1205.4</x:v>
      </x:c>
      <x:c r="AS114" s="231" t="n">
        <x:v>1225.3</x:v>
      </x:c>
      <x:c r="AT114" s="231" t="n">
        <x:v>1236</x:v>
      </x:c>
      <x:c r="AU114" s="184"/>
      <x:c r="AV114" s="184"/>
      <x:c r="AW114" s="184"/>
      <x:c r="AX114" s="184"/>
      <x:c r="AY114" s="184"/>
      <x:c r="AZ114" s="184"/>
      <x:c r="BA114" s="184"/>
      <x:c r="BB114" s="184"/>
      <x:c r="BC114" s="184"/>
      <x:c r="BD114" s="184"/>
      <x:c r="BE114" s="184"/>
      <x:c r="BF114" s="184"/>
      <x:c r="BG114" s="184"/>
      <x:c r="BH114" s="184"/>
      <x:c r="BI114" s="184"/>
      <x:c r="BJ114" s="184"/>
    </x:row>
    <x:row r="115" ht="34" customHeight="1">
      <x:c r="A115" s="195"/>
      <x:c r="B115" s="195"/>
      <x:c r="C115" s="195" t="str">
        <x:v>M번호 / 시나리오</x:v>
      </x:c>
      <x:c r="D115" s="195" t="str">
        <x:v>레이더(s)</x:v>
      </x:c>
      <x:c r="E115" s="195"/>
      <x:c r="F115" s="195"/>
      <x:c r="G115" s="195"/>
      <x:c r="H115" s="196"/>
      <x:c r="I115" s="264" t="str">
        <x:v>M01 1 시작</x:v>
      </x:c>
      <x:c r="J115" s="203" t="str">
        <x:v>M02 1 종료</x:v>
      </x:c>
      <x:c r="K115" s="196"/>
      <x:c r="L115" s="207" t="str">
        <x:v>M03 2 시작</x:v>
      </x:c>
      <x:c r="M115" s="196"/>
      <x:c r="N115" s="196"/>
      <x:c r="O115" s="196"/>
      <x:c r="P115" s="196"/>
      <x:c r="Q115" s="196"/>
      <x:c r="R115" s="196"/>
      <x:c r="S115" s="196"/>
      <x:c r="T115" s="196"/>
      <x:c r="U115" s="196"/>
      <x:c r="V115" s="209" t="str">
        <x:v>M04 2 종료</x:v>
      </x:c>
      <x:c r="W115" s="269" t="str">
        <x:v>M05 3-1 시작</x:v>
      </x:c>
      <x:c r="X115" s="269" t="str">
        <x:v>M06 3-1 종료</x:v>
      </x:c>
      <x:c r="Y115" s="213" t="str">
        <x:v>M07 3-2 시작</x:v>
      </x:c>
      <x:c r="Z115" s="196"/>
      <x:c r="AA115" s="213" t="str">
        <x:v>M08 3-2 종료</x:v>
      </x:c>
      <x:c r="AB115" s="196"/>
      <x:c r="AC115" s="271" t="str">
        <x:v>M09 4-1 시작</x:v>
      </x:c>
      <x:c r="AD115" s="196"/>
      <x:c r="AE115" s="220" t="str">
        <x:v>M10 4-1 종료</x:v>
      </x:c>
      <x:c r="AF115" s="271" t="str">
        <x:v>M11 4-2 시작</x:v>
      </x:c>
      <x:c r="AG115" s="196"/>
      <x:c r="AH115" s="271" t="str">
        <x:v>M12 4-2 종료</x:v>
      </x:c>
      <x:c r="AI115" s="218" t="str">
        <x:v>M13 4-3 시작</x:v>
      </x:c>
      <x:c r="AJ115" s="196"/>
      <x:c r="AK115" s="271" t="str">
        <x:v>M14 4-3 종료</x:v>
      </x:c>
      <x:c r="AL115" s="271" t="str">
        <x:v>M15 4-4 시작</x:v>
      </x:c>
      <x:c r="AM115" s="271" t="str">
        <x:v>M16 4-4 종료</x:v>
      </x:c>
      <x:c r="AN115" s="196"/>
      <x:c r="AO115" s="224" t="str">
        <x:v>M17 5 시작</x:v>
      </x:c>
      <x:c r="AP115" s="238" t="str">
        <x:v>M18 5 종료</x:v>
      </x:c>
      <x:c r="AQ115" s="240" t="str">
        <x:v>M19 6 시작</x:v>
      </x:c>
      <x:c r="AR115" s="275" t="str">
        <x:v>M20 6 종료</x:v>
      </x:c>
      <x:c r="AS115" s="232" t="str">
        <x:v>M21 7 시작</x:v>
      </x:c>
      <x:c r="AT115" s="232" t="str">
        <x:v>M22 7 종료</x:v>
      </x:c>
      <x:c r="AU115" s="196"/>
      <x:c r="AV115" s="196"/>
      <x:c r="AW115" s="196"/>
      <x:c r="AX115" s="196"/>
      <x:c r="AY115" s="196"/>
      <x:c r="AZ115" s="196"/>
      <x:c r="BA115" s="196"/>
      <x:c r="BB115" s="196"/>
      <x:c r="BC115" s="196"/>
      <x:c r="BD115" s="196"/>
      <x:c r="BE115" s="196"/>
      <x:c r="BF115" s="196"/>
      <x:c r="BG115" s="196"/>
      <x:c r="BH115" s="196"/>
      <x:c r="BI115" s="196"/>
      <x:c r="BJ115" s="196"/>
    </x:row>
    <x:row r="116" ht="20" customHeight="1">
      <x:c r="A116" s="198" t="n">
        <x:v>28</x:v>
      </x:c>
      <x:c r="B116" s="198" t="str">
        <x:v>S28_KDH</x:v>
      </x:c>
      <x:c r="C116" s="198" t="str">
        <x:v>RAW 8.5V</x:v>
      </x:c>
      <x:c r="D116" s="198" t="str">
        <x:v>레이더(s)</x:v>
      </x:c>
      <x:c r="E116" s="198" t="n">
        <x:v>22</x:v>
      </x:c>
      <x:c r="F116" s="198" t="n">
        <x:v>22</x:v>
      </x:c>
      <x:c r="G116" s="277" t="str">
        <x:v>자동 점검 통과</x:v>
      </x:c>
      <x:c r="H116" s="263" t="n">
        <x:v>14.424000000000001</x:v>
      </x:c>
      <x:c r="I116" s="184" t="n">
        <x:v>18.528</x:v>
      </x:c>
      <x:c r="J116" s="235"/>
      <x:c r="K116" s="184"/>
      <x:c r="L116" s="265"/>
      <x:c r="M116" s="208" t="n">
        <x:v>615.28</x:v>
      </x:c>
      <x:c r="N116" s="266"/>
      <x:c r="O116" s="266"/>
      <x:c r="P116" s="268" t="n">
        <x:v>710.4853333333333</x:v>
      </x:c>
      <x:c r="Q116" s="268" t="n">
        <x:v>724.6600000000001</x:v>
      </x:c>
      <x:c r="R116" s="270" t="n">
        <x:v>788.84</x:v>
      </x:c>
      <x:c r="S116" s="184" t="n">
        <x:v>792.892</x:v>
      </x:c>
      <x:c r="T116" s="184"/>
      <x:c r="U116" s="270" t="n">
        <x:v>805.8220000000001</x:v>
      </x:c>
      <x:c r="V116" s="270" t="n">
        <x:v>817.7</x:v>
      </x:c>
      <x:c r="W116" s="270" t="n">
        <x:v>867.6986666666668</x:v>
      </x:c>
      <x:c r="X116" s="270" t="n">
        <x:v>880.156</x:v>
      </x:c>
      <x:c r="Y116" s="184"/>
      <x:c r="Z116" s="270" t="n">
        <x:v>928.0600000000001</x:v>
      </x:c>
      <x:c r="AA116" s="219"/>
      <x:c r="AB116" s="270" t="n">
        <x:v>959.12</x:v>
      </x:c>
      <x:c r="AC116" s="237" t="n">
        <x:v>1002.46</x:v>
      </x:c>
      <x:c r="AD116" s="272"/>
      <x:c r="AE116" s="239" t="n">
        <x:v>1213.152</x:v>
      </x:c>
      <x:c r="AF116" s="239" t="n">
        <x:v>1241.74</x:v>
      </x:c>
      <x:c r="AG116" s="231" t="n">
        <x:v>1265.272</x:v>
      </x:c>
      <x:c r="AH116" s="231" t="n">
        <x:v>1278.26</x:v>
      </x:c>
      <x:c r="AI116" s="184"/>
      <x:c r="AJ116" s="184"/>
      <x:c r="AK116" s="184"/>
      <x:c r="AL116" s="184"/>
      <x:c r="AM116" s="184"/>
      <x:c r="AN116" s="184"/>
      <x:c r="AO116" s="184"/>
      <x:c r="AP116" s="184"/>
      <x:c r="AQ116" s="184"/>
      <x:c r="AR116" s="184"/>
      <x:c r="AS116" s="184"/>
      <x:c r="AT116" s="184"/>
      <x:c r="AU116" s="184"/>
      <x:c r="AV116" s="184"/>
      <x:c r="AW116" s="184"/>
      <x:c r="AX116" s="184"/>
      <x:c r="AY116" s="184"/>
      <x:c r="AZ116" s="184"/>
      <x:c r="BA116" s="184"/>
      <x:c r="BB116" s="184"/>
      <x:c r="BC116" s="184"/>
      <x:c r="BD116" s="184"/>
      <x:c r="BE116" s="184"/>
      <x:c r="BF116" s="184"/>
      <x:c r="BG116" s="184"/>
      <x:c r="BH116" s="184"/>
      <x:c r="BI116" s="184"/>
      <x:c r="BJ116" s="184"/>
    </x:row>
    <x:row r="117" ht="20" customHeight="1">
      <x:c r="A117" s="190"/>
      <x:c r="B117" s="190"/>
      <x:c r="C117" s="190" t="str">
        <x:v>전수 후보</x:v>
      </x:c>
      <x:c r="D117" s="190" t="str">
        <x:v>레이더(s)</x:v>
      </x:c>
      <x:c r="E117" s="190"/>
      <x:c r="F117" s="190"/>
      <x:c r="G117" s="190"/>
      <x:c r="H117" s="263" t="n">
        <x:v>14.424000000000055</x:v>
      </x:c>
      <x:c r="I117" s="184"/>
      <x:c r="J117" s="235" t="n">
        <x:v>207.58000000000004</x:v>
      </x:c>
      <x:c r="K117" s="214" t="n">
        <x:v>214.39200000000005</x:v>
      </x:c>
      <x:c r="L117" s="265" t="n">
        <x:v>238.92400000000004</x:v>
      </x:c>
      <x:c r="M117" s="208" t="n">
        <x:v>616.316</x:v>
      </x:c>
      <x:c r="N117" s="266" t="n">
        <x:v>674.368</x:v>
      </x:c>
      <x:c r="O117" s="266" t="n">
        <x:v>690.6840000000001</x:v>
      </x:c>
      <x:c r="P117" s="268" t="n">
        <x:v>709.596</x:v>
      </x:c>
      <x:c r="Q117" s="268" t="n">
        <x:v>724.6600000000001</x:v>
      </x:c>
      <x:c r="R117" s="270" t="n">
        <x:v>788.84</x:v>
      </x:c>
      <x:c r="S117" s="184"/>
      <x:c r="T117" s="214" t="n">
        <x:v>797.86</x:v>
      </x:c>
      <x:c r="U117" s="219" t="n">
        <x:v>804.416</x:v>
      </x:c>
      <x:c r="V117" s="219" t="n">
        <x:v>817.7</x:v>
      </x:c>
      <x:c r="W117" s="270" t="n">
        <x:v>865.7080000000001</x:v>
      </x:c>
      <x:c r="X117" s="270" t="n">
        <x:v>881.24</x:v>
      </x:c>
      <x:c r="Y117" s="214" t="n">
        <x:v>887.404</x:v>
      </x:c>
      <x:c r="Z117" s="270" t="n">
        <x:v>928.0600000000001</x:v>
      </x:c>
      <x:c r="AA117" s="219" t="n">
        <x:v>946.028</x:v>
      </x:c>
      <x:c r="AB117" s="219" t="n">
        <x:v>957.956</x:v>
      </x:c>
      <x:c r="AC117" s="237" t="n">
        <x:v>1002.46</x:v>
      </x:c>
      <x:c r="AD117" s="272" t="n">
        <x:v>1191.396</x:v>
      </x:c>
      <x:c r="AE117" s="239" t="n">
        <x:v>1214.4840000000002</x:v>
      </x:c>
      <x:c r="AF117" s="239" t="n">
        <x:v>1239.976</x:v>
      </x:c>
      <x:c r="AG117" s="241" t="n">
        <x:v>1265.272</x:v>
      </x:c>
      <x:c r="AH117" s="241" t="n">
        <x:v>1278.26</x:v>
      </x:c>
      <x:c r="AI117" s="184"/>
      <x:c r="AJ117" s="184"/>
      <x:c r="AK117" s="184"/>
      <x:c r="AL117" s="184"/>
      <x:c r="AM117" s="184"/>
      <x:c r="AN117" s="184"/>
      <x:c r="AO117" s="184"/>
      <x:c r="AP117" s="184"/>
      <x:c r="AQ117" s="184"/>
      <x:c r="AR117" s="184"/>
      <x:c r="AS117" s="184"/>
      <x:c r="AT117" s="184"/>
      <x:c r="AU117" s="184"/>
      <x:c r="AV117" s="184"/>
      <x:c r="AW117" s="184"/>
      <x:c r="AX117" s="184"/>
      <x:c r="AY117" s="184"/>
      <x:c r="AZ117" s="184"/>
      <x:c r="BA117" s="184"/>
      <x:c r="BB117" s="184"/>
      <x:c r="BC117" s="184"/>
      <x:c r="BD117" s="184"/>
      <x:c r="BE117" s="184"/>
      <x:c r="BF117" s="184"/>
      <x:c r="BG117" s="184"/>
      <x:c r="BH117" s="184"/>
      <x:c r="BI117" s="184"/>
      <x:c r="BJ117" s="184"/>
    </x:row>
    <x:row r="118" ht="20" customHeight="1">
      <x:c r="A118" s="190"/>
      <x:c r="B118" s="190"/>
      <x:c r="C118" s="190" t="str">
        <x:v>선택값</x:v>
      </x:c>
      <x:c r="D118" s="190" t="str">
        <x:v>레이더(s)</x:v>
      </x:c>
      <x:c r="E118" s="190"/>
      <x:c r="F118" s="190"/>
      <x:c r="G118" s="190"/>
      <x:c r="H118" s="263" t="n">
        <x:v>14.424</x:v>
      </x:c>
      <x:c r="I118" s="184"/>
      <x:c r="J118" s="235" t="n">
        <x:v>207.58</x:v>
      </x:c>
      <x:c r="K118" s="184"/>
      <x:c r="L118" s="265" t="n">
        <x:v>238.924</x:v>
      </x:c>
      <x:c r="M118" s="208" t="n">
        <x:v>616.316</x:v>
      </x:c>
      <x:c r="N118" s="266" t="n">
        <x:v>674.368</x:v>
      </x:c>
      <x:c r="O118" s="266" t="n">
        <x:v>690.684</x:v>
      </x:c>
      <x:c r="P118" s="268" t="n">
        <x:v>709.596</x:v>
      </x:c>
      <x:c r="Q118" s="268" t="n">
        <x:v>724.66</x:v>
      </x:c>
      <x:c r="R118" s="270" t="n">
        <x:v>788.84</x:v>
      </x:c>
      <x:c r="S118" s="184"/>
      <x:c r="T118" s="184"/>
      <x:c r="U118" s="270" t="n">
        <x:v>804.416</x:v>
      </x:c>
      <x:c r="V118" s="270" t="n">
        <x:v>817.7</x:v>
      </x:c>
      <x:c r="W118" s="270" t="n">
        <x:v>865.708</x:v>
      </x:c>
      <x:c r="X118" s="270" t="n">
        <x:v>881.24</x:v>
      </x:c>
      <x:c r="Y118" s="184"/>
      <x:c r="Z118" s="270" t="n">
        <x:v>928.06</x:v>
      </x:c>
      <x:c r="AA118" s="219" t="n">
        <x:v>946.028</x:v>
      </x:c>
      <x:c r="AB118" s="270" t="n">
        <x:v>957.956</x:v>
      </x:c>
      <x:c r="AC118" s="237" t="n">
        <x:v>1002.46</x:v>
      </x:c>
      <x:c r="AD118" s="272" t="n">
        <x:v>1191.396</x:v>
      </x:c>
      <x:c r="AE118" s="239" t="n">
        <x:v>1214.484</x:v>
      </x:c>
      <x:c r="AF118" s="239" t="n">
        <x:v>1239.976</x:v>
      </x:c>
      <x:c r="AG118" s="231" t="n">
        <x:v>1265.272</x:v>
      </x:c>
      <x:c r="AH118" s="231" t="n">
        <x:v>1278.26</x:v>
      </x:c>
      <x:c r="AI118" s="184"/>
      <x:c r="AJ118" s="184"/>
      <x:c r="AK118" s="184"/>
      <x:c r="AL118" s="184"/>
      <x:c r="AM118" s="184"/>
      <x:c r="AN118" s="184"/>
      <x:c r="AO118" s="184"/>
      <x:c r="AP118" s="184"/>
      <x:c r="AQ118" s="184"/>
      <x:c r="AR118" s="184"/>
      <x:c r="AS118" s="184"/>
      <x:c r="AT118" s="184"/>
      <x:c r="AU118" s="184"/>
      <x:c r="AV118" s="184"/>
      <x:c r="AW118" s="184"/>
      <x:c r="AX118" s="184"/>
      <x:c r="AY118" s="184"/>
      <x:c r="AZ118" s="184"/>
      <x:c r="BA118" s="184"/>
      <x:c r="BB118" s="184"/>
      <x:c r="BC118" s="184"/>
      <x:c r="BD118" s="184"/>
      <x:c r="BE118" s="184"/>
      <x:c r="BF118" s="184"/>
      <x:c r="BG118" s="184"/>
      <x:c r="BH118" s="184"/>
      <x:c r="BI118" s="184"/>
      <x:c r="BJ118" s="184"/>
    </x:row>
    <x:row r="119" ht="34" customHeight="1">
      <x:c r="A119" s="195"/>
      <x:c r="B119" s="195"/>
      <x:c r="C119" s="195" t="str">
        <x:v>M번호 / 시나리오</x:v>
      </x:c>
      <x:c r="D119" s="195" t="str">
        <x:v>레이더(s)</x:v>
      </x:c>
      <x:c r="E119" s="195"/>
      <x:c r="F119" s="195"/>
      <x:c r="G119" s="195"/>
      <x:c r="H119" s="264" t="str">
        <x:v>M01 1 시작</x:v>
      </x:c>
      <x:c r="I119" s="196"/>
      <x:c r="J119" s="236" t="str">
        <x:v>M02 1 종료</x:v>
      </x:c>
      <x:c r="K119" s="196"/>
      <x:c r="L119" s="278" t="str">
        <x:v>M03 2 시작</x:v>
      </x:c>
      <x:c r="M119" s="209" t="str">
        <x:v>M04 2 종료</x:v>
      </x:c>
      <x:c r="N119" s="267" t="str">
        <x:v>M05 3-1 시작</x:v>
      </x:c>
      <x:c r="O119" s="267" t="str">
        <x:v>M06 3-1 종료</x:v>
      </x:c>
      <x:c r="P119" s="269" t="str">
        <x:v>M07 3-2 시작</x:v>
      </x:c>
      <x:c r="Q119" s="269" t="str">
        <x:v>M08 3-2 종료</x:v>
      </x:c>
      <x:c r="R119" s="271" t="str">
        <x:v>M09 4-1 시작</x:v>
      </x:c>
      <x:c r="S119" s="196"/>
      <x:c r="T119" s="196"/>
      <x:c r="U119" s="271" t="str">
        <x:v>M10 4-1 종료</x:v>
      </x:c>
      <x:c r="V119" s="271" t="str">
        <x:v>M11 4-2 시작</x:v>
      </x:c>
      <x:c r="W119" s="271" t="str">
        <x:v>M12 4-2 종료</x:v>
      </x:c>
      <x:c r="X119" s="271" t="str">
        <x:v>M13 4-3 시작</x:v>
      </x:c>
      <x:c r="Y119" s="196"/>
      <x:c r="Z119" s="271" t="str">
        <x:v>M14 4-3 종료</x:v>
      </x:c>
      <x:c r="AA119" s="220" t="str">
        <x:v>M15 4-4 시작</x:v>
      </x:c>
      <x:c r="AB119" s="271" t="str">
        <x:v>M16 4-4 종료</x:v>
      </x:c>
      <x:c r="AC119" s="238" t="str">
        <x:v>M17 5 시작</x:v>
      </x:c>
      <x:c r="AD119" s="273" t="str">
        <x:v>M18 5 종료</x:v>
      </x:c>
      <x:c r="AE119" s="240" t="str">
        <x:v>M19 6 시작</x:v>
      </x:c>
      <x:c r="AF119" s="240" t="str">
        <x:v>M20 6 종료</x:v>
      </x:c>
      <x:c r="AG119" s="232" t="str">
        <x:v>M21 7 시작</x:v>
      </x:c>
      <x:c r="AH119" s="232" t="str">
        <x:v>M22 7 종료</x:v>
      </x:c>
      <x:c r="AI119" s="196"/>
      <x:c r="AJ119" s="196"/>
      <x:c r="AK119" s="196"/>
      <x:c r="AL119" s="196"/>
      <x:c r="AM119" s="196"/>
      <x:c r="AN119" s="196"/>
      <x:c r="AO119" s="196"/>
      <x:c r="AP119" s="196"/>
      <x:c r="AQ119" s="196"/>
      <x:c r="AR119" s="196"/>
      <x:c r="AS119" s="196"/>
      <x:c r="AT119" s="196"/>
      <x:c r="AU119" s="196"/>
      <x:c r="AV119" s="196"/>
      <x:c r="AW119" s="196"/>
      <x:c r="AX119" s="196"/>
      <x:c r="AY119" s="196"/>
      <x:c r="AZ119" s="196"/>
      <x:c r="BA119" s="196"/>
      <x:c r="BB119" s="196"/>
      <x:c r="BC119" s="196"/>
      <x:c r="BD119" s="196"/>
      <x:c r="BE119" s="196"/>
      <x:c r="BF119" s="196"/>
      <x:c r="BG119" s="196"/>
      <x:c r="BH119" s="196"/>
      <x:c r="BI119" s="196"/>
      <x:c r="BJ119" s="196"/>
    </x:row>
    <x:row r="120" ht="20" customHeight="1">
      <x:c r="A120" s="198" t="n">
        <x:v>29</x:v>
      </x:c>
      <x:c r="B120" s="198" t="str">
        <x:v>S29_LHS</x:v>
      </x:c>
      <x:c r="C120" s="198" t="str">
        <x:v>RAW 8.5V</x:v>
      </x:c>
      <x:c r="D120" s="198" t="str">
        <x:v>레이더(s)</x:v>
      </x:c>
      <x:c r="E120" s="198" t="n">
        <x:v>22</x:v>
      </x:c>
      <x:c r="F120" s="198" t="n">
        <x:v>22</x:v>
      </x:c>
      <x:c r="G120" s="199" t="str">
        <x:v>수동값/원시 불일치</x:v>
      </x:c>
      <x:c r="H120" s="263" t="n">
        <x:v>17.784000000000002</x:v>
      </x:c>
      <x:c r="I120" s="263" t="n">
        <x:v>209.82400000000004</x:v>
      </x:c>
      <x:c r="J120" s="208" t="n">
        <x:v>232.38400000000001</x:v>
      </x:c>
      <x:c r="K120" s="208" t="n">
        <x:v>606.668</x:v>
      </x:c>
      <x:c r="L120" s="268" t="n">
        <x:v>652.4859999999999</x:v>
      </x:c>
      <x:c r="M120" s="268" t="n">
        <x:v>666.664</x:v>
      </x:c>
      <x:c r="N120" s="268" t="n">
        <x:v>682.42</x:v>
      </x:c>
      <x:c r="O120" s="268" t="n">
        <x:v>695.828</x:v>
      </x:c>
      <x:c r="P120" s="270" t="n">
        <x:v>764.14</x:v>
      </x:c>
      <x:c r="Q120" s="270" t="n">
        <x:v>781.232</x:v>
      </x:c>
      <x:c r="R120" s="270" t="n">
        <x:v>790.8</x:v>
      </x:c>
      <x:c r="S120" s="270" t="n">
        <x:v>837.3399999999999</x:v>
      </x:c>
      <x:c r="T120" s="270" t="n">
        <x:v>848.692</x:v>
      </x:c>
      <x:c r="U120" s="270" t="n">
        <x:v>896.944</x:v>
      </x:c>
      <x:c r="V120" s="270" t="n">
        <x:v>914.5</x:v>
      </x:c>
      <x:c r="W120" s="270" t="n">
        <x:v>927.2239999999999</x:v>
      </x:c>
      <x:c r="X120" s="184" t="n">
        <x:v>969.6959999999999</x:v>
      </x:c>
      <x:c r="Y120" s="223"/>
      <x:c r="Z120" s="184" t="n">
        <x:v>975</x:v>
      </x:c>
      <x:c r="AA120" s="237" t="n">
        <x:v>1158.54</x:v>
      </x:c>
      <x:c r="AB120" s="239" t="n">
        <x:v>1186.98</x:v>
      </x:c>
      <x:c r="AC120" s="239" t="n">
        <x:v>1210.2746666666667</x:v>
      </x:c>
      <x:c r="AD120" s="231" t="n">
        <x:v>1236.9279999999999</x:v>
      </x:c>
      <x:c r="AE120" s="231" t="n">
        <x:v>1251.6200000000001</x:v>
      </x:c>
      <x:c r="AF120" s="184"/>
      <x:c r="AG120" s="184"/>
      <x:c r="AH120" s="184"/>
      <x:c r="AI120" s="184"/>
      <x:c r="AJ120" s="184"/>
      <x:c r="AK120" s="184"/>
      <x:c r="AL120" s="184"/>
      <x:c r="AM120" s="184"/>
      <x:c r="AN120" s="184"/>
      <x:c r="AO120" s="184"/>
      <x:c r="AP120" s="184"/>
      <x:c r="AQ120" s="184"/>
      <x:c r="AR120" s="184"/>
      <x:c r="AS120" s="184"/>
      <x:c r="AT120" s="184"/>
      <x:c r="AU120" s="184"/>
      <x:c r="AV120" s="184"/>
      <x:c r="AW120" s="184"/>
      <x:c r="AX120" s="184"/>
      <x:c r="AY120" s="184"/>
      <x:c r="AZ120" s="184"/>
      <x:c r="BA120" s="184"/>
      <x:c r="BB120" s="184"/>
      <x:c r="BC120" s="184"/>
      <x:c r="BD120" s="184"/>
      <x:c r="BE120" s="184"/>
      <x:c r="BF120" s="184"/>
      <x:c r="BG120" s="184"/>
      <x:c r="BH120" s="184"/>
      <x:c r="BI120" s="184"/>
      <x:c r="BJ120" s="184"/>
    </x:row>
    <x:row r="121" ht="20" customHeight="1">
      <x:c r="A121" s="190"/>
      <x:c r="B121" s="190"/>
      <x:c r="C121" s="190" t="str">
        <x:v>전수 후보</x:v>
      </x:c>
      <x:c r="D121" s="190" t="str">
        <x:v>레이더(s)</x:v>
      </x:c>
      <x:c r="E121" s="190"/>
      <x:c r="F121" s="190"/>
      <x:c r="G121" s="190"/>
      <x:c r="H121" s="263" t="n">
        <x:v>17.784000000000002</x:v>
      </x:c>
      <x:c r="I121" s="263" t="n">
        <x:v>209.82400000000004</x:v>
      </x:c>
      <x:c r="J121" s="208" t="n">
        <x:v>232.38400000000001</x:v>
      </x:c>
      <x:c r="K121" s="208" t="n">
        <x:v>606.668</x:v>
      </x:c>
      <x:c r="L121" s="266" t="n">
        <x:v>652.4859999999999</x:v>
      </x:c>
      <x:c r="M121" s="266" t="n">
        <x:v>666.664</x:v>
      </x:c>
      <x:c r="N121" s="266" t="n">
        <x:v>682.42</x:v>
      </x:c>
      <x:c r="O121" s="266" t="n">
        <x:v>695.828</x:v>
      </x:c>
      <x:c r="P121" s="270" t="n">
        <x:v>764.14</x:v>
      </x:c>
      <x:c r="Q121" s="219" t="n">
        <x:v>781.232</x:v>
      </x:c>
      <x:c r="R121" s="219" t="n">
        <x:v>790.8</x:v>
      </x:c>
      <x:c r="S121" s="219" t="n">
        <x:v>837.3399999999999</x:v>
      </x:c>
      <x:c r="T121" s="219" t="n">
        <x:v>848.692</x:v>
      </x:c>
      <x:c r="U121" s="270" t="n">
        <x:v>896.944</x:v>
      </x:c>
      <x:c r="V121" s="219" t="n">
        <x:v>914.5</x:v>
      </x:c>
      <x:c r="W121" s="219" t="n">
        <x:v>927.2239999999999</x:v>
      </x:c>
      <x:c r="X121" s="184" t="n">
        <x:v>969.6959999999999</x:v>
      </x:c>
      <x:c r="Y121" s="223"/>
      <x:c r="Z121" s="214" t="n">
        <x:v>975</x:v>
      </x:c>
      <x:c r="AA121" s="237" t="n">
        <x:v>1158.54</x:v>
      </x:c>
      <x:c r="AB121" s="239" t="n">
        <x:v>1186.98</x:v>
      </x:c>
      <x:c r="AC121" s="239" t="n">
        <x:v>1210.2746666666667</x:v>
      </x:c>
      <x:c r="AD121" s="241" t="n">
        <x:v>1236.9279999999999</x:v>
      </x:c>
      <x:c r="AE121" s="241" t="n">
        <x:v>1251.6200000000001</x:v>
      </x:c>
      <x:c r="AF121" s="184"/>
      <x:c r="AG121" s="184"/>
      <x:c r="AH121" s="184"/>
      <x:c r="AI121" s="184"/>
      <x:c r="AJ121" s="184"/>
      <x:c r="AK121" s="184"/>
      <x:c r="AL121" s="184"/>
      <x:c r="AM121" s="184"/>
      <x:c r="AN121" s="184"/>
      <x:c r="AO121" s="184"/>
      <x:c r="AP121" s="184"/>
      <x:c r="AQ121" s="184"/>
      <x:c r="AR121" s="184"/>
      <x:c r="AS121" s="184"/>
      <x:c r="AT121" s="184"/>
      <x:c r="AU121" s="184"/>
      <x:c r="AV121" s="184"/>
      <x:c r="AW121" s="184"/>
      <x:c r="AX121" s="184"/>
      <x:c r="AY121" s="184"/>
      <x:c r="AZ121" s="184"/>
      <x:c r="BA121" s="184"/>
      <x:c r="BB121" s="184"/>
      <x:c r="BC121" s="184"/>
      <x:c r="BD121" s="184"/>
      <x:c r="BE121" s="184"/>
      <x:c r="BF121" s="184"/>
      <x:c r="BG121" s="184"/>
      <x:c r="BH121" s="184"/>
      <x:c r="BI121" s="184"/>
      <x:c r="BJ121" s="184"/>
    </x:row>
    <x:row r="122" ht="20" customHeight="1">
      <x:c r="A122" s="190"/>
      <x:c r="B122" s="190"/>
      <x:c r="C122" s="190" t="str">
        <x:v>선택값</x:v>
      </x:c>
      <x:c r="D122" s="190" t="str">
        <x:v>레이더(s)</x:v>
      </x:c>
      <x:c r="E122" s="190"/>
      <x:c r="F122" s="190"/>
      <x:c r="G122" s="190"/>
      <x:c r="H122" s="263" t="n">
        <x:v>17.784</x:v>
      </x:c>
      <x:c r="I122" s="263" t="n">
        <x:v>209.824</x:v>
      </x:c>
      <x:c r="J122" s="208" t="n">
        <x:v>232.384</x:v>
      </x:c>
      <x:c r="K122" s="208" t="n">
        <x:v>606.668</x:v>
      </x:c>
      <x:c r="L122" s="268" t="n">
        <x:v>652.486</x:v>
      </x:c>
      <x:c r="M122" s="268" t="n">
        <x:v>666.664</x:v>
      </x:c>
      <x:c r="N122" s="268" t="n">
        <x:v>682.42</x:v>
      </x:c>
      <x:c r="O122" s="268" t="n">
        <x:v>695.828</x:v>
      </x:c>
      <x:c r="P122" s="270" t="n">
        <x:v>764.14</x:v>
      </x:c>
      <x:c r="Q122" s="270" t="n">
        <x:v>781.232</x:v>
      </x:c>
      <x:c r="R122" s="270" t="n">
        <x:v>790.8</x:v>
      </x:c>
      <x:c r="S122" s="270" t="n">
        <x:v>837.34</x:v>
      </x:c>
      <x:c r="T122" s="270" t="n">
        <x:v>848.692</x:v>
      </x:c>
      <x:c r="U122" s="270" t="n">
        <x:v>896.944</x:v>
      </x:c>
      <x:c r="V122" s="270" t="n">
        <x:v>914.5</x:v>
      </x:c>
      <x:c r="W122" s="270" t="n">
        <x:v>927.224</x:v>
      </x:c>
      <x:c r="X122" s="184"/>
      <x:c r="Y122" s="223" t="n">
        <x:v>972.348</x:v>
      </x:c>
      <x:c r="Z122" s="184"/>
      <x:c r="AA122" s="237" t="n">
        <x:v>1158.54</x:v>
      </x:c>
      <x:c r="AB122" s="239" t="n">
        <x:v>1186.98</x:v>
      </x:c>
      <x:c r="AC122" s="239" t="n">
        <x:v>1210.275</x:v>
      </x:c>
      <x:c r="AD122" s="231" t="n">
        <x:v>1236.928</x:v>
      </x:c>
      <x:c r="AE122" s="231" t="n">
        <x:v>1251.62</x:v>
      </x:c>
      <x:c r="AF122" s="184"/>
      <x:c r="AG122" s="184"/>
      <x:c r="AH122" s="184"/>
      <x:c r="AI122" s="184"/>
      <x:c r="AJ122" s="184"/>
      <x:c r="AK122" s="184"/>
      <x:c r="AL122" s="184"/>
      <x:c r="AM122" s="184"/>
      <x:c r="AN122" s="184"/>
      <x:c r="AO122" s="184"/>
      <x:c r="AP122" s="184"/>
      <x:c r="AQ122" s="184"/>
      <x:c r="AR122" s="184"/>
      <x:c r="AS122" s="184"/>
      <x:c r="AT122" s="184"/>
      <x:c r="AU122" s="184"/>
      <x:c r="AV122" s="184"/>
      <x:c r="AW122" s="184"/>
      <x:c r="AX122" s="184"/>
      <x:c r="AY122" s="184"/>
      <x:c r="AZ122" s="184"/>
      <x:c r="BA122" s="184"/>
      <x:c r="BB122" s="184"/>
      <x:c r="BC122" s="184"/>
      <x:c r="BD122" s="184"/>
      <x:c r="BE122" s="184"/>
      <x:c r="BF122" s="184"/>
      <x:c r="BG122" s="184"/>
      <x:c r="BH122" s="184"/>
      <x:c r="BI122" s="184"/>
      <x:c r="BJ122" s="184"/>
    </x:row>
    <x:row r="123" ht="34" customHeight="1">
      <x:c r="A123" s="195"/>
      <x:c r="B123" s="195"/>
      <x:c r="C123" s="195" t="str">
        <x:v>M번호 / 시나리오</x:v>
      </x:c>
      <x:c r="D123" s="195" t="str">
        <x:v>레이더(s)</x:v>
      </x:c>
      <x:c r="E123" s="195"/>
      <x:c r="F123" s="195"/>
      <x:c r="G123" s="195"/>
      <x:c r="H123" s="264" t="str">
        <x:v>M01 1 시작</x:v>
      </x:c>
      <x:c r="I123" s="264" t="str">
        <x:v>M02 1 종료</x:v>
      </x:c>
      <x:c r="J123" s="209" t="str">
        <x:v>M03 2 시작</x:v>
      </x:c>
      <x:c r="K123" s="209" t="str">
        <x:v>M04 2 종료</x:v>
      </x:c>
      <x:c r="L123" s="269" t="str">
        <x:v>M05 3-1 시작</x:v>
      </x:c>
      <x:c r="M123" s="269" t="str">
        <x:v>M06 3-1 종료</x:v>
      </x:c>
      <x:c r="N123" s="269" t="str">
        <x:v>M07 3-2 시작</x:v>
      </x:c>
      <x:c r="O123" s="269" t="str">
        <x:v>M08 3-2 종료</x:v>
      </x:c>
      <x:c r="P123" s="271" t="str">
        <x:v>M09 4-1 시작</x:v>
      </x:c>
      <x:c r="Q123" s="271" t="str">
        <x:v>M10 4-1 종료</x:v>
      </x:c>
      <x:c r="R123" s="271" t="str">
        <x:v>M11 4-2 시작</x:v>
      </x:c>
      <x:c r="S123" s="271" t="str">
        <x:v>M12 4-2 종료</x:v>
      </x:c>
      <x:c r="T123" s="271" t="str">
        <x:v>M13 4-3 시작</x:v>
      </x:c>
      <x:c r="U123" s="271" t="str">
        <x:v>M14 4-3 종료</x:v>
      </x:c>
      <x:c r="V123" s="271" t="str">
        <x:v>M15 4-4 시작</x:v>
      </x:c>
      <x:c r="W123" s="271" t="str">
        <x:v>M16 4-4 종료</x:v>
      </x:c>
      <x:c r="X123" s="196"/>
      <x:c r="Y123" s="224" t="str">
        <x:v>M17 5 시작</x:v>
      </x:c>
      <x:c r="Z123" s="196"/>
      <x:c r="AA123" s="238" t="str">
        <x:v>M18 5 종료</x:v>
      </x:c>
      <x:c r="AB123" s="240" t="str">
        <x:v>M19 6 시작</x:v>
      </x:c>
      <x:c r="AC123" s="240" t="str">
        <x:v>M20 6 종료</x:v>
      </x:c>
      <x:c r="AD123" s="232" t="str">
        <x:v>M21 7 시작</x:v>
      </x:c>
      <x:c r="AE123" s="232" t="str">
        <x:v>M22 7 종료</x:v>
      </x:c>
      <x:c r="AF123" s="196"/>
      <x:c r="AG123" s="196"/>
      <x:c r="AH123" s="196"/>
      <x:c r="AI123" s="196"/>
      <x:c r="AJ123" s="196"/>
      <x:c r="AK123" s="196"/>
      <x:c r="AL123" s="196"/>
      <x:c r="AM123" s="196"/>
      <x:c r="AN123" s="196"/>
      <x:c r="AO123" s="196"/>
      <x:c r="AP123" s="196"/>
      <x:c r="AQ123" s="196"/>
      <x:c r="AR123" s="196"/>
      <x:c r="AS123" s="196"/>
      <x:c r="AT123" s="196"/>
      <x:c r="AU123" s="196"/>
      <x:c r="AV123" s="196"/>
      <x:c r="AW123" s="196"/>
      <x:c r="AX123" s="196"/>
      <x:c r="AY123" s="196"/>
      <x:c r="AZ123" s="196"/>
      <x:c r="BA123" s="196"/>
      <x:c r="BB123" s="196"/>
      <x:c r="BC123" s="196"/>
      <x:c r="BD123" s="196"/>
      <x:c r="BE123" s="196"/>
      <x:c r="BF123" s="196"/>
      <x:c r="BG123" s="196"/>
      <x:c r="BH123" s="196"/>
      <x:c r="BI123" s="196"/>
      <x:c r="BJ123" s="196"/>
    </x:row>
    <x:row r="124" ht="20" customHeight="1">
      <x:c r="A124" s="198" t="n">
        <x:v>30</x:v>
      </x:c>
      <x:c r="B124" s="198" t="str">
        <x:v>S30_SJE</x:v>
      </x:c>
      <x:c r="C124" s="198" t="str">
        <x:v>RAW 8.5V</x:v>
      </x:c>
      <x:c r="D124" s="198" t="str">
        <x:v>레이더(s)</x:v>
      </x:c>
      <x:c r="E124" s="198" t="n">
        <x:v>22</x:v>
      </x:c>
      <x:c r="F124" s="198" t="n">
        <x:v>22</x:v>
      </x:c>
      <x:c r="G124" s="199" t="str">
        <x:v>수동값/원시 불일치</x:v>
      </x:c>
      <x:c r="H124" s="184"/>
      <x:c r="I124" s="235"/>
      <x:c r="J124" s="202"/>
      <x:c r="K124" s="206"/>
      <x:c r="L124" s="184"/>
      <x:c r="M124" s="184"/>
      <x:c r="N124" s="206"/>
      <x:c r="O124" s="212"/>
      <x:c r="P124" s="268" t="n">
        <x:v>676.876</x:v>
      </x:c>
      <x:c r="Q124" s="184"/>
      <x:c r="R124" s="184"/>
      <x:c r="S124" s="184" t="n">
        <x:v>711.1519999999999</x:v>
      </x:c>
      <x:c r="T124" s="212"/>
      <x:c r="U124" s="212"/>
      <x:c r="V124" s="217"/>
      <x:c r="W124" s="184"/>
      <x:c r="X124" s="217"/>
      <x:c r="Y124" s="270" t="n">
        <x:v>801.188</x:v>
      </x:c>
      <x:c r="Z124" s="184"/>
      <x:c r="AA124" s="219" t="n">
        <x:v>844.548</x:v>
      </x:c>
      <x:c r="AB124" s="219"/>
      <x:c r="AC124" s="219"/>
      <x:c r="AD124" s="217"/>
      <x:c r="AE124" s="184"/>
      <x:c r="AF124" s="217"/>
      <x:c r="AG124" s="223"/>
      <x:c r="AH124" s="272"/>
      <x:c r="AI124" s="227"/>
      <x:c r="AJ124" s="184"/>
      <x:c r="AK124" s="184"/>
      <x:c r="AL124" s="227"/>
      <x:c r="AM124" s="241"/>
      <x:c r="AN124" s="231" t="n">
        <x:v>1254.7720000000002</x:v>
      </x:c>
      <x:c r="AO124" s="184"/>
      <x:c r="AP124" s="184"/>
      <x:c r="AQ124" s="184"/>
      <x:c r="AR124" s="184"/>
      <x:c r="AS124" s="184"/>
      <x:c r="AT124" s="184"/>
      <x:c r="AU124" s="184"/>
      <x:c r="AV124" s="184"/>
      <x:c r="AW124" s="184"/>
      <x:c r="AX124" s="184"/>
      <x:c r="AY124" s="184"/>
      <x:c r="AZ124" s="184"/>
      <x:c r="BA124" s="184"/>
      <x:c r="BB124" s="184"/>
      <x:c r="BC124" s="184"/>
      <x:c r="BD124" s="184"/>
      <x:c r="BE124" s="184"/>
      <x:c r="BF124" s="184"/>
      <x:c r="BG124" s="184"/>
      <x:c r="BH124" s="184"/>
      <x:c r="BI124" s="184"/>
      <x:c r="BJ124" s="184"/>
    </x:row>
    <x:row r="125" ht="20" customHeight="1">
      <x:c r="A125" s="190"/>
      <x:c r="B125" s="190"/>
      <x:c r="C125" s="190" t="str">
        <x:v>전수 후보</x:v>
      </x:c>
      <x:c r="D125" s="190" t="str">
        <x:v>레이더(s)</x:v>
      </x:c>
      <x:c r="E125" s="190"/>
      <x:c r="F125" s="190"/>
      <x:c r="G125" s="190"/>
      <x:c r="H125" s="214" t="n">
        <x:v>-1.6880000000000006</x:v>
      </x:c>
      <x:c r="I125" s="235" t="n">
        <x:v>5.479999999999999</x:v>
      </x:c>
      <x:c r="J125" s="202"/>
      <x:c r="K125" s="206"/>
      <x:c r="L125" s="184" t="n">
        <x:v>243.912</x:v>
      </x:c>
      <x:c r="M125" s="184" t="n">
        <x:v>615.9159999999999</x:v>
      </x:c>
      <x:c r="N125" s="206"/>
      <x:c r="O125" s="212"/>
      <x:c r="P125" s="268" t="n">
        <x:v>676.876</x:v>
      </x:c>
      <x:c r="Q125" s="214" t="n">
        <x:v>687.358</x:v>
      </x:c>
      <x:c r="R125" s="184" t="n">
        <x:v>703.3</x:v>
      </x:c>
      <x:c r="S125" s="184" t="n">
        <x:v>711.1519999999999</x:v>
      </x:c>
      <x:c r="T125" s="212"/>
      <x:c r="U125" s="212"/>
      <x:c r="V125" s="217"/>
      <x:c r="W125" s="214" t="n">
        <x:v>781.1759999999999</x:v>
      </x:c>
      <x:c r="X125" s="219" t="n">
        <x:v>791.6999999999999</x:v>
      </x:c>
      <x:c r="Y125" s="219" t="n">
        <x:v>801.188</x:v>
      </x:c>
      <x:c r="Z125" s="214" t="n">
        <x:v>840.288</x:v>
      </x:c>
      <x:c r="AA125" s="219" t="n">
        <x:v>844.548</x:v>
      </x:c>
      <x:c r="AB125" s="219" t="n">
        <x:v>854.096</x:v>
      </x:c>
      <x:c r="AC125" s="219" t="n">
        <x:v>895.516</x:v>
      </x:c>
      <x:c r="AD125" s="217" t="n">
        <x:v>912.26</x:v>
      </x:c>
      <x:c r="AE125" s="214" t="n">
        <x:v>921.168</x:v>
      </x:c>
      <x:c r="AF125" s="217" t="n">
        <x:v>970.672</x:v>
      </x:c>
      <x:c r="AG125" s="223"/>
      <x:c r="AH125" s="272" t="n">
        <x:v>1159.432</x:v>
      </x:c>
      <x:c r="AI125" s="227"/>
      <x:c r="AJ125" s="184" t="n">
        <x:v>1192.824</x:v>
      </x:c>
      <x:c r="AK125" s="184" t="n">
        <x:v>1212.304</x:v>
      </x:c>
      <x:c r="AL125" s="227"/>
      <x:c r="AM125" s="241" t="n">
        <x:v>1244.4160000000002</x:v>
      </x:c>
      <x:c r="AN125" s="241" t="n">
        <x:v>1254.7720000000002</x:v>
      </x:c>
      <x:c r="AO125" s="184"/>
      <x:c r="AP125" s="184"/>
      <x:c r="AQ125" s="184"/>
      <x:c r="AR125" s="184"/>
      <x:c r="AS125" s="184"/>
      <x:c r="AT125" s="184"/>
      <x:c r="AU125" s="184"/>
      <x:c r="AV125" s="184"/>
      <x:c r="AW125" s="184"/>
      <x:c r="AX125" s="184"/>
      <x:c r="AY125" s="184"/>
      <x:c r="AZ125" s="184"/>
      <x:c r="BA125" s="184"/>
      <x:c r="BB125" s="184"/>
      <x:c r="BC125" s="184"/>
      <x:c r="BD125" s="184"/>
      <x:c r="BE125" s="184"/>
      <x:c r="BF125" s="184"/>
      <x:c r="BG125" s="184"/>
      <x:c r="BH125" s="184"/>
      <x:c r="BI125" s="184"/>
      <x:c r="BJ125" s="184"/>
    </x:row>
    <x:row r="126" ht="20" customHeight="1">
      <x:c r="A126" s="190"/>
      <x:c r="B126" s="190"/>
      <x:c r="C126" s="190" t="str">
        <x:v>선택값</x:v>
      </x:c>
      <x:c r="D126" s="190" t="str">
        <x:v>레이더(s)</x:v>
      </x:c>
      <x:c r="E126" s="190"/>
      <x:c r="F126" s="190"/>
      <x:c r="G126" s="190"/>
      <x:c r="H126" s="184"/>
      <x:c r="I126" s="235" t="n">
        <x:v>6.45</x:v>
      </x:c>
      <x:c r="J126" s="202" t="n">
        <x:v>192.15</x:v>
      </x:c>
      <x:c r="K126" s="206" t="n">
        <x:v>237.275</x:v>
      </x:c>
      <x:c r="L126" s="184"/>
      <x:c r="M126" s="184"/>
      <x:c r="N126" s="206" t="n">
        <x:v>620.125</x:v>
      </x:c>
      <x:c r="O126" s="212" t="n">
        <x:v>661.775</x:v>
      </x:c>
      <x:c r="P126" s="268" t="n">
        <x:v>676.4</x:v>
      </x:c>
      <x:c r="Q126" s="184"/>
      <x:c r="R126" s="184"/>
      <x:c r="S126" s="184"/>
      <x:c r="T126" s="212" t="n">
        <x:v>730.025</x:v>
      </x:c>
      <x:c r="U126" s="212" t="n">
        <x:v>741.25</x:v>
      </x:c>
      <x:c r="V126" s="217" t="n">
        <x:v>755.025</x:v>
      </x:c>
      <x:c r="W126" s="184"/>
      <x:c r="X126" s="217" t="n">
        <x:v>791.15</x:v>
      </x:c>
      <x:c r="Y126" s="270" t="n">
        <x:v>800.675</x:v>
      </x:c>
      <x:c r="Z126" s="184"/>
      <x:c r="AA126" s="219" t="n">
        <x:v>844.1</x:v>
      </x:c>
      <x:c r="AB126" s="219" t="n">
        <x:v>853.65</x:v>
      </x:c>
      <x:c r="AC126" s="219" t="n">
        <x:v>896.7</x:v>
      </x:c>
      <x:c r="AD126" s="217" t="n">
        <x:v>911.825</x:v>
      </x:c>
      <x:c r="AE126" s="184"/>
      <x:c r="AF126" s="217" t="n">
        <x:v>968.925</x:v>
      </x:c>
      <x:c r="AG126" s="223" t="n">
        <x:v>974.375</x:v>
      </x:c>
      <x:c r="AH126" s="272" t="n">
        <x:v>1158.775</x:v>
      </x:c>
      <x:c r="AI126" s="227" t="n">
        <x:v>1175.375</x:v>
      </x:c>
      <x:c r="AJ126" s="184"/>
      <x:c r="AK126" s="184"/>
      <x:c r="AL126" s="227" t="n">
        <x:v>1219.625</x:v>
      </x:c>
      <x:c r="AM126" s="241" t="n">
        <x:v>1243.925</x:v>
      </x:c>
      <x:c r="AN126" s="231" t="n">
        <x:v>1254.325</x:v>
      </x:c>
      <x:c r="AO126" s="184"/>
      <x:c r="AP126" s="184"/>
      <x:c r="AQ126" s="184"/>
      <x:c r="AR126" s="184"/>
      <x:c r="AS126" s="184"/>
      <x:c r="AT126" s="184"/>
      <x:c r="AU126" s="184"/>
      <x:c r="AV126" s="184"/>
      <x:c r="AW126" s="184"/>
      <x:c r="AX126" s="184"/>
      <x:c r="AY126" s="184"/>
      <x:c r="AZ126" s="184"/>
      <x:c r="BA126" s="184"/>
      <x:c r="BB126" s="184"/>
      <x:c r="BC126" s="184"/>
      <x:c r="BD126" s="184"/>
      <x:c r="BE126" s="184"/>
      <x:c r="BF126" s="184"/>
      <x:c r="BG126" s="184"/>
      <x:c r="BH126" s="184"/>
      <x:c r="BI126" s="184"/>
      <x:c r="BJ126" s="184"/>
    </x:row>
    <x:row r="127" ht="34" customHeight="1">
      <x:c r="A127" s="195"/>
      <x:c r="B127" s="195"/>
      <x:c r="C127" s="195" t="str">
        <x:v>M번호 / 시나리오</x:v>
      </x:c>
      <x:c r="D127" s="195" t="str">
        <x:v>레이더(s)</x:v>
      </x:c>
      <x:c r="E127" s="195"/>
      <x:c r="F127" s="195"/>
      <x:c r="G127" s="195"/>
      <x:c r="H127" s="196"/>
      <x:c r="I127" s="236" t="str">
        <x:v>M01 1 시작</x:v>
      </x:c>
      <x:c r="J127" s="203" t="str">
        <x:v>M02 1 종료</x:v>
      </x:c>
      <x:c r="K127" s="207" t="str">
        <x:v>M03 2 시작</x:v>
      </x:c>
      <x:c r="L127" s="196"/>
      <x:c r="M127" s="196"/>
      <x:c r="N127" s="207" t="str">
        <x:v>M04 2 종료</x:v>
      </x:c>
      <x:c r="O127" s="213" t="str">
        <x:v>M05 3-1 시작</x:v>
      </x:c>
      <x:c r="P127" s="269" t="str">
        <x:v>M06 3-1 종료</x:v>
      </x:c>
      <x:c r="Q127" s="196"/>
      <x:c r="R127" s="196"/>
      <x:c r="S127" s="196"/>
      <x:c r="T127" s="213" t="str">
        <x:v>M07 3-2 시작</x:v>
      </x:c>
      <x:c r="U127" s="213" t="str">
        <x:v>M08 3-2 종료</x:v>
      </x:c>
      <x:c r="V127" s="218" t="str">
        <x:v>M09 4-1 시작</x:v>
      </x:c>
      <x:c r="W127" s="196"/>
      <x:c r="X127" s="218" t="str">
        <x:v>M10 4-1 종료</x:v>
      </x:c>
      <x:c r="Y127" s="271" t="str">
        <x:v>M11 4-2 시작</x:v>
      </x:c>
      <x:c r="Z127" s="196"/>
      <x:c r="AA127" s="220" t="str">
        <x:v>M12 4-2 종료</x:v>
      </x:c>
      <x:c r="AB127" s="220" t="str">
        <x:v>M13 4-3 시작</x:v>
      </x:c>
      <x:c r="AC127" s="220" t="str">
        <x:v>M14 4-3 종료</x:v>
      </x:c>
      <x:c r="AD127" s="218" t="str">
        <x:v>M15 4-4 시작</x:v>
      </x:c>
      <x:c r="AE127" s="196"/>
      <x:c r="AF127" s="218" t="str">
        <x:v>M16 4-4 종료</x:v>
      </x:c>
      <x:c r="AG127" s="224" t="str">
        <x:v>M17 5 시작</x:v>
      </x:c>
      <x:c r="AH127" s="273" t="str">
        <x:v>M18 5 종료</x:v>
      </x:c>
      <x:c r="AI127" s="228" t="str">
        <x:v>M19 6 시작</x:v>
      </x:c>
      <x:c r="AJ127" s="196"/>
      <x:c r="AK127" s="196"/>
      <x:c r="AL127" s="228" t="str">
        <x:v>M20 6 종료</x:v>
      </x:c>
      <x:c r="AM127" s="279" t="str">
        <x:v>M21 7 시작</x:v>
      </x:c>
      <x:c r="AN127" s="232" t="str">
        <x:v>M22 7 종료</x:v>
      </x:c>
      <x:c r="AO127" s="196"/>
      <x:c r="AP127" s="196"/>
      <x:c r="AQ127" s="196"/>
      <x:c r="AR127" s="196"/>
      <x:c r="AS127" s="196"/>
      <x:c r="AT127" s="196"/>
      <x:c r="AU127" s="196"/>
      <x:c r="AV127" s="196"/>
      <x:c r="AW127" s="196"/>
      <x:c r="AX127" s="196"/>
      <x:c r="AY127" s="196"/>
      <x:c r="AZ127" s="196"/>
      <x:c r="BA127" s="196"/>
      <x:c r="BB127" s="196"/>
      <x:c r="BC127" s="196"/>
      <x:c r="BD127" s="196"/>
      <x:c r="BE127" s="196"/>
      <x:c r="BF127" s="196"/>
      <x:c r="BG127" s="196"/>
      <x:c r="BH127" s="196"/>
      <x:c r="BI127" s="196"/>
      <x:c r="BJ127" s="196"/>
    </x:row>
  </x:sheetData>
  <x:mergeCells>
    <x:mergeCell ref="A1:Z1"/>
    <x:mergeCell ref="A2:Z2"/>
  </x:mergeCells>
  <x:pageMargins left="0.7" right="0.7" top="0.75" bottom="0.75" header="0.3" footer="0.3"/>
  <x:legacyDrawing xmlns:r="http://schemas.openxmlformats.org/officeDocument/2006/relationships" r:id="Rd439480365444e49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1" hidden="0" customWidth="1"/>
    <x:col min="5" max="5" width="18" hidden="0" customWidth="1"/>
    <x:col min="6" max="6" width="1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0" customHeight="1">
      <x:c r="A1" s="49" t="str">
        <x:v>경계별 후보군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52" t="str">
        <x:v>선택값 또는 시간패턴 추천값을 기준으로 ±15초 내 가까운 후보를 최대 3개 표시합니다. 후보가 둘 이상이면 ‘애매’로 표시합니다.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마커 번호</x:v>
      </x:c>
      <x:c r="E4" s="65" t="str">
        <x:v>경계 의미</x:v>
      </x:c>
      <x:c r="F4" s="65" t="str">
        <x:v>선택/추천(s)</x:v>
      </x:c>
      <x:c r="G4" s="65" t="str">
        <x:v>출처</x:v>
      </x:c>
      <x:c r="H4" s="65" t="str">
        <x:v>후보1(s)</x:v>
      </x:c>
      <x:c r="I4" s="65" t="str">
        <x:v>후보2(s)</x:v>
      </x:c>
      <x:c r="J4" s="65" t="str">
        <x:v>후보3(s)</x:v>
      </x:c>
      <x:c r="K4" s="65" t="str">
        <x:v>애매 여부</x:v>
      </x:c>
      <x:c r="L4" s="65" t="str">
        <x:v>확인 메모</x:v>
      </x:c>
    </x:row>
    <x:row r="5">
      <x:c r="A5" s="86" t="n">
        <x:v>2</x:v>
      </x:c>
      <x:c r="B5" s="86" t="str">
        <x:v>S02_RJS</x:v>
      </x:c>
      <x:c r="C5" s="86" t="n">
        <x:v>20</x:v>
      </x:c>
      <x:c r="D5" s="86" t="str">
        <x:v>M01</x:v>
      </x:c>
      <x:c r="E5" s="86" t="str">
        <x:v>1 시작</x:v>
      </x:c>
      <x:c r="F5" s="284" t="n">
        <x:v>25</x:v>
      </x:c>
      <x:c r="G5" s="87" t="str">
        <x:v>기존 엑셀값</x:v>
      </x:c>
      <x:c r="H5" s="87" t="n">
        <x:v>15.624000000000002</x:v>
      </x:c>
      <x:c r="I5" s="87"/>
      <x:c r="J5" s="87"/>
      <x:c r="K5" s="86" t="str">
        <x:v>단일/없음</x:v>
      </x:c>
      <x:c r="L5" s="86" t="str"/>
    </x:row>
    <x:row r="6">
      <x:c r="A6" s="88" t="n">
        <x:v>2</x:v>
      </x:c>
      <x:c r="B6" s="88" t="str">
        <x:v>S02_RJS</x:v>
      </x:c>
      <x:c r="C6" s="88" t="n">
        <x:v>20</x:v>
      </x:c>
      <x:c r="D6" s="88" t="str">
        <x:v>M02</x:v>
      </x:c>
      <x:c r="E6" s="88" t="str">
        <x:v>1 종료</x:v>
      </x:c>
      <x:c r="F6" s="96" t="n">
        <x:v>217</x:v>
      </x:c>
      <x:c r="G6" s="89" t="str">
        <x:v>기존 엑셀값</x:v>
      </x:c>
      <x:c r="H6" s="89" t="n">
        <x:v>213.592</x:v>
      </x:c>
      <x:c r="I6" s="89"/>
      <x:c r="J6" s="89"/>
      <x:c r="K6" s="88" t="str">
        <x:v>단일/없음</x:v>
      </x:c>
      <x:c r="L6" s="88" t="str"/>
    </x:row>
    <x:row r="7">
      <x:c r="A7" s="88" t="n">
        <x:v>2</x:v>
      </x:c>
      <x:c r="B7" s="88" t="str">
        <x:v>S02_RJS</x:v>
      </x:c>
      <x:c r="C7" s="88" t="n">
        <x:v>20</x:v>
      </x:c>
      <x:c r="D7" s="88" t="str">
        <x:v>M03</x:v>
      </x:c>
      <x:c r="E7" s="88" t="str">
        <x:v>2 시작</x:v>
      </x:c>
      <x:c r="F7" s="96" t="n">
        <x:v>245</x:v>
      </x:c>
      <x:c r="G7" s="89" t="str">
        <x:v>기존 엑셀값</x:v>
      </x:c>
      <x:c r="H7" s="89" t="n">
        <x:v>239.15800000000002</x:v>
      </x:c>
      <x:c r="I7" s="89"/>
      <x:c r="J7" s="89"/>
      <x:c r="K7" s="88" t="str">
        <x:v>단일/없음</x:v>
      </x:c>
      <x:c r="L7" s="88" t="str"/>
    </x:row>
    <x:row r="8">
      <x:c r="A8" s="88" t="n">
        <x:v>2</x:v>
      </x:c>
      <x:c r="B8" s="88" t="str">
        <x:v>S02_RJS</x:v>
      </x:c>
      <x:c r="C8" s="88" t="n">
        <x:v>20</x:v>
      </x:c>
      <x:c r="D8" s="88" t="str">
        <x:v>M04</x:v>
      </x:c>
      <x:c r="E8" s="88" t="str">
        <x:v>2 종료</x:v>
      </x:c>
      <x:c r="F8" s="96" t="n">
        <x:v>611</x:v>
      </x:c>
      <x:c r="G8" s="89" t="str">
        <x:v>기존 엑셀값</x:v>
      </x:c>
      <x:c r="H8" s="89" t="n">
        <x:v>612.568</x:v>
      </x:c>
      <x:c r="I8" s="89"/>
      <x:c r="J8" s="89"/>
      <x:c r="K8" s="88" t="str">
        <x:v>단일/없음</x:v>
      </x:c>
      <x:c r="L8" s="88" t="str"/>
    </x:row>
    <x:row r="9">
      <x:c r="A9" s="88" t="n">
        <x:v>2</x:v>
      </x:c>
      <x:c r="B9" s="88" t="str">
        <x:v>S02_RJS</x:v>
      </x:c>
      <x:c r="C9" s="88" t="n">
        <x:v>20</x:v>
      </x:c>
      <x:c r="D9" s="88" t="str">
        <x:v>M05</x:v>
      </x:c>
      <x:c r="E9" s="88" t="str">
        <x:v>3-1 시작</x:v>
      </x:c>
      <x:c r="F9" s="96" t="n">
        <x:v>708</x:v>
      </x:c>
      <x:c r="G9" s="89" t="str">
        <x:v>기존 엑셀값</x:v>
      </x:c>
      <x:c r="H9" s="89" t="n">
        <x:v>702.3066666666666</x:v>
      </x:c>
      <x:c r="I9" s="103" t="n">
        <x:v>715.7586666666667</x:v>
      </x:c>
      <x:c r="J9" s="89"/>
      <x:c r="K9" s="88" t="str">
        <x:v>단일/없음</x:v>
      </x:c>
      <x:c r="L9" s="88" t="str"/>
    </x:row>
    <x:row r="10">
      <x:c r="A10" s="88" t="n">
        <x:v>2</x:v>
      </x:c>
      <x:c r="B10" s="88" t="str">
        <x:v>S02_RJS</x:v>
      </x:c>
      <x:c r="C10" s="88" t="n">
        <x:v>20</x:v>
      </x:c>
      <x:c r="D10" s="88" t="str">
        <x:v>M06</x:v>
      </x:c>
      <x:c r="E10" s="88" t="str">
        <x:v>3-1 종료</x:v>
      </x:c>
      <x:c r="F10" s="96" t="n">
        <x:v>723</x:v>
      </x:c>
      <x:c r="G10" s="89" t="str">
        <x:v>기존 엑셀값</x:v>
      </x:c>
      <x:c r="H10" s="89" t="n">
        <x:v>715.7586666666667</x:v>
      </x:c>
      <x:c r="I10" s="103" t="n">
        <x:v>734.06</x:v>
      </x:c>
      <x:c r="J10" s="89"/>
      <x:c r="K10" s="88" t="str">
        <x:v>단일/없음</x:v>
      </x:c>
      <x:c r="L10" s="88" t="str"/>
    </x:row>
    <x:row r="11">
      <x:c r="A11" s="88" t="n">
        <x:v>2</x:v>
      </x:c>
      <x:c r="B11" s="88" t="str">
        <x:v>S02_RJS</x:v>
      </x:c>
      <x:c r="C11" s="88" t="n">
        <x:v>20</x:v>
      </x:c>
      <x:c r="D11" s="88" t="str">
        <x:v>M07</x:v>
      </x:c>
      <x:c r="E11" s="88" t="str">
        <x:v>3-2 시작</x:v>
      </x:c>
      <x:c r="F11" s="96" t="n">
        <x:v>740</x:v>
      </x:c>
      <x:c r="G11" s="89" t="str">
        <x:v>기존 엑셀값</x:v>
      </x:c>
      <x:c r="H11" s="89" t="n">
        <x:v>734.06</x:v>
      </x:c>
      <x:c r="I11" s="103" t="n">
        <x:v>747.56</x:v>
      </x:c>
      <x:c r="J11" s="89"/>
      <x:c r="K11" s="88" t="str">
        <x:v>단일/없음</x:v>
      </x:c>
      <x:c r="L11" s="88" t="str"/>
    </x:row>
    <x:row r="12">
      <x:c r="A12" s="88" t="n">
        <x:v>2</x:v>
      </x:c>
      <x:c r="B12" s="88" t="str">
        <x:v>S02_RJS</x:v>
      </x:c>
      <x:c r="C12" s="88" t="n">
        <x:v>20</x:v>
      </x:c>
      <x:c r="D12" s="88" t="str">
        <x:v>M08</x:v>
      </x:c>
      <x:c r="E12" s="88" t="str">
        <x:v>3-2 종료</x:v>
      </x:c>
      <x:c r="F12" s="96" t="n">
        <x:v>754</x:v>
      </x:c>
      <x:c r="G12" s="89" t="str">
        <x:v>기존 엑셀값</x:v>
      </x:c>
      <x:c r="H12" s="89" t="n">
        <x:v>747.56</x:v>
      </x:c>
      <x:c r="I12" s="103" t="n">
        <x:v>768.1479999999999</x:v>
      </x:c>
      <x:c r="J12" s="89"/>
      <x:c r="K12" s="88" t="str">
        <x:v>단일/없음</x:v>
      </x:c>
      <x:c r="L12" s="88" t="str"/>
    </x:row>
    <x:row r="13">
      <x:c r="A13" s="88" t="n">
        <x:v>2</x:v>
      </x:c>
      <x:c r="B13" s="88" t="str">
        <x:v>S02_RJS</x:v>
      </x:c>
      <x:c r="C13" s="88" t="n">
        <x:v>20</x:v>
      </x:c>
      <x:c r="D13" s="88" t="str">
        <x:v>M09</x:v>
      </x:c>
      <x:c r="E13" s="88" t="str">
        <x:v>4-1 시작</x:v>
      </x:c>
      <x:c r="F13" s="96" t="n">
        <x:v>842</x:v>
      </x:c>
      <x:c r="G13" s="89" t="str">
        <x:v>기존 엑셀값</x:v>
      </x:c>
      <x:c r="H13" s="89" t="n">
        <x:v>844.8639999999999</x:v>
      </x:c>
      <x:c r="I13" s="103" t="n">
        <x:v>836.156</x:v>
      </x:c>
      <x:c r="J13" s="89"/>
      <x:c r="K13" s="88" t="str">
        <x:v>단일/없음</x:v>
      </x:c>
      <x:c r="L13" s="88" t="str"/>
    </x:row>
    <x:row r="14">
      <x:c r="A14" s="88" t="n">
        <x:v>2</x:v>
      </x:c>
      <x:c r="B14" s="88" t="str">
        <x:v>S02_RJS</x:v>
      </x:c>
      <x:c r="C14" s="88" t="n">
        <x:v>20</x:v>
      </x:c>
      <x:c r="D14" s="88" t="str">
        <x:v>M10</x:v>
      </x:c>
      <x:c r="E14" s="88" t="str">
        <x:v>4-1 종료</x:v>
      </x:c>
      <x:c r="F14" s="96" t="n">
        <x:v>896</x:v>
      </x:c>
      <x:c r="G14" s="89" t="str">
        <x:v>기존 엑셀값</x:v>
      </x:c>
      <x:c r="H14" s="89" t="n">
        <x:v>894.64</x:v>
      </x:c>
      <x:c r="I14" s="103" t="n">
        <x:v>908.756</x:v>
      </x:c>
      <x:c r="J14" s="89"/>
      <x:c r="K14" s="88" t="str">
        <x:v>단일/없음</x:v>
      </x:c>
      <x:c r="L14" s="88" t="str"/>
    </x:row>
    <x:row r="15">
      <x:c r="A15" s="88" t="n">
        <x:v>2</x:v>
      </x:c>
      <x:c r="B15" s="88" t="str">
        <x:v>S02_RJS</x:v>
      </x:c>
      <x:c r="C15" s="88" t="n">
        <x:v>20</x:v>
      </x:c>
      <x:c r="D15" s="88" t="str">
        <x:v>M11</x:v>
      </x:c>
      <x:c r="E15" s="88" t="str">
        <x:v>4-2 시작</x:v>
      </x:c>
      <x:c r="F15" s="96" t="n">
        <x:v>896</x:v>
      </x:c>
      <x:c r="G15" s="89" t="str">
        <x:v>기존 엑셀값</x:v>
      </x:c>
      <x:c r="H15" s="89" t="n">
        <x:v>894.64</x:v>
      </x:c>
      <x:c r="I15" s="103" t="n">
        <x:v>908.756</x:v>
      </x:c>
      <x:c r="J15" s="89"/>
      <x:c r="K15" s="88" t="str">
        <x:v>단일/없음</x:v>
      </x:c>
      <x:c r="L15" s="88" t="str"/>
    </x:row>
    <x:row r="16">
      <x:c r="A16" s="88" t="n">
        <x:v>2</x:v>
      </x:c>
      <x:c r="B16" s="88" t="str">
        <x:v>S02_RJS</x:v>
      </x:c>
      <x:c r="C16" s="88" t="n">
        <x:v>20</x:v>
      </x:c>
      <x:c r="D16" s="88" t="str">
        <x:v>M12</x:v>
      </x:c>
      <x:c r="E16" s="88" t="str">
        <x:v>4-2 종료</x:v>
      </x:c>
      <x:c r="F16" s="96" t="n">
        <x:v>944</x:v>
      </x:c>
      <x:c r="G16" s="89" t="str">
        <x:v>기존 엑셀값</x:v>
      </x:c>
      <x:c r="H16" s="89" t="n">
        <x:v>942.168</x:v>
      </x:c>
      <x:c r="I16" s="89"/>
      <x:c r="J16" s="89"/>
      <x:c r="K16" s="88" t="str">
        <x:v>단일/없음</x:v>
      </x:c>
      <x:c r="L16" s="88" t="str"/>
    </x:row>
    <x:row r="17">
      <x:c r="A17" s="88" t="n">
        <x:v>2</x:v>
      </x:c>
      <x:c r="B17" s="88" t="str">
        <x:v>S02_RJS</x:v>
      </x:c>
      <x:c r="C17" s="88" t="n">
        <x:v>20</x:v>
      </x:c>
      <x:c r="D17" s="88" t="str">
        <x:v>M13</x:v>
      </x:c>
      <x:c r="E17" s="88" t="str">
        <x:v>4-3 시작</x:v>
      </x:c>
      <x:c r="F17" s="96" t="n">
        <x:v>946</x:v>
      </x:c>
      <x:c r="G17" s="89" t="str">
        <x:v>기존 엑셀값</x:v>
      </x:c>
      <x:c r="H17" s="89" t="n">
        <x:v>942.168</x:v>
      </x:c>
      <x:c r="I17" s="103" t="n">
        <x:v>959.2719999999999</x:v>
      </x:c>
      <x:c r="J17" s="89"/>
      <x:c r="K17" s="88" t="str">
        <x:v>단일/없음</x:v>
      </x:c>
      <x:c r="L17" s="88" t="str"/>
    </x:row>
    <x:row r="18">
      <x:c r="A18" s="88" t="n">
        <x:v>2</x:v>
      </x:c>
      <x:c r="B18" s="88" t="str">
        <x:v>S02_RJS</x:v>
      </x:c>
      <x:c r="C18" s="88" t="n">
        <x:v>20</x:v>
      </x:c>
      <x:c r="D18" s="88" t="str">
        <x:v>M14</x:v>
      </x:c>
      <x:c r="E18" s="88" t="str">
        <x:v>4-3 종료</x:v>
      </x:c>
      <x:c r="F18" s="96" t="n">
        <x:v>1000</x:v>
      </x:c>
      <x:c r="G18" s="89" t="str">
        <x:v>기존 엑셀값</x:v>
      </x:c>
      <x:c r="H18" s="89" t="n">
        <x:v>999.756</x:v>
      </x:c>
      <x:c r="I18" s="89"/>
      <x:c r="J18" s="89"/>
      <x:c r="K18" s="88" t="str">
        <x:v>단일/없음</x:v>
      </x:c>
      <x:c r="L18" s="88" t="str"/>
    </x:row>
    <x:row r="19">
      <x:c r="A19" s="88" t="n">
        <x:v>2</x:v>
      </x:c>
      <x:c r="B19" s="88" t="str">
        <x:v>S02_RJS</x:v>
      </x:c>
      <x:c r="C19" s="88" t="n">
        <x:v>20</x:v>
      </x:c>
      <x:c r="D19" s="88" t="str">
        <x:v>M15</x:v>
      </x:c>
      <x:c r="E19" s="88" t="str">
        <x:v>5 시작</x:v>
      </x:c>
      <x:c r="F19" s="96" t="n">
        <x:v>1020</x:v>
      </x:c>
      <x:c r="G19" s="89" t="str">
        <x:v>기존 엑셀값</x:v>
      </x:c>
      <x:c r="H19" s="89"/>
      <x:c r="I19" s="89"/>
      <x:c r="J19" s="89"/>
      <x:c r="K19" s="88" t="str">
        <x:v>단일/없음</x:v>
      </x:c>
      <x:c r="L19" s="88" t="str"/>
    </x:row>
    <x:row r="20">
      <x:c r="A20" s="88" t="n">
        <x:v>2</x:v>
      </x:c>
      <x:c r="B20" s="88" t="str">
        <x:v>S02_RJS</x:v>
      </x:c>
      <x:c r="C20" s="88" t="n">
        <x:v>20</x:v>
      </x:c>
      <x:c r="D20" s="88" t="str">
        <x:v>M16</x:v>
      </x:c>
      <x:c r="E20" s="88" t="str">
        <x:v>5 종료</x:v>
      </x:c>
      <x:c r="F20" s="96" t="n">
        <x:v>1184</x:v>
      </x:c>
      <x:c r="G20" s="89" t="str">
        <x:v>기존 엑셀값</x:v>
      </x:c>
      <x:c r="H20" s="89"/>
      <x:c r="I20" s="89"/>
      <x:c r="J20" s="89"/>
      <x:c r="K20" s="88" t="str">
        <x:v>단일/없음</x:v>
      </x:c>
      <x:c r="L20" s="88" t="str"/>
    </x:row>
    <x:row r="21">
      <x:c r="A21" s="88" t="n">
        <x:v>2</x:v>
      </x:c>
      <x:c r="B21" s="88" t="str">
        <x:v>S02_RJS</x:v>
      </x:c>
      <x:c r="C21" s="88" t="n">
        <x:v>20</x:v>
      </x:c>
      <x:c r="D21" s="88" t="str">
        <x:v>M17</x:v>
      </x:c>
      <x:c r="E21" s="88" t="str">
        <x:v>6 시작</x:v>
      </x:c>
      <x:c r="F21" s="96" t="n">
        <x:v>1232</x:v>
      </x:c>
      <x:c r="G21" s="89" t="str">
        <x:v>기존 엑셀값</x:v>
      </x:c>
      <x:c r="H21" s="89" t="n">
        <x:v>1225.984</x:v>
      </x:c>
      <x:c r="I21" s="89"/>
      <x:c r="J21" s="89"/>
      <x:c r="K21" s="88" t="str">
        <x:v>단일/없음</x:v>
      </x:c>
      <x:c r="L21" s="88" t="str"/>
    </x:row>
    <x:row r="22">
      <x:c r="A22" s="88" t="n">
        <x:v>2</x:v>
      </x:c>
      <x:c r="B22" s="88" t="str">
        <x:v>S02_RJS</x:v>
      </x:c>
      <x:c r="C22" s="88" t="n">
        <x:v>20</x:v>
      </x:c>
      <x:c r="D22" s="88" t="str">
        <x:v>M18</x:v>
      </x:c>
      <x:c r="E22" s="88" t="str">
        <x:v>6 종료</x:v>
      </x:c>
      <x:c r="F22" s="96" t="n">
        <x:v>1259</x:v>
      </x:c>
      <x:c r="G22" s="89" t="str">
        <x:v>기존 엑셀값</x:v>
      </x:c>
      <x:c r="H22" s="89" t="n">
        <x:v>1256.652</x:v>
      </x:c>
      <x:c r="I22" s="89"/>
      <x:c r="J22" s="89"/>
      <x:c r="K22" s="88" t="str">
        <x:v>단일/없음</x:v>
      </x:c>
      <x:c r="L22" s="88" t="str"/>
    </x:row>
    <x:row r="23">
      <x:c r="A23" s="88" t="n">
        <x:v>2</x:v>
      </x:c>
      <x:c r="B23" s="88" t="str">
        <x:v>S02_RJS</x:v>
      </x:c>
      <x:c r="C23" s="88" t="n">
        <x:v>20</x:v>
      </x:c>
      <x:c r="D23" s="88" t="str">
        <x:v>M19</x:v>
      </x:c>
      <x:c r="E23" s="88" t="str">
        <x:v>7 시작</x:v>
      </x:c>
      <x:c r="F23" s="96" t="n">
        <x:v>1286</x:v>
      </x:c>
      <x:c r="G23" s="89" t="str">
        <x:v>기존 엑셀값</x:v>
      </x:c>
      <x:c r="H23" s="89" t="n">
        <x:v>1286.7659999999998</x:v>
      </x:c>
      <x:c r="I23" s="103" t="n">
        <x:v>1279.088</x:v>
      </x:c>
      <x:c r="J23" s="89"/>
      <x:c r="K23" s="88" t="str">
        <x:v>단일/없음</x:v>
      </x:c>
      <x:c r="L23" s="88" t="str"/>
    </x:row>
    <x:row r="24">
      <x:c r="A24" s="88" t="n">
        <x:v>2</x:v>
      </x:c>
      <x:c r="B24" s="88" t="str">
        <x:v>S02_RJS</x:v>
      </x:c>
      <x:c r="C24" s="88" t="n">
        <x:v>20</x:v>
      </x:c>
      <x:c r="D24" s="88" t="str">
        <x:v>M20</x:v>
      </x:c>
      <x:c r="E24" s="88" t="str">
        <x:v>7 종료</x:v>
      </x:c>
      <x:c r="F24" s="96" t="n">
        <x:v>1295</x:v>
      </x:c>
      <x:c r="G24" s="89" t="str">
        <x:v>기존 엑셀값</x:v>
      </x:c>
      <x:c r="H24" s="89" t="n">
        <x:v>1286.7659999999998</x:v>
      </x:c>
      <x:c r="I24" s="89"/>
      <x:c r="J24" s="89"/>
      <x:c r="K24" s="88" t="str">
        <x:v>단일/없음</x:v>
      </x:c>
      <x:c r="L24" s="88" t="str"/>
    </x:row>
    <x:row r="25">
      <x:c r="A25" s="88" t="n">
        <x:v>3</x:v>
      </x:c>
      <x:c r="B25" s="88" t="str">
        <x:v>S03_PSJ</x:v>
      </x:c>
      <x:c r="C25" s="88" t="n">
        <x:v>20</x:v>
      </x:c>
      <x:c r="D25" s="88" t="str">
        <x:v>M01</x:v>
      </x:c>
      <x:c r="E25" s="88" t="str">
        <x:v>1 시작</x:v>
      </x:c>
      <x:c r="F25" s="96" t="n">
        <x:v>23</x:v>
      </x:c>
      <x:c r="G25" s="89" t="str">
        <x:v>기존 엑셀값</x:v>
      </x:c>
      <x:c r="H25" s="89" t="n">
        <x:v>24.644</x:v>
      </x:c>
      <x:c r="I25" s="103" t="n">
        <x:v>18.744</x:v>
      </x:c>
      <x:c r="J25" s="89"/>
      <x:c r="K25" s="98" t="str">
        <x:v>애매</x:v>
      </x:c>
      <x:c r="L25" s="88" t="str"/>
    </x:row>
    <x:row r="26">
      <x:c r="A26" s="88" t="n">
        <x:v>3</x:v>
      </x:c>
      <x:c r="B26" s="88" t="str">
        <x:v>S03_PSJ</x:v>
      </x:c>
      <x:c r="C26" s="88" t="n">
        <x:v>20</x:v>
      </x:c>
      <x:c r="D26" s="88" t="str">
        <x:v>M02</x:v>
      </x:c>
      <x:c r="E26" s="88" t="str">
        <x:v>1 종료</x:v>
      </x:c>
      <x:c r="F26" s="96" t="n">
        <x:v>210</x:v>
      </x:c>
      <x:c r="G26" s="89" t="str">
        <x:v>기존 엑셀값</x:v>
      </x:c>
      <x:c r="H26" s="89" t="n">
        <x:v>218.36</x:v>
      </x:c>
      <x:c r="I26" s="89"/>
      <x:c r="J26" s="89"/>
      <x:c r="K26" s="88" t="str">
        <x:v>단일/없음</x:v>
      </x:c>
      <x:c r="L26" s="88" t="str"/>
    </x:row>
    <x:row r="27">
      <x:c r="A27" s="88" t="n">
        <x:v>3</x:v>
      </x:c>
      <x:c r="B27" s="88" t="str">
        <x:v>S03_PSJ</x:v>
      </x:c>
      <x:c r="C27" s="88" t="n">
        <x:v>20</x:v>
      </x:c>
      <x:c r="D27" s="88" t="str">
        <x:v>M03</x:v>
      </x:c>
      <x:c r="E27" s="88" t="str">
        <x:v>2 시작</x:v>
      </x:c>
      <x:c r="F27" s="96" t="n">
        <x:v>276</x:v>
      </x:c>
      <x:c r="G27" s="89" t="str">
        <x:v>기존 엑셀값</x:v>
      </x:c>
      <x:c r="H27" s="89" t="n">
        <x:v>276.85999999999996</x:v>
      </x:c>
      <x:c r="I27" s="89"/>
      <x:c r="J27" s="89"/>
      <x:c r="K27" s="88" t="str">
        <x:v>단일/없음</x:v>
      </x:c>
      <x:c r="L27" s="88" t="str"/>
    </x:row>
    <x:row r="28">
      <x:c r="A28" s="88" t="n">
        <x:v>3</x:v>
      </x:c>
      <x:c r="B28" s="88" t="str">
        <x:v>S03_PSJ</x:v>
      </x:c>
      <x:c r="C28" s="88" t="n">
        <x:v>20</x:v>
      </x:c>
      <x:c r="D28" s="88" t="str">
        <x:v>M04</x:v>
      </x:c>
      <x:c r="E28" s="88" t="str">
        <x:v>2 종료</x:v>
      </x:c>
      <x:c r="F28" s="96" t="n">
        <x:v>646</x:v>
      </x:c>
      <x:c r="G28" s="89" t="str">
        <x:v>기존 엑셀값</x:v>
      </x:c>
      <x:c r="H28" s="89" t="n">
        <x:v>647.456</x:v>
      </x:c>
      <x:c r="I28" s="89"/>
      <x:c r="J28" s="89"/>
      <x:c r="K28" s="88" t="str">
        <x:v>단일/없음</x:v>
      </x:c>
      <x:c r="L28" s="88" t="str"/>
    </x:row>
    <x:row r="29">
      <x:c r="A29" s="88" t="n">
        <x:v>3</x:v>
      </x:c>
      <x:c r="B29" s="88" t="str">
        <x:v>S03_PSJ</x:v>
      </x:c>
      <x:c r="C29" s="88" t="n">
        <x:v>20</x:v>
      </x:c>
      <x:c r="D29" s="88" t="str">
        <x:v>M05</x:v>
      </x:c>
      <x:c r="E29" s="88" t="str">
        <x:v>3-1 시작</x:v>
      </x:c>
      <x:c r="F29" s="96"/>
      <x:c r="G29" s="89" t="str">
        <x:v>기존 엑셀값</x:v>
      </x:c>
      <x:c r="H29" s="89"/>
      <x:c r="I29" s="89"/>
      <x:c r="J29" s="89"/>
      <x:c r="K29" s="88" t="str">
        <x:v>단일/없음</x:v>
      </x:c>
      <x:c r="L29" s="88" t="str"/>
    </x:row>
    <x:row r="30">
      <x:c r="A30" s="88" t="n">
        <x:v>3</x:v>
      </x:c>
      <x:c r="B30" s="88" t="str">
        <x:v>S03_PSJ</x:v>
      </x:c>
      <x:c r="C30" s="88" t="n">
        <x:v>20</x:v>
      </x:c>
      <x:c r="D30" s="88" t="str">
        <x:v>M06</x:v>
      </x:c>
      <x:c r="E30" s="88" t="str">
        <x:v>3-1 종료</x:v>
      </x:c>
      <x:c r="F30" s="96" t="n">
        <x:v>736</x:v>
      </x:c>
      <x:c r="G30" s="89" t="str">
        <x:v>기존 엑셀값</x:v>
      </x:c>
      <x:c r="H30" s="89" t="n">
        <x:v>750.1</x:v>
      </x:c>
      <x:c r="I30" s="89"/>
      <x:c r="J30" s="89"/>
      <x:c r="K30" s="88" t="str">
        <x:v>단일/없음</x:v>
      </x:c>
      <x:c r="L30" s="88" t="str"/>
    </x:row>
    <x:row r="31">
      <x:c r="A31" s="88" t="n">
        <x:v>3</x:v>
      </x:c>
      <x:c r="B31" s="88" t="str">
        <x:v>S03_PSJ</x:v>
      </x:c>
      <x:c r="C31" s="88" t="n">
        <x:v>20</x:v>
      </x:c>
      <x:c r="D31" s="88" t="str">
        <x:v>M07</x:v>
      </x:c>
      <x:c r="E31" s="88" t="str">
        <x:v>3-2 시작</x:v>
      </x:c>
      <x:c r="F31" s="96"/>
      <x:c r="G31" s="89" t="str">
        <x:v>기존 엑셀값</x:v>
      </x:c>
      <x:c r="H31" s="89"/>
      <x:c r="I31" s="89"/>
      <x:c r="J31" s="89"/>
      <x:c r="K31" s="88" t="str">
        <x:v>단일/없음</x:v>
      </x:c>
      <x:c r="L31" s="88" t="str"/>
    </x:row>
    <x:row r="32">
      <x:c r="A32" s="88" t="n">
        <x:v>3</x:v>
      </x:c>
      <x:c r="B32" s="88" t="str">
        <x:v>S03_PSJ</x:v>
      </x:c>
      <x:c r="C32" s="88" t="n">
        <x:v>20</x:v>
      </x:c>
      <x:c r="D32" s="88" t="str">
        <x:v>M08</x:v>
      </x:c>
      <x:c r="E32" s="88" t="str">
        <x:v>3-2 종료</x:v>
      </x:c>
      <x:c r="F32" s="96"/>
      <x:c r="G32" s="89" t="str">
        <x:v>기존 엑셀값</x:v>
      </x:c>
      <x:c r="H32" s="89"/>
      <x:c r="I32" s="89"/>
      <x:c r="J32" s="89"/>
      <x:c r="K32" s="88" t="str">
        <x:v>단일/없음</x:v>
      </x:c>
      <x:c r="L32" s="88" t="str"/>
    </x:row>
    <x:row r="33">
      <x:c r="A33" s="88" t="n">
        <x:v>3</x:v>
      </x:c>
      <x:c r="B33" s="88" t="str">
        <x:v>S03_PSJ</x:v>
      </x:c>
      <x:c r="C33" s="88" t="n">
        <x:v>20</x:v>
      </x:c>
      <x:c r="D33" s="88" t="str">
        <x:v>M09</x:v>
      </x:c>
      <x:c r="E33" s="88" t="str">
        <x:v>4-1 시작</x:v>
      </x:c>
      <x:c r="F33" s="96" t="n">
        <x:v>934</x:v>
      </x:c>
      <x:c r="G33" s="89" t="str">
        <x:v>기존 엑셀값</x:v>
      </x:c>
      <x:c r="H33" s="89" t="n">
        <x:v>930.6279999999999</x:v>
      </x:c>
      <x:c r="I33" s="89"/>
      <x:c r="J33" s="89"/>
      <x:c r="K33" s="88" t="str">
        <x:v>단일/없음</x:v>
      </x:c>
      <x:c r="L33" s="88" t="str"/>
    </x:row>
    <x:row r="34">
      <x:c r="A34" s="88" t="n">
        <x:v>3</x:v>
      </x:c>
      <x:c r="B34" s="88" t="str">
        <x:v>S03_PSJ</x:v>
      </x:c>
      <x:c r="C34" s="88" t="n">
        <x:v>20</x:v>
      </x:c>
      <x:c r="D34" s="88" t="str">
        <x:v>M10</x:v>
      </x:c>
      <x:c r="E34" s="88" t="str">
        <x:v>4-1 종료</x:v>
      </x:c>
      <x:c r="F34" s="96" t="n">
        <x:v>945</x:v>
      </x:c>
      <x:c r="G34" s="89" t="str">
        <x:v>기존 엑셀값</x:v>
      </x:c>
      <x:c r="H34" s="89" t="n">
        <x:v>951.784</x:v>
      </x:c>
      <x:c r="I34" s="103" t="n">
        <x:v>930.6279999999999</x:v>
      </x:c>
      <x:c r="J34" s="89"/>
      <x:c r="K34" s="88" t="str">
        <x:v>단일/없음</x:v>
      </x:c>
      <x:c r="L34" s="88" t="str"/>
    </x:row>
    <x:row r="35">
      <x:c r="A35" s="88" t="n">
        <x:v>3</x:v>
      </x:c>
      <x:c r="B35" s="88" t="str">
        <x:v>S03_PSJ</x:v>
      </x:c>
      <x:c r="C35" s="88" t="n">
        <x:v>20</x:v>
      </x:c>
      <x:c r="D35" s="88" t="str">
        <x:v>M11</x:v>
      </x:c>
      <x:c r="E35" s="88" t="str">
        <x:v>4-2 시작</x:v>
      </x:c>
      <x:c r="F35" s="96" t="n">
        <x:v>971</x:v>
      </x:c>
      <x:c r="G35" s="89" t="str">
        <x:v>기존 엑셀값</x:v>
      </x:c>
      <x:c r="H35" s="89" t="n">
        <x:v>968.732</x:v>
      </x:c>
      <x:c r="I35" s="89"/>
      <x:c r="J35" s="89"/>
      <x:c r="K35" s="88" t="str">
        <x:v>단일/없음</x:v>
      </x:c>
      <x:c r="L35" s="88" t="str"/>
    </x:row>
    <x:row r="36">
      <x:c r="A36" s="88" t="n">
        <x:v>3</x:v>
      </x:c>
      <x:c r="B36" s="88" t="str">
        <x:v>S03_PSJ</x:v>
      </x:c>
      <x:c r="C36" s="88" t="n">
        <x:v>20</x:v>
      </x:c>
      <x:c r="D36" s="88" t="str">
        <x:v>M12</x:v>
      </x:c>
      <x:c r="E36" s="88" t="str">
        <x:v>4-2 종료</x:v>
      </x:c>
      <x:c r="F36" s="96" t="n">
        <x:v>1010</x:v>
      </x:c>
      <x:c r="G36" s="89" t="str">
        <x:v>기존 엑셀값</x:v>
      </x:c>
      <x:c r="H36" s="89" t="n">
        <x:v>1012.292</x:v>
      </x:c>
      <x:c r="I36" s="103" t="n">
        <x:v>1024.2640000000001</x:v>
      </x:c>
      <x:c r="J36" s="89"/>
      <x:c r="K36" s="88" t="str">
        <x:v>단일/없음</x:v>
      </x:c>
      <x:c r="L36" s="88" t="str"/>
    </x:row>
    <x:row r="37">
      <x:c r="A37" s="88" t="n">
        <x:v>3</x:v>
      </x:c>
      <x:c r="B37" s="88" t="str">
        <x:v>S03_PSJ</x:v>
      </x:c>
      <x:c r="C37" s="88" t="n">
        <x:v>20</x:v>
      </x:c>
      <x:c r="D37" s="88" t="str">
        <x:v>M13</x:v>
      </x:c>
      <x:c r="E37" s="88" t="str">
        <x:v>4-3 시작</x:v>
      </x:c>
      <x:c r="F37" s="96" t="n">
        <x:v>1028</x:v>
      </x:c>
      <x:c r="G37" s="89" t="str">
        <x:v>기존 엑셀값</x:v>
      </x:c>
      <x:c r="H37" s="89" t="n">
        <x:v>1024.2640000000001</x:v>
      </x:c>
      <x:c r="I37" s="89"/>
      <x:c r="J37" s="89"/>
      <x:c r="K37" s="88" t="str">
        <x:v>단일/없음</x:v>
      </x:c>
      <x:c r="L37" s="88" t="str"/>
    </x:row>
    <x:row r="38">
      <x:c r="A38" s="88" t="n">
        <x:v>3</x:v>
      </x:c>
      <x:c r="B38" s="88" t="str">
        <x:v>S03_PSJ</x:v>
      </x:c>
      <x:c r="C38" s="88" t="n">
        <x:v>20</x:v>
      </x:c>
      <x:c r="D38" s="88" t="str">
        <x:v>M14</x:v>
      </x:c>
      <x:c r="E38" s="88" t="str">
        <x:v>4-3 종료</x:v>
      </x:c>
      <x:c r="F38" s="96" t="n">
        <x:v>1072</x:v>
      </x:c>
      <x:c r="G38" s="89" t="str">
        <x:v>기존 엑셀값</x:v>
      </x:c>
      <x:c r="H38" s="89" t="n">
        <x:v>1076.776</x:v>
      </x:c>
      <x:c r="I38" s="89"/>
      <x:c r="J38" s="89"/>
      <x:c r="K38" s="88" t="str">
        <x:v>단일/없음</x:v>
      </x:c>
      <x:c r="L38" s="88" t="str"/>
    </x:row>
    <x:row r="39">
      <x:c r="A39" s="88" t="n">
        <x:v>3</x:v>
      </x:c>
      <x:c r="B39" s="88" t="str">
        <x:v>S03_PSJ</x:v>
      </x:c>
      <x:c r="C39" s="88" t="n">
        <x:v>20</x:v>
      </x:c>
      <x:c r="D39" s="88" t="str">
        <x:v>M15</x:v>
      </x:c>
      <x:c r="E39" s="88" t="str">
        <x:v>5 시작</x:v>
      </x:c>
      <x:c r="F39" s="96" t="n">
        <x:v>1168</x:v>
      </x:c>
      <x:c r="G39" s="89" t="str">
        <x:v>기존 엑셀값</x:v>
      </x:c>
      <x:c r="H39" s="89" t="n">
        <x:v>1168.428</x:v>
      </x:c>
      <x:c r="I39" s="89"/>
      <x:c r="J39" s="89"/>
      <x:c r="K39" s="88" t="str">
        <x:v>단일/없음</x:v>
      </x:c>
      <x:c r="L39" s="88" t="str"/>
    </x:row>
    <x:row r="40">
      <x:c r="A40" s="88" t="n">
        <x:v>3</x:v>
      </x:c>
      <x:c r="B40" s="88" t="str">
        <x:v>S03_PSJ</x:v>
      </x:c>
      <x:c r="C40" s="88" t="n">
        <x:v>20</x:v>
      </x:c>
      <x:c r="D40" s="88" t="str">
        <x:v>M16</x:v>
      </x:c>
      <x:c r="E40" s="88" t="str">
        <x:v>5 종료</x:v>
      </x:c>
      <x:c r="F40" s="96" t="n">
        <x:v>1358</x:v>
      </x:c>
      <x:c r="G40" s="89" t="str">
        <x:v>기존 엑셀값</x:v>
      </x:c>
      <x:c r="H40" s="89" t="n">
        <x:v>1355.4500000000003</x:v>
      </x:c>
      <x:c r="I40" s="89"/>
      <x:c r="J40" s="89"/>
      <x:c r="K40" s="88" t="str">
        <x:v>단일/없음</x:v>
      </x:c>
      <x:c r="L40" s="88" t="str"/>
    </x:row>
    <x:row r="41">
      <x:c r="A41" s="88" t="n">
        <x:v>3</x:v>
      </x:c>
      <x:c r="B41" s="88" t="str">
        <x:v>S03_PSJ</x:v>
      </x:c>
      <x:c r="C41" s="88" t="n">
        <x:v>20</x:v>
      </x:c>
      <x:c r="D41" s="88" t="str">
        <x:v>M17</x:v>
      </x:c>
      <x:c r="E41" s="88" t="str">
        <x:v>6 시작</x:v>
      </x:c>
      <x:c r="F41" s="96" t="n">
        <x:v>1412</x:v>
      </x:c>
      <x:c r="G41" s="89" t="str">
        <x:v>기존 엑셀값</x:v>
      </x:c>
      <x:c r="H41" s="89" t="n">
        <x:v>1411.028</x:v>
      </x:c>
      <x:c r="I41" s="89"/>
      <x:c r="J41" s="89"/>
      <x:c r="K41" s="88" t="str">
        <x:v>단일/없음</x:v>
      </x:c>
      <x:c r="L41" s="88" t="str"/>
    </x:row>
    <x:row r="42">
      <x:c r="A42" s="88" t="n">
        <x:v>3</x:v>
      </x:c>
      <x:c r="B42" s="88" t="str">
        <x:v>S03_PSJ</x:v>
      </x:c>
      <x:c r="C42" s="88" t="n">
        <x:v>20</x:v>
      </x:c>
      <x:c r="D42" s="88" t="str">
        <x:v>M18</x:v>
      </x:c>
      <x:c r="E42" s="88" t="str">
        <x:v>6 종료</x:v>
      </x:c>
      <x:c r="F42" s="96" t="n">
        <x:v>1433</x:v>
      </x:c>
      <x:c r="G42" s="89" t="str">
        <x:v>기존 엑셀값</x:v>
      </x:c>
      <x:c r="H42" s="89" t="n">
        <x:v>1438.928</x:v>
      </x:c>
      <x:c r="I42" s="89"/>
      <x:c r="J42" s="89"/>
      <x:c r="K42" s="88" t="str">
        <x:v>단일/없음</x:v>
      </x:c>
      <x:c r="L42" s="88" t="str"/>
    </x:row>
    <x:row r="43">
      <x:c r="A43" s="88" t="n">
        <x:v>3</x:v>
      </x:c>
      <x:c r="B43" s="88" t="str">
        <x:v>S03_PSJ</x:v>
      </x:c>
      <x:c r="C43" s="88" t="n">
        <x:v>20</x:v>
      </x:c>
      <x:c r="D43" s="88" t="str">
        <x:v>M19</x:v>
      </x:c>
      <x:c r="E43" s="88" t="str">
        <x:v>7 시작</x:v>
      </x:c>
      <x:c r="F43" s="96" t="n">
        <x:v>1466</x:v>
      </x:c>
      <x:c r="G43" s="89" t="str">
        <x:v>기존 엑셀값</x:v>
      </x:c>
      <x:c r="H43" s="89" t="n">
        <x:v>1468.2613333333334</x:v>
      </x:c>
      <x:c r="I43" s="103" t="n">
        <x:v>1479.66</x:v>
      </x:c>
      <x:c r="J43" s="89"/>
      <x:c r="K43" s="88" t="str">
        <x:v>단일/없음</x:v>
      </x:c>
      <x:c r="L43" s="88" t="str"/>
    </x:row>
    <x:row r="44">
      <x:c r="A44" s="88" t="n">
        <x:v>3</x:v>
      </x:c>
      <x:c r="B44" s="88" t="str">
        <x:v>S03_PSJ</x:v>
      </x:c>
      <x:c r="C44" s="88" t="n">
        <x:v>20</x:v>
      </x:c>
      <x:c r="D44" s="88" t="str">
        <x:v>M20</x:v>
      </x:c>
      <x:c r="E44" s="88" t="str">
        <x:v>7 종료</x:v>
      </x:c>
      <x:c r="F44" s="96" t="n">
        <x:v>1478</x:v>
      </x:c>
      <x:c r="G44" s="89" t="str">
        <x:v>기존 엑셀값</x:v>
      </x:c>
      <x:c r="H44" s="89" t="n">
        <x:v>1479.66</x:v>
      </x:c>
      <x:c r="I44" s="103" t="n">
        <x:v>1468.2613333333334</x:v>
      </x:c>
      <x:c r="J44" s="89"/>
      <x:c r="K44" s="88" t="str">
        <x:v>단일/없음</x:v>
      </x:c>
      <x:c r="L44" s="88" t="str"/>
    </x:row>
    <x:row r="45">
      <x:c r="A45" s="88" t="n">
        <x:v>4</x:v>
      </x:c>
      <x:c r="B45" s="88" t="str">
        <x:v>S04_KTW</x:v>
      </x:c>
      <x:c r="C45" s="88" t="n">
        <x:v>22</x:v>
      </x:c>
      <x:c r="D45" s="88" t="str">
        <x:v>M01</x:v>
      </x:c>
      <x:c r="E45" s="88" t="str">
        <x:v>1 시작</x:v>
      </x:c>
      <x:c r="F45" s="104" t="n">
        <x:v>22.63000000000003</x:v>
      </x:c>
      <x:c r="G45" s="89" t="str">
        <x:v>시간패턴 추천(미확정)</x:v>
      </x:c>
      <x:c r="H45" s="89" t="n">
        <x:v>22.63000000000003</x:v>
      </x:c>
      <x:c r="I45" s="103" t="n">
        <x:v>29.35600000000003</x:v>
      </x:c>
      <x:c r="J45" s="89"/>
      <x:c r="K45" s="88" t="str">
        <x:v>단일/없음</x:v>
      </x:c>
      <x:c r="L45" s="88" t="str"/>
    </x:row>
    <x:row r="46">
      <x:c r="A46" s="88" t="n">
        <x:v>4</x:v>
      </x:c>
      <x:c r="B46" s="88" t="str">
        <x:v>S04_KTW</x:v>
      </x:c>
      <x:c r="C46" s="88" t="n">
        <x:v>22</x:v>
      </x:c>
      <x:c r="D46" s="88" t="str">
        <x:v>M02</x:v>
      </x:c>
      <x:c r="E46" s="88" t="str">
        <x:v>1 종료</x:v>
      </x:c>
      <x:c r="F46" s="104" t="n">
        <x:v>223.48000000000002</x:v>
      </x:c>
      <x:c r="G46" s="89" t="str">
        <x:v>시간패턴 추천(미확정)</x:v>
      </x:c>
      <x:c r="H46" s="89" t="n">
        <x:v>223.48000000000002</x:v>
      </x:c>
      <x:c r="I46" s="89"/>
      <x:c r="J46" s="89"/>
      <x:c r="K46" s="88" t="str">
        <x:v>단일/없음</x:v>
      </x:c>
      <x:c r="L46" s="88" t="str"/>
    </x:row>
    <x:row r="47">
      <x:c r="A47" s="88" t="n">
        <x:v>4</x:v>
      </x:c>
      <x:c r="B47" s="88" t="str">
        <x:v>S04_KTW</x:v>
      </x:c>
      <x:c r="C47" s="88" t="n">
        <x:v>22</x:v>
      </x:c>
      <x:c r="D47" s="88" t="str">
        <x:v>M03</x:v>
      </x:c>
      <x:c r="E47" s="88" t="str">
        <x:v>2 시작</x:v>
      </x:c>
      <x:c r="F47" s="104" t="n">
        <x:v>274.189</x:v>
      </x:c>
      <x:c r="G47" s="89" t="str">
        <x:v>시간패턴 추천(미확정)</x:v>
      </x:c>
      <x:c r="H47" s="89" t="n">
        <x:v>274.189</x:v>
      </x:c>
      <x:c r="I47" s="89"/>
      <x:c r="J47" s="89"/>
      <x:c r="K47" s="88" t="str">
        <x:v>단일/없음</x:v>
      </x:c>
      <x:c r="L47" s="88" t="str"/>
    </x:row>
    <x:row r="48">
      <x:c r="A48" s="88" t="n">
        <x:v>4</x:v>
      </x:c>
      <x:c r="B48" s="88" t="str">
        <x:v>S04_KTW</x:v>
      </x:c>
      <x:c r="C48" s="88" t="n">
        <x:v>22</x:v>
      </x:c>
      <x:c r="D48" s="88" t="str">
        <x:v>M04</x:v>
      </x:c>
      <x:c r="E48" s="88" t="str">
        <x:v>2 종료</x:v>
      </x:c>
      <x:c r="F48" s="104" t="n">
        <x:v>647.2239999999999</x:v>
      </x:c>
      <x:c r="G48" s="89" t="str">
        <x:v>시간패턴 추천(미확정)</x:v>
      </x:c>
      <x:c r="H48" s="89" t="n">
        <x:v>647.2239999999999</x:v>
      </x:c>
      <x:c r="I48" s="89"/>
      <x:c r="J48" s="89"/>
      <x:c r="K48" s="88" t="str">
        <x:v>단일/없음</x:v>
      </x:c>
      <x:c r="L48" s="88" t="str"/>
    </x:row>
    <x:row r="49">
      <x:c r="A49" s="88" t="n">
        <x:v>4</x:v>
      </x:c>
      <x:c r="B49" s="88" t="str">
        <x:v>S04_KTW</x:v>
      </x:c>
      <x:c r="C49" s="88" t="n">
        <x:v>22</x:v>
      </x:c>
      <x:c r="D49" s="88" t="str">
        <x:v>M05</x:v>
      </x:c>
      <x:c r="E49" s="88" t="str">
        <x:v>3-1 시작</x:v>
      </x:c>
      <x:c r="F49" s="104" t="n">
        <x:v>764.024</x:v>
      </x:c>
      <x:c r="G49" s="89" t="str">
        <x:v>시간패턴 추천(미확정)</x:v>
      </x:c>
      <x:c r="H49" s="89" t="n">
        <x:v>764.024</x:v>
      </x:c>
      <x:c r="I49" s="103" t="n">
        <x:v>774.656</x:v>
      </x:c>
      <x:c r="J49" s="89"/>
      <x:c r="K49" s="88" t="str">
        <x:v>단일/없음</x:v>
      </x:c>
      <x:c r="L49" s="88" t="str"/>
    </x:row>
    <x:row r="50">
      <x:c r="A50" s="88" t="n">
        <x:v>4</x:v>
      </x:c>
      <x:c r="B50" s="88" t="str">
        <x:v>S04_KTW</x:v>
      </x:c>
      <x:c r="C50" s="88" t="n">
        <x:v>22</x:v>
      </x:c>
      <x:c r="D50" s="88" t="str">
        <x:v>M06</x:v>
      </x:c>
      <x:c r="E50" s="88" t="str">
        <x:v>3-1 종료</x:v>
      </x:c>
      <x:c r="F50" s="104" t="n">
        <x:v>774.656</x:v>
      </x:c>
      <x:c r="G50" s="89" t="str">
        <x:v>시간패턴 추천(미확정)</x:v>
      </x:c>
      <x:c r="H50" s="89" t="n">
        <x:v>774.656</x:v>
      </x:c>
      <x:c r="I50" s="103" t="n">
        <x:v>779.084</x:v>
      </x:c>
      <x:c r="J50" s="103" t="n">
        <x:v>764.024</x:v>
      </x:c>
      <x:c r="K50" s="98" t="str">
        <x:v>애매</x:v>
      </x:c>
      <x:c r="L50" s="88" t="str"/>
    </x:row>
    <x:row r="51">
      <x:c r="A51" s="88" t="n">
        <x:v>4</x:v>
      </x:c>
      <x:c r="B51" s="88" t="str">
        <x:v>S04_KTW</x:v>
      </x:c>
      <x:c r="C51" s="88" t="n">
        <x:v>22</x:v>
      </x:c>
      <x:c r="D51" s="88" t="str">
        <x:v>M07</x:v>
      </x:c>
      <x:c r="E51" s="88" t="str">
        <x:v>3-2 시작</x:v>
      </x:c>
      <x:c r="F51" s="104" t="n">
        <x:v>779.084</x:v>
      </x:c>
      <x:c r="G51" s="89" t="str">
        <x:v>시간패턴 추천(미확정)</x:v>
      </x:c>
      <x:c r="H51" s="89" t="n">
        <x:v>779.084</x:v>
      </x:c>
      <x:c r="I51" s="103" t="n">
        <x:v>774.656</x:v>
      </x:c>
      <x:c r="J51" s="89"/>
      <x:c r="K51" s="98" t="str">
        <x:v>애매</x:v>
      </x:c>
      <x:c r="L51" s="88" t="str"/>
    </x:row>
    <x:row r="52">
      <x:c r="A52" s="88" t="n">
        <x:v>4</x:v>
      </x:c>
      <x:c r="B52" s="88" t="str">
        <x:v>S04_KTW</x:v>
      </x:c>
      <x:c r="C52" s="88" t="n">
        <x:v>22</x:v>
      </x:c>
      <x:c r="D52" s="88" t="str">
        <x:v>M08</x:v>
      </x:c>
      <x:c r="E52" s="88" t="str">
        <x:v>3-2 종료</x:v>
      </x:c>
      <x:c r="F52" s="104" t="n">
        <x:v>794.786</x:v>
      </x:c>
      <x:c r="G52" s="89" t="str">
        <x:v>시간패턴 추천(미확정)</x:v>
      </x:c>
      <x:c r="H52" s="89" t="n">
        <x:v>794.786</x:v>
      </x:c>
      <x:c r="I52" s="89"/>
      <x:c r="J52" s="89"/>
      <x:c r="K52" s="88" t="str">
        <x:v>단일/없음</x:v>
      </x:c>
      <x:c r="L52" s="88" t="str"/>
    </x:row>
    <x:row r="53">
      <x:c r="A53" s="88" t="n">
        <x:v>4</x:v>
      </x:c>
      <x:c r="B53" s="88" t="str">
        <x:v>S04_KTW</x:v>
      </x:c>
      <x:c r="C53" s="88" t="n">
        <x:v>22</x:v>
      </x:c>
      <x:c r="D53" s="88" t="str">
        <x:v>M09</x:v>
      </x:c>
      <x:c r="E53" s="88" t="str">
        <x:v>4-1 시작</x:v>
      </x:c>
      <x:c r="F53" s="104" t="n">
        <x:v>898.178</x:v>
      </x:c>
      <x:c r="G53" s="89" t="str">
        <x:v>시간패턴 추천(미확정)</x:v>
      </x:c>
      <x:c r="H53" s="89" t="n">
        <x:v>898.178</x:v>
      </x:c>
      <x:c r="I53" s="103" t="n">
        <x:v>902.7959999999999</x:v>
      </x:c>
      <x:c r="J53" s="89"/>
      <x:c r="K53" s="98" t="str">
        <x:v>애매</x:v>
      </x:c>
      <x:c r="L53" s="88" t="str"/>
    </x:row>
    <x:row r="54">
      <x:c r="A54" s="88" t="n">
        <x:v>4</x:v>
      </x:c>
      <x:c r="B54" s="88" t="str">
        <x:v>S04_KTW</x:v>
      </x:c>
      <x:c r="C54" s="88" t="n">
        <x:v>22</x:v>
      </x:c>
      <x:c r="D54" s="88" t="str">
        <x:v>M10</x:v>
      </x:c>
      <x:c r="E54" s="88" t="str">
        <x:v>4-1 종료</x:v>
      </x:c>
      <x:c r="F54" s="104" t="n">
        <x:v>902.7959999999999</x:v>
      </x:c>
      <x:c r="G54" s="89" t="str">
        <x:v>시간패턴 추천(미확정)</x:v>
      </x:c>
      <x:c r="H54" s="89" t="n">
        <x:v>902.7959999999999</x:v>
      </x:c>
      <x:c r="I54" s="103" t="n">
        <x:v>898.178</x:v>
      </x:c>
      <x:c r="J54" s="103" t="n">
        <x:v>914.2099999999999</x:v>
      </x:c>
      <x:c r="K54" s="98" t="str">
        <x:v>애매</x:v>
      </x:c>
      <x:c r="L54" s="88" t="str"/>
    </x:row>
    <x:row r="55">
      <x:c r="A55" s="88" t="n">
        <x:v>4</x:v>
      </x:c>
      <x:c r="B55" s="88" t="str">
        <x:v>S04_KTW</x:v>
      </x:c>
      <x:c r="C55" s="88" t="n">
        <x:v>22</x:v>
      </x:c>
      <x:c r="D55" s="88" t="str">
        <x:v>M11</x:v>
      </x:c>
      <x:c r="E55" s="88" t="str">
        <x:v>4-2 시작</x:v>
      </x:c>
      <x:c r="F55" s="104" t="n">
        <x:v>914.2099999999999</x:v>
      </x:c>
      <x:c r="G55" s="89" t="str">
        <x:v>시간패턴 추천(미확정)</x:v>
      </x:c>
      <x:c r="H55" s="89" t="n">
        <x:v>914.2099999999999</x:v>
      </x:c>
      <x:c r="I55" s="103" t="n">
        <x:v>902.7959999999999</x:v>
      </x:c>
      <x:c r="J55" s="89"/>
      <x:c r="K55" s="88" t="str">
        <x:v>단일/없음</x:v>
      </x:c>
      <x:c r="L55" s="88" t="str"/>
    </x:row>
    <x:row r="56">
      <x:c r="A56" s="88" t="n">
        <x:v>4</x:v>
      </x:c>
      <x:c r="B56" s="88" t="str">
        <x:v>S04_KTW</x:v>
      </x:c>
      <x:c r="C56" s="88" t="n">
        <x:v>22</x:v>
      </x:c>
      <x:c r="D56" s="88" t="str">
        <x:v>M12</x:v>
      </x:c>
      <x:c r="E56" s="88" t="str">
        <x:v>4-2 종료</x:v>
      </x:c>
      <x:c r="F56" s="104" t="n">
        <x:v>931.2773333333333</x:v>
      </x:c>
      <x:c r="G56" s="89" t="str">
        <x:v>시간패턴 추천(미확정)</x:v>
      </x:c>
      <x:c r="H56" s="89" t="n">
        <x:v>931.2773333333333</x:v>
      </x:c>
      <x:c r="I56" s="89"/>
      <x:c r="J56" s="89"/>
      <x:c r="K56" s="88" t="str">
        <x:v>단일/없음</x:v>
      </x:c>
      <x:c r="L56" s="88" t="str"/>
    </x:row>
    <x:row r="57">
      <x:c r="A57" s="88" t="n">
        <x:v>4</x:v>
      </x:c>
      <x:c r="B57" s="88" t="str">
        <x:v>S04_KTW</x:v>
      </x:c>
      <x:c r="C57" s="88" t="n">
        <x:v>22</x:v>
      </x:c>
      <x:c r="D57" s="88" t="str">
        <x:v>M13</x:v>
      </x:c>
      <x:c r="E57" s="88" t="str">
        <x:v>4-3 시작</x:v>
      </x:c>
      <x:c r="F57" s="104" t="n">
        <x:v>976.98</x:v>
      </x:c>
      <x:c r="G57" s="89" t="str">
        <x:v>시간패턴 추천(미확정)</x:v>
      </x:c>
      <x:c r="H57" s="89" t="n">
        <x:v>976.98</x:v>
      </x:c>
      <x:c r="I57" s="89"/>
      <x:c r="J57" s="89"/>
      <x:c r="K57" s="88" t="str">
        <x:v>단일/없음</x:v>
      </x:c>
      <x:c r="L57" s="88" t="str"/>
    </x:row>
    <x:row r="58">
      <x:c r="A58" s="88" t="n">
        <x:v>4</x:v>
      </x:c>
      <x:c r="B58" s="88" t="str">
        <x:v>S04_KTW</x:v>
      </x:c>
      <x:c r="C58" s="88" t="n">
        <x:v>22</x:v>
      </x:c>
      <x:c r="D58" s="88" t="str">
        <x:v>M14</x:v>
      </x:c>
      <x:c r="E58" s="88" t="str">
        <x:v>4-3 종료</x:v>
      </x:c>
      <x:c r="F58" s="104" t="n">
        <x:v>992.3439999999999</x:v>
      </x:c>
      <x:c r="G58" s="89" t="str">
        <x:v>시간패턴 추천(미확정)</x:v>
      </x:c>
      <x:c r="H58" s="89" t="n">
        <x:v>992.3439999999999</x:v>
      </x:c>
      <x:c r="I58" s="89"/>
      <x:c r="J58" s="89"/>
      <x:c r="K58" s="88" t="str">
        <x:v>단일/없음</x:v>
      </x:c>
      <x:c r="L58" s="88" t="str"/>
    </x:row>
    <x:row r="59">
      <x:c r="A59" s="88" t="n">
        <x:v>4</x:v>
      </x:c>
      <x:c r="B59" s="88" t="str">
        <x:v>S04_KTW</x:v>
      </x:c>
      <x:c r="C59" s="88" t="n">
        <x:v>22</x:v>
      </x:c>
      <x:c r="D59" s="88" t="str">
        <x:v>M15</x:v>
      </x:c>
      <x:c r="E59" s="88" t="str">
        <x:v>4-4 시작</x:v>
      </x:c>
      <x:c r="F59" s="104" t="n">
        <x:v>1042.718</x:v>
      </x:c>
      <x:c r="G59" s="89" t="str">
        <x:v>시간패턴 추천(미확정)</x:v>
      </x:c>
      <x:c r="H59" s="89" t="n">
        <x:v>1042.718</x:v>
      </x:c>
      <x:c r="I59" s="89"/>
      <x:c r="J59" s="89"/>
      <x:c r="K59" s="88" t="str">
        <x:v>단일/없음</x:v>
      </x:c>
      <x:c r="L59" s="88" t="str"/>
    </x:row>
    <x:row r="60">
      <x:c r="A60" s="88" t="n">
        <x:v>4</x:v>
      </x:c>
      <x:c r="B60" s="88" t="str">
        <x:v>S04_KTW</x:v>
      </x:c>
      <x:c r="C60" s="88" t="n">
        <x:v>22</x:v>
      </x:c>
      <x:c r="D60" s="88" t="str">
        <x:v>M16</x:v>
      </x:c>
      <x:c r="E60" s="88" t="str">
        <x:v>4-4 종료</x:v>
      </x:c>
      <x:c r="F60" s="104" t="n">
        <x:v>1059.2240000000002</x:v>
      </x:c>
      <x:c r="G60" s="89" t="str">
        <x:v>시간패턴 추천(미확정)</x:v>
      </x:c>
      <x:c r="H60" s="89" t="n">
        <x:v>1059.2240000000002</x:v>
      </x:c>
      <x:c r="I60" s="103" t="n">
        <x:v>1074.0400000000002</x:v>
      </x:c>
      <x:c r="J60" s="89"/>
      <x:c r="K60" s="88" t="str">
        <x:v>단일/없음</x:v>
      </x:c>
      <x:c r="L60" s="88" t="str"/>
    </x:row>
    <x:row r="61">
      <x:c r="A61" s="88" t="n">
        <x:v>4</x:v>
      </x:c>
      <x:c r="B61" s="88" t="str">
        <x:v>S04_KTW</x:v>
      </x:c>
      <x:c r="C61" s="88" t="n">
        <x:v>22</x:v>
      </x:c>
      <x:c r="D61" s="88" t="str">
        <x:v>M17</x:v>
      </x:c>
      <x:c r="E61" s="88" t="str">
        <x:v>5 시작</x:v>
      </x:c>
      <x:c r="F61" s="104" t="n">
        <x:v>1074.0400000000002</x:v>
      </x:c>
      <x:c r="G61" s="89" t="str">
        <x:v>시간패턴 추천(미확정)</x:v>
      </x:c>
      <x:c r="H61" s="89" t="n">
        <x:v>1074.0400000000002</x:v>
      </x:c>
      <x:c r="I61" s="103" t="n">
        <x:v>1059.2240000000002</x:v>
      </x:c>
      <x:c r="J61" s="89"/>
      <x:c r="K61" s="88" t="str">
        <x:v>단일/없음</x:v>
      </x:c>
      <x:c r="L61" s="88" t="str"/>
    </x:row>
    <x:row r="62">
      <x:c r="A62" s="88" t="n">
        <x:v>4</x:v>
      </x:c>
      <x:c r="B62" s="88" t="str">
        <x:v>S04_KTW</x:v>
      </x:c>
      <x:c r="C62" s="88" t="n">
        <x:v>22</x:v>
      </x:c>
      <x:c r="D62" s="88" t="str">
        <x:v>M18</x:v>
      </x:c>
      <x:c r="E62" s="88" t="str">
        <x:v>5 종료</x:v>
      </x:c>
      <x:c r="F62" s="104" t="n">
        <x:v>1143.382</x:v>
      </x:c>
      <x:c r="G62" s="89" t="str">
        <x:v>시간패턴 추천(미확정)</x:v>
      </x:c>
      <x:c r="H62" s="89" t="n">
        <x:v>1143.382</x:v>
      </x:c>
      <x:c r="I62" s="89"/>
      <x:c r="J62" s="89"/>
      <x:c r="K62" s="88" t="str">
        <x:v>단일/없음</x:v>
      </x:c>
      <x:c r="L62" s="88" t="str"/>
    </x:row>
    <x:row r="63">
      <x:c r="A63" s="88" t="n">
        <x:v>4</x:v>
      </x:c>
      <x:c r="B63" s="88" t="str">
        <x:v>S04_KTW</x:v>
      </x:c>
      <x:c r="C63" s="88" t="n">
        <x:v>22</x:v>
      </x:c>
      <x:c r="D63" s="88" t="str">
        <x:v>M19</x:v>
      </x:c>
      <x:c r="E63" s="88" t="str">
        <x:v>6 시작</x:v>
      </x:c>
      <x:c r="F63" s="104" t="n">
        <x:v>1165.756</x:v>
      </x:c>
      <x:c r="G63" s="89" t="str">
        <x:v>시간패턴 추천(미확정)</x:v>
      </x:c>
      <x:c r="H63" s="89" t="n">
        <x:v>1165.756</x:v>
      </x:c>
      <x:c r="I63" s="89"/>
      <x:c r="J63" s="89"/>
      <x:c r="K63" s="88" t="str">
        <x:v>단일/없음</x:v>
      </x:c>
      <x:c r="L63" s="88" t="str"/>
    </x:row>
    <x:row r="64">
      <x:c r="A64" s="88" t="n">
        <x:v>4</x:v>
      </x:c>
      <x:c r="B64" s="88" t="str">
        <x:v>S04_KTW</x:v>
      </x:c>
      <x:c r="C64" s="88" t="n">
        <x:v>22</x:v>
      </x:c>
      <x:c r="D64" s="88" t="str">
        <x:v>M20</x:v>
      </x:c>
      <x:c r="E64" s="88" t="str">
        <x:v>6 종료</x:v>
      </x:c>
      <x:c r="F64" s="104" t="n">
        <x:v>1185.46</x:v>
      </x:c>
      <x:c r="G64" s="89" t="str">
        <x:v>시간패턴 추천(미확정)</x:v>
      </x:c>
      <x:c r="H64" s="89" t="n">
        <x:v>1185.46</x:v>
      </x:c>
      <x:c r="I64" s="89"/>
      <x:c r="J64" s="89"/>
      <x:c r="K64" s="88" t="str">
        <x:v>단일/없음</x:v>
      </x:c>
      <x:c r="L64" s="88" t="str"/>
    </x:row>
    <x:row r="65">
      <x:c r="A65" s="88" t="n">
        <x:v>4</x:v>
      </x:c>
      <x:c r="B65" s="88" t="str">
        <x:v>S04_KTW</x:v>
      </x:c>
      <x:c r="C65" s="88" t="n">
        <x:v>22</x:v>
      </x:c>
      <x:c r="D65" s="88" t="str">
        <x:v>M21</x:v>
      </x:c>
      <x:c r="E65" s="88" t="str">
        <x:v>7 시작</x:v>
      </x:c>
      <x:c r="F65" s="104" t="n">
        <x:v>1228.478</x:v>
      </x:c>
      <x:c r="G65" s="89" t="str">
        <x:v>시간패턴 추천(미확정)</x:v>
      </x:c>
      <x:c r="H65" s="89" t="n">
        <x:v>1228.478</x:v>
      </x:c>
      <x:c r="I65" s="89"/>
      <x:c r="J65" s="89"/>
      <x:c r="K65" s="88" t="str">
        <x:v>단일/없음</x:v>
      </x:c>
      <x:c r="L65" s="88" t="str"/>
    </x:row>
    <x:row r="66">
      <x:c r="A66" s="88" t="n">
        <x:v>4</x:v>
      </x:c>
      <x:c r="B66" s="88" t="str">
        <x:v>S04_KTW</x:v>
      </x:c>
      <x:c r="C66" s="88" t="n">
        <x:v>22</x:v>
      </x:c>
      <x:c r="D66" s="88" t="str">
        <x:v>M22</x:v>
      </x:c>
      <x:c r="E66" s="88" t="str">
        <x:v>7 종료</x:v>
      </x:c>
      <x:c r="F66" s="104" t="n">
        <x:v>1762.66</x:v>
      </x:c>
      <x:c r="G66" s="89" t="str">
        <x:v>시간패턴 추천(미확정)</x:v>
      </x:c>
      <x:c r="H66" s="89" t="n">
        <x:v>1762.66</x:v>
      </x:c>
      <x:c r="I66" s="89"/>
      <x:c r="J66" s="89"/>
      <x:c r="K66" s="88" t="str">
        <x:v>단일/없음</x:v>
      </x:c>
      <x:c r="L66" s="88" t="str"/>
    </x:row>
    <x:row r="67">
      <x:c r="A67" s="88" t="n">
        <x:v>5</x:v>
      </x:c>
      <x:c r="B67" s="88" t="str">
        <x:v>S05_LHS</x:v>
      </x:c>
      <x:c r="C67" s="88" t="n">
        <x:v>22</x:v>
      </x:c>
      <x:c r="D67" s="88" t="str">
        <x:v>M01</x:v>
      </x:c>
      <x:c r="E67" s="88" t="str">
        <x:v>1 시작</x:v>
      </x:c>
      <x:c r="F67" s="96" t="n">
        <x:v>15</x:v>
      </x:c>
      <x:c r="G67" s="89" t="str">
        <x:v>$2 최종 선택</x:v>
      </x:c>
      <x:c r="H67" s="89" t="n">
        <x:v>14.874000000000066</x:v>
      </x:c>
      <x:c r="I67" s="89"/>
      <x:c r="J67" s="89"/>
      <x:c r="K67" s="88" t="str">
        <x:v>단일/없음</x:v>
      </x:c>
      <x:c r="L67" s="88" t="str"/>
    </x:row>
    <x:row r="68">
      <x:c r="A68" s="88" t="n">
        <x:v>5</x:v>
      </x:c>
      <x:c r="B68" s="88" t="str">
        <x:v>S05_LHS</x:v>
      </x:c>
      <x:c r="C68" s="88" t="n">
        <x:v>22</x:v>
      </x:c>
      <x:c r="D68" s="88" t="str">
        <x:v>M02</x:v>
      </x:c>
      <x:c r="E68" s="88" t="str">
        <x:v>1 종료</x:v>
      </x:c>
      <x:c r="F68" s="96" t="n">
        <x:v>210</x:v>
      </x:c>
      <x:c r="G68" s="89" t="str">
        <x:v>$2 최종 선택</x:v>
      </x:c>
      <x:c r="H68" s="89" t="n">
        <x:v>209.65200000000004</x:v>
      </x:c>
      <x:c r="I68" s="89"/>
      <x:c r="J68" s="89"/>
      <x:c r="K68" s="88" t="str">
        <x:v>단일/없음</x:v>
      </x:c>
      <x:c r="L68" s="88" t="str"/>
    </x:row>
    <x:row r="69">
      <x:c r="A69" s="88" t="n">
        <x:v>5</x:v>
      </x:c>
      <x:c r="B69" s="88" t="str">
        <x:v>S05_LHS</x:v>
      </x:c>
      <x:c r="C69" s="88" t="n">
        <x:v>22</x:v>
      </x:c>
      <x:c r="D69" s="88" t="str">
        <x:v>M03</x:v>
      </x:c>
      <x:c r="E69" s="88" t="str">
        <x:v>2 시작</x:v>
      </x:c>
      <x:c r="F69" s="96" t="n">
        <x:v>241</x:v>
      </x:c>
      <x:c r="G69" s="89" t="str">
        <x:v>$2 최종 선택</x:v>
      </x:c>
      <x:c r="H69" s="89" t="n">
        <x:v>240.99200000000005</x:v>
      </x:c>
      <x:c r="I69" s="89"/>
      <x:c r="J69" s="89"/>
      <x:c r="K69" s="88" t="str">
        <x:v>단일/없음</x:v>
      </x:c>
      <x:c r="L69" s="88" t="str"/>
    </x:row>
    <x:row r="70">
      <x:c r="A70" s="88" t="n">
        <x:v>5</x:v>
      </x:c>
      <x:c r="B70" s="88" t="str">
        <x:v>S05_LHS</x:v>
      </x:c>
      <x:c r="C70" s="88" t="n">
        <x:v>22</x:v>
      </x:c>
      <x:c r="D70" s="88" t="str">
        <x:v>M04</x:v>
      </x:c>
      <x:c r="E70" s="88" t="str">
        <x:v>2 종료</x:v>
      </x:c>
      <x:c r="F70" s="96" t="n">
        <x:v>612</x:v>
      </x:c>
      <x:c r="G70" s="89" t="str">
        <x:v>$2 최종 선택</x:v>
      </x:c>
      <x:c r="H70" s="89" t="n">
        <x:v>612.2900000000001</x:v>
      </x:c>
      <x:c r="I70" s="103" t="n">
        <x:v>619.6480000000001</x:v>
      </x:c>
      <x:c r="J70" s="89"/>
      <x:c r="K70" s="88" t="str">
        <x:v>단일/없음</x:v>
      </x:c>
      <x:c r="L70" s="88" t="str"/>
    </x:row>
    <x:row r="71">
      <x:c r="A71" s="88" t="n">
        <x:v>5</x:v>
      </x:c>
      <x:c r="B71" s="88" t="str">
        <x:v>S05_LHS</x:v>
      </x:c>
      <x:c r="C71" s="88" t="n">
        <x:v>22</x:v>
      </x:c>
      <x:c r="D71" s="88" t="str">
        <x:v>M05</x:v>
      </x:c>
      <x:c r="E71" s="88" t="str">
        <x:v>3-1 시작</x:v>
      </x:c>
      <x:c r="F71" s="96" t="n">
        <x:v>620</x:v>
      </x:c>
      <x:c r="G71" s="89" t="str">
        <x:v>$2 최종 선택</x:v>
      </x:c>
      <x:c r="H71" s="89" t="n">
        <x:v>619.6480000000001</x:v>
      </x:c>
      <x:c r="I71" s="103" t="n">
        <x:v>612.2900000000001</x:v>
      </x:c>
      <x:c r="J71" s="89"/>
      <x:c r="K71" s="88" t="str">
        <x:v>단일/없음</x:v>
      </x:c>
      <x:c r="L71" s="88" t="str"/>
    </x:row>
    <x:row r="72">
      <x:c r="A72" s="88" t="n">
        <x:v>5</x:v>
      </x:c>
      <x:c r="B72" s="88" t="str">
        <x:v>S05_LHS</x:v>
      </x:c>
      <x:c r="C72" s="88" t="n">
        <x:v>22</x:v>
      </x:c>
      <x:c r="D72" s="88" t="str">
        <x:v>M06</x:v>
      </x:c>
      <x:c r="E72" s="88" t="str">
        <x:v>3-1 종료</x:v>
      </x:c>
      <x:c r="F72" s="96" t="n">
        <x:v>656</x:v>
      </x:c>
      <x:c r="G72" s="89" t="str">
        <x:v>$2 최종 선택</x:v>
      </x:c>
      <x:c r="H72" s="89" t="n">
        <x:v>655.5200000000001</x:v>
      </x:c>
      <x:c r="I72" s="89"/>
      <x:c r="J72" s="89"/>
      <x:c r="K72" s="88" t="str">
        <x:v>단일/없음</x:v>
      </x:c>
      <x:c r="L72" s="88" t="str"/>
    </x:row>
    <x:row r="73">
      <x:c r="A73" s="88" t="n">
        <x:v>5</x:v>
      </x:c>
      <x:c r="B73" s="88" t="str">
        <x:v>S05_LHS</x:v>
      </x:c>
      <x:c r="C73" s="88" t="n">
        <x:v>22</x:v>
      </x:c>
      <x:c r="D73" s="88" t="str">
        <x:v>M07</x:v>
      </x:c>
      <x:c r="E73" s="88" t="str">
        <x:v>3-2 시작</x:v>
      </x:c>
      <x:c r="F73" s="96" t="n">
        <x:v>784</x:v>
      </x:c>
      <x:c r="G73" s="89" t="str">
        <x:v>$2 최종 선택</x:v>
      </x:c>
      <x:c r="H73" s="89" t="n">
        <x:v>784.2480000000002</x:v>
      </x:c>
      <x:c r="I73" s="89"/>
      <x:c r="J73" s="89"/>
      <x:c r="K73" s="88" t="str">
        <x:v>단일/없음</x:v>
      </x:c>
      <x:c r="L73" s="88" t="str"/>
    </x:row>
    <x:row r="74">
      <x:c r="A74" s="88" t="n">
        <x:v>5</x:v>
      </x:c>
      <x:c r="B74" s="88" t="str">
        <x:v>S05_LHS</x:v>
      </x:c>
      <x:c r="C74" s="88" t="n">
        <x:v>22</x:v>
      </x:c>
      <x:c r="D74" s="88" t="str">
        <x:v>M08</x:v>
      </x:c>
      <x:c r="E74" s="88" t="str">
        <x:v>3-2 종료</x:v>
      </x:c>
      <x:c r="F74" s="96" t="n">
        <x:v>820</x:v>
      </x:c>
      <x:c r="G74" s="89" t="str">
        <x:v>$2 최종 선택</x:v>
      </x:c>
      <x:c r="H74" s="89" t="n">
        <x:v>820.4080000000001</x:v>
      </x:c>
      <x:c r="I74" s="103" t="n">
        <x:v>806.2920000000001</x:v>
      </x:c>
      <x:c r="J74" s="89"/>
      <x:c r="K74" s="88" t="str">
        <x:v>단일/없음</x:v>
      </x:c>
      <x:c r="L74" s="88" t="str"/>
    </x:row>
    <x:row r="75">
      <x:c r="A75" s="88" t="n">
        <x:v>5</x:v>
      </x:c>
      <x:c r="B75" s="88" t="str">
        <x:v>S05_LHS</x:v>
      </x:c>
      <x:c r="C75" s="88" t="n">
        <x:v>22</x:v>
      </x:c>
      <x:c r="D75" s="88" t="str">
        <x:v>M09</x:v>
      </x:c>
      <x:c r="E75" s="88" t="str">
        <x:v>4-1 시작</x:v>
      </x:c>
      <x:c r="F75" s="96" t="n">
        <x:v>931</x:v>
      </x:c>
      <x:c r="G75" s="89" t="str">
        <x:v>$2 최종 선택</x:v>
      </x:c>
      <x:c r="H75" s="89" t="n">
        <x:v>931.2760000000001</x:v>
      </x:c>
      <x:c r="I75" s="89"/>
      <x:c r="J75" s="89"/>
      <x:c r="K75" s="88" t="str">
        <x:v>단일/없음</x:v>
      </x:c>
      <x:c r="L75" s="88" t="str"/>
    </x:row>
    <x:row r="76">
      <x:c r="A76" s="88" t="n">
        <x:v>5</x:v>
      </x:c>
      <x:c r="B76" s="88" t="str">
        <x:v>S05_LHS</x:v>
      </x:c>
      <x:c r="C76" s="88" t="n">
        <x:v>22</x:v>
      </x:c>
      <x:c r="D76" s="88" t="str">
        <x:v>M10</x:v>
      </x:c>
      <x:c r="E76" s="88" t="str">
        <x:v>4-1 종료</x:v>
      </x:c>
      <x:c r="F76" s="96" t="n">
        <x:v>947</x:v>
      </x:c>
      <x:c r="G76" s="89" t="str">
        <x:v>$2 최종 선택</x:v>
      </x:c>
      <x:c r="H76" s="89" t="n">
        <x:v>946.9826666666669</x:v>
      </x:c>
      <x:c r="I76" s="89"/>
      <x:c r="J76" s="89"/>
      <x:c r="K76" s="88" t="str">
        <x:v>단일/없음</x:v>
      </x:c>
      <x:c r="L76" s="88" t="str"/>
    </x:row>
    <x:row r="77">
      <x:c r="A77" s="88" t="n">
        <x:v>5</x:v>
      </x:c>
      <x:c r="B77" s="88" t="str">
        <x:v>S05_LHS</x:v>
      </x:c>
      <x:c r="C77" s="88" t="n">
        <x:v>22</x:v>
      </x:c>
      <x:c r="D77" s="88" t="str">
        <x:v>M11</x:v>
      </x:c>
      <x:c r="E77" s="88" t="str">
        <x:v>4-2 시작</x:v>
      </x:c>
      <x:c r="F77" s="96" t="n">
        <x:v>963</x:v>
      </x:c>
      <x:c r="G77" s="89" t="str">
        <x:v>$2 최종 선택</x:v>
      </x:c>
      <x:c r="H77" s="89" t="n">
        <x:v>963.1380000000001</x:v>
      </x:c>
      <x:c r="I77" s="89"/>
      <x:c r="J77" s="89"/>
      <x:c r="K77" s="88" t="str">
        <x:v>단일/없음</x:v>
      </x:c>
      <x:c r="L77" s="88" t="str"/>
    </x:row>
    <x:row r="78">
      <x:c r="A78" s="88" t="n">
        <x:v>5</x:v>
      </x:c>
      <x:c r="B78" s="88" t="str">
        <x:v>S05_LHS</x:v>
      </x:c>
      <x:c r="C78" s="88" t="n">
        <x:v>22</x:v>
      </x:c>
      <x:c r="D78" s="88" t="str">
        <x:v>M12</x:v>
      </x:c>
      <x:c r="E78" s="88" t="str">
        <x:v>4-2 종료</x:v>
      </x:c>
      <x:c r="F78" s="96" t="n">
        <x:v>1008</x:v>
      </x:c>
      <x:c r="G78" s="89" t="str">
        <x:v>$2 최종 선택</x:v>
      </x:c>
      <x:c r="H78" s="89" t="n">
        <x:v>1007.6920000000001</x:v>
      </x:c>
      <x:c r="I78" s="103" t="n">
        <x:v>1021.9960000000002</x:v>
      </x:c>
      <x:c r="J78" s="89"/>
      <x:c r="K78" s="88" t="str">
        <x:v>단일/없음</x:v>
      </x:c>
      <x:c r="L78" s="88" t="str"/>
    </x:row>
    <x:row r="79">
      <x:c r="A79" s="88" t="n">
        <x:v>5</x:v>
      </x:c>
      <x:c r="B79" s="88" t="str">
        <x:v>S05_LHS</x:v>
      </x:c>
      <x:c r="C79" s="88" t="n">
        <x:v>22</x:v>
      </x:c>
      <x:c r="D79" s="88" t="str">
        <x:v>M13</x:v>
      </x:c>
      <x:c r="E79" s="88" t="str">
        <x:v>4-3 시작</x:v>
      </x:c>
      <x:c r="F79" s="96" t="n">
        <x:v>1022</x:v>
      </x:c>
      <x:c r="G79" s="89" t="str">
        <x:v>$2 최종 선택</x:v>
      </x:c>
      <x:c r="H79" s="89" t="n">
        <x:v>1021.9960000000002</x:v>
      </x:c>
      <x:c r="I79" s="103" t="n">
        <x:v>1007.6920000000001</x:v>
      </x:c>
      <x:c r="J79" s="89"/>
      <x:c r="K79" s="88" t="str">
        <x:v>단일/없음</x:v>
      </x:c>
      <x:c r="L79" s="88" t="str"/>
    </x:row>
    <x:row r="80">
      <x:c r="A80" s="88" t="n">
        <x:v>5</x:v>
      </x:c>
      <x:c r="B80" s="88" t="str">
        <x:v>S05_LHS</x:v>
      </x:c>
      <x:c r="C80" s="88" t="n">
        <x:v>22</x:v>
      </x:c>
      <x:c r="D80" s="88" t="str">
        <x:v>M14</x:v>
      </x:c>
      <x:c r="E80" s="88" t="str">
        <x:v>4-3 종료</x:v>
      </x:c>
      <x:c r="F80" s="96" t="n">
        <x:v>1068</x:v>
      </x:c>
      <x:c r="G80" s="89" t="str">
        <x:v>$2 최종 선택</x:v>
      </x:c>
      <x:c r="H80" s="89" t="n">
        <x:v>1068.208</x:v>
      </x:c>
      <x:c r="I80" s="103" t="n">
        <x:v>1072.432</x:v>
      </x:c>
      <x:c r="J80" s="89"/>
      <x:c r="K80" s="98" t="str">
        <x:v>애매</x:v>
      </x:c>
      <x:c r="L80" s="88" t="str"/>
    </x:row>
    <x:row r="81">
      <x:c r="A81" s="88" t="n">
        <x:v>5</x:v>
      </x:c>
      <x:c r="B81" s="88" t="str">
        <x:v>S05_LHS</x:v>
      </x:c>
      <x:c r="C81" s="88" t="n">
        <x:v>22</x:v>
      </x:c>
      <x:c r="D81" s="88" t="str">
        <x:v>M15</x:v>
      </x:c>
      <x:c r="E81" s="88" t="str">
        <x:v>4-4 시작</x:v>
      </x:c>
      <x:c r="F81" s="96" t="n">
        <x:v>1072</x:v>
      </x:c>
      <x:c r="G81" s="89" t="str">
        <x:v>$2 최종 선택</x:v>
      </x:c>
      <x:c r="H81" s="89" t="n">
        <x:v>1072.432</x:v>
      </x:c>
      <x:c r="I81" s="103" t="n">
        <x:v>1068.208</x:v>
      </x:c>
      <x:c r="J81" s="89"/>
      <x:c r="K81" s="98" t="str">
        <x:v>애매</x:v>
      </x:c>
      <x:c r="L81" s="88" t="str"/>
    </x:row>
    <x:row r="82">
      <x:c r="A82" s="88" t="n">
        <x:v>5</x:v>
      </x:c>
      <x:c r="B82" s="88" t="str">
        <x:v>S05_LHS</x:v>
      </x:c>
      <x:c r="C82" s="88" t="n">
        <x:v>22</x:v>
      </x:c>
      <x:c r="D82" s="88" t="str">
        <x:v>M16</x:v>
      </x:c>
      <x:c r="E82" s="88" t="str">
        <x:v>4-4 종료</x:v>
      </x:c>
      <x:c r="F82" s="96" t="n">
        <x:v>1089</x:v>
      </x:c>
      <x:c r="G82" s="89" t="str">
        <x:v>$2 최종 선택</x:v>
      </x:c>
      <x:c r="H82" s="89" t="n">
        <x:v>1088.96</x:v>
      </x:c>
      <x:c r="I82" s="103" t="n">
        <x:v>1101.29</x:v>
      </x:c>
      <x:c r="J82" s="89"/>
      <x:c r="K82" s="88" t="str">
        <x:v>단일/없음</x:v>
      </x:c>
      <x:c r="L82" s="88" t="str"/>
    </x:row>
    <x:row r="83">
      <x:c r="A83" s="88" t="n">
        <x:v>5</x:v>
      </x:c>
      <x:c r="B83" s="88" t="str">
        <x:v>S05_LHS</x:v>
      </x:c>
      <x:c r="C83" s="88" t="n">
        <x:v>22</x:v>
      </x:c>
      <x:c r="D83" s="88" t="str">
        <x:v>M17</x:v>
      </x:c>
      <x:c r="E83" s="88" t="str">
        <x:v>5 시작</x:v>
      </x:c>
      <x:c r="F83" s="96" t="n">
        <x:v>1201</x:v>
      </x:c>
      <x:c r="G83" s="89" t="str">
        <x:v>$2 최종 선택</x:v>
      </x:c>
      <x:c r="H83" s="89" t="n">
        <x:v>1201.568</x:v>
      </x:c>
      <x:c r="I83" s="89"/>
      <x:c r="J83" s="89"/>
      <x:c r="K83" s="88" t="str">
        <x:v>단일/없음</x:v>
      </x:c>
      <x:c r="L83" s="88" t="str"/>
    </x:row>
    <x:row r="84">
      <x:c r="A84" s="88" t="n">
        <x:v>5</x:v>
      </x:c>
      <x:c r="B84" s="88" t="str">
        <x:v>S05_LHS</x:v>
      </x:c>
      <x:c r="C84" s="88" t="n">
        <x:v>22</x:v>
      </x:c>
      <x:c r="D84" s="88" t="str">
        <x:v>M18</x:v>
      </x:c>
      <x:c r="E84" s="88" t="str">
        <x:v>5 종료</x:v>
      </x:c>
      <x:c r="F84" s="96" t="n">
        <x:v>1389</x:v>
      </x:c>
      <x:c r="G84" s="89" t="str">
        <x:v>$2 최종 선택</x:v>
      </x:c>
      <x:c r="H84" s="89" t="n">
        <x:v>1388.9540000000002</x:v>
      </x:c>
      <x:c r="I84" s="89"/>
      <x:c r="J84" s="89"/>
      <x:c r="K84" s="88" t="str">
        <x:v>단일/없음</x:v>
      </x:c>
      <x:c r="L84" s="88" t="str"/>
    </x:row>
    <x:row r="85">
      <x:c r="A85" s="88" t="n">
        <x:v>5</x:v>
      </x:c>
      <x:c r="B85" s="88" t="str">
        <x:v>S05_LHS</x:v>
      </x:c>
      <x:c r="C85" s="88" t="n">
        <x:v>22</x:v>
      </x:c>
      <x:c r="D85" s="88" t="str">
        <x:v>M19</x:v>
      </x:c>
      <x:c r="E85" s="88" t="str">
        <x:v>6 시작</x:v>
      </x:c>
      <x:c r="F85" s="96" t="n">
        <x:v>1438</x:v>
      </x:c>
      <x:c r="G85" s="89" t="str">
        <x:v>$2 최종 선택</x:v>
      </x:c>
      <x:c r="H85" s="89" t="n">
        <x:v>1438.34</x:v>
      </x:c>
      <x:c r="I85" s="89"/>
      <x:c r="J85" s="89"/>
      <x:c r="K85" s="88" t="str">
        <x:v>단일/없음</x:v>
      </x:c>
      <x:c r="L85" s="88" t="str"/>
    </x:row>
    <x:row r="86">
      <x:c r="A86" s="88" t="n">
        <x:v>5</x:v>
      </x:c>
      <x:c r="B86" s="88" t="str">
        <x:v>S05_LHS</x:v>
      </x:c>
      <x:c r="C86" s="88" t="n">
        <x:v>22</x:v>
      </x:c>
      <x:c r="D86" s="88" t="str">
        <x:v>M20</x:v>
      </x:c>
      <x:c r="E86" s="88" t="str">
        <x:v>6 종료</x:v>
      </x:c>
      <x:c r="F86" s="96" t="n">
        <x:v>1466</x:v>
      </x:c>
      <x:c r="G86" s="89" t="str">
        <x:v>$2 최종 선택</x:v>
      </x:c>
      <x:c r="H86" s="89" t="n">
        <x:v>1465.682</x:v>
      </x:c>
      <x:c r="I86" s="89"/>
      <x:c r="J86" s="89"/>
      <x:c r="K86" s="88" t="str">
        <x:v>단일/없음</x:v>
      </x:c>
      <x:c r="L86" s="88" t="str"/>
    </x:row>
    <x:row r="87">
      <x:c r="A87" s="88" t="n">
        <x:v>5</x:v>
      </x:c>
      <x:c r="B87" s="88" t="str">
        <x:v>S05_LHS</x:v>
      </x:c>
      <x:c r="C87" s="88" t="n">
        <x:v>22</x:v>
      </x:c>
      <x:c r="D87" s="88" t="str">
        <x:v>M21</x:v>
      </x:c>
      <x:c r="E87" s="88" t="str">
        <x:v>7 시작</x:v>
      </x:c>
      <x:c r="F87" s="96" t="n">
        <x:v>1498</x:v>
      </x:c>
      <x:c r="G87" s="89" t="str">
        <x:v>$2 최종 선택</x:v>
      </x:c>
      <x:c r="H87" s="89" t="n">
        <x:v>1497.7800000000002</x:v>
      </x:c>
      <x:c r="I87" s="103" t="n">
        <x:v>1509.328</x:v>
      </x:c>
      <x:c r="J87" s="89"/>
      <x:c r="K87" s="88" t="str">
        <x:v>단일/없음</x:v>
      </x:c>
      <x:c r="L87" s="88" t="str"/>
    </x:row>
    <x:row r="88">
      <x:c r="A88" s="88" t="n">
        <x:v>5</x:v>
      </x:c>
      <x:c r="B88" s="88" t="str">
        <x:v>S05_LHS</x:v>
      </x:c>
      <x:c r="C88" s="88" t="n">
        <x:v>22</x:v>
      </x:c>
      <x:c r="D88" s="88" t="str">
        <x:v>M22</x:v>
      </x:c>
      <x:c r="E88" s="88" t="str">
        <x:v>7 종료</x:v>
      </x:c>
      <x:c r="F88" s="96" t="n">
        <x:v>1509</x:v>
      </x:c>
      <x:c r="G88" s="89" t="str">
        <x:v>$2 최종 선택</x:v>
      </x:c>
      <x:c r="H88" s="89" t="n">
        <x:v>1509.328</x:v>
      </x:c>
      <x:c r="I88" s="103" t="n">
        <x:v>1497.7800000000002</x:v>
      </x:c>
      <x:c r="J88" s="89"/>
      <x:c r="K88" s="88" t="str">
        <x:v>단일/없음</x:v>
      </x:c>
      <x:c r="L88" s="88" t="str"/>
    </x:row>
    <x:row r="89">
      <x:c r="A89" s="88" t="n">
        <x:v>6</x:v>
      </x:c>
      <x:c r="B89" s="88" t="str">
        <x:v>S06_LDW</x:v>
      </x:c>
      <x:c r="C89" s="88" t="n">
        <x:v>22</x:v>
      </x:c>
      <x:c r="D89" s="88" t="str">
        <x:v>M01</x:v>
      </x:c>
      <x:c r="E89" s="88" t="str">
        <x:v>1 시작</x:v>
      </x:c>
      <x:c r="F89" s="96" t="n">
        <x:v>22</x:v>
      </x:c>
      <x:c r="G89" s="89" t="str">
        <x:v>$2 최종 선택</x:v>
      </x:c>
      <x:c r="H89" s="89" t="n">
        <x:v>21.676000000000005</x:v>
      </x:c>
      <x:c r="I89" s="89"/>
      <x:c r="J89" s="89"/>
      <x:c r="K89" s="88" t="str">
        <x:v>단일/없음</x:v>
      </x:c>
      <x:c r="L89" s="88" t="str"/>
    </x:row>
    <x:row r="90">
      <x:c r="A90" s="88" t="n">
        <x:v>6</x:v>
      </x:c>
      <x:c r="B90" s="88" t="str">
        <x:v>S06_LDW</x:v>
      </x:c>
      <x:c r="C90" s="88" t="n">
        <x:v>22</x:v>
      </x:c>
      <x:c r="D90" s="88" t="str">
        <x:v>M02</x:v>
      </x:c>
      <x:c r="E90" s="88" t="str">
        <x:v>1 종료</x:v>
      </x:c>
      <x:c r="F90" s="96" t="n">
        <x:v>214</x:v>
      </x:c>
      <x:c r="G90" s="89" t="str">
        <x:v>$2 최종 선택</x:v>
      </x:c>
      <x:c r="H90" s="89" t="n">
        <x:v>213.98</x:v>
      </x:c>
      <x:c r="I90" s="89"/>
      <x:c r="J90" s="89"/>
      <x:c r="K90" s="88" t="str">
        <x:v>단일/없음</x:v>
      </x:c>
      <x:c r="L90" s="88" t="str"/>
    </x:row>
    <x:row r="91">
      <x:c r="A91" s="88" t="n">
        <x:v>6</x:v>
      </x:c>
      <x:c r="B91" s="88" t="str">
        <x:v>S06_LDW</x:v>
      </x:c>
      <x:c r="C91" s="88" t="n">
        <x:v>22</x:v>
      </x:c>
      <x:c r="D91" s="88" t="str">
        <x:v>M03</x:v>
      </x:c>
      <x:c r="E91" s="88" t="str">
        <x:v>2 시작</x:v>
      </x:c>
      <x:c r="F91" s="96" t="n">
        <x:v>264</x:v>
      </x:c>
      <x:c r="G91" s="89" t="str">
        <x:v>$2 최종 선택</x:v>
      </x:c>
      <x:c r="H91" s="89" t="n">
        <x:v>263.66</x:v>
      </x:c>
      <x:c r="I91" s="89"/>
      <x:c r="J91" s="89"/>
      <x:c r="K91" s="88" t="str">
        <x:v>단일/없음</x:v>
      </x:c>
      <x:c r="L91" s="88" t="str"/>
    </x:row>
    <x:row r="92">
      <x:c r="A92" s="88" t="n">
        <x:v>6</x:v>
      </x:c>
      <x:c r="B92" s="88" t="str">
        <x:v>S06_LDW</x:v>
      </x:c>
      <x:c r="C92" s="88" t="n">
        <x:v>22</x:v>
      </x:c>
      <x:c r="D92" s="88" t="str">
        <x:v>M04</x:v>
      </x:c>
      <x:c r="E92" s="88" t="str">
        <x:v>2 종료</x:v>
      </x:c>
      <x:c r="F92" s="96" t="n">
        <x:v>638</x:v>
      </x:c>
      <x:c r="G92" s="89" t="str">
        <x:v>$2 최종 선택</x:v>
      </x:c>
      <x:c r="H92" s="89" t="n">
        <x:v>638.3480000000001</x:v>
      </x:c>
      <x:c r="I92" s="103" t="n">
        <x:v>644.61</x:v>
      </x:c>
      <x:c r="J92" s="89"/>
      <x:c r="K92" s="88" t="str">
        <x:v>단일/없음</x:v>
      </x:c>
      <x:c r="L92" s="88" t="str"/>
    </x:row>
    <x:row r="93">
      <x:c r="A93" s="88" t="n">
        <x:v>6</x:v>
      </x:c>
      <x:c r="B93" s="88" t="str">
        <x:v>S06_LDW</x:v>
      </x:c>
      <x:c r="C93" s="88" t="n">
        <x:v>22</x:v>
      </x:c>
      <x:c r="D93" s="88" t="str">
        <x:v>M05</x:v>
      </x:c>
      <x:c r="E93" s="88" t="str">
        <x:v>3-1 시작</x:v>
      </x:c>
      <x:c r="F93" s="96" t="n">
        <x:v>748.4</x:v>
      </x:c>
      <x:c r="G93" s="89" t="str">
        <x:v>$2 최종 선택</x:v>
      </x:c>
      <x:c r="H93" s="89" t="n">
        <x:v>748.344</x:v>
      </x:c>
      <x:c r="I93" s="103" t="n">
        <x:v>763.256</x:v>
      </x:c>
      <x:c r="J93" s="89"/>
      <x:c r="K93" s="88" t="str">
        <x:v>단일/없음</x:v>
      </x:c>
      <x:c r="L93" s="88" t="str"/>
    </x:row>
    <x:row r="94">
      <x:c r="A94" s="88" t="n">
        <x:v>6</x:v>
      </x:c>
      <x:c r="B94" s="88" t="str">
        <x:v>S06_LDW</x:v>
      </x:c>
      <x:c r="C94" s="88" t="n">
        <x:v>22</x:v>
      </x:c>
      <x:c r="D94" s="88" t="str">
        <x:v>M06</x:v>
      </x:c>
      <x:c r="E94" s="88" t="str">
        <x:v>3-1 종료</x:v>
      </x:c>
      <x:c r="F94" s="96" t="n">
        <x:v>763.3</x:v>
      </x:c>
      <x:c r="G94" s="89" t="str">
        <x:v>$2 최종 선택</x:v>
      </x:c>
      <x:c r="H94" s="89" t="n">
        <x:v>763.256</x:v>
      </x:c>
      <x:c r="I94" s="103" t="n">
        <x:v>778.116</x:v>
      </x:c>
      <x:c r="J94" s="103" t="n">
        <x:v>748.344</x:v>
      </x:c>
      <x:c r="K94" s="88" t="str">
        <x:v>단일/없음</x:v>
      </x:c>
      <x:c r="L94" s="88" t="str"/>
    </x:row>
    <x:row r="95">
      <x:c r="A95" s="88" t="n">
        <x:v>6</x:v>
      </x:c>
      <x:c r="B95" s="88" t="str">
        <x:v>S06_LDW</x:v>
      </x:c>
      <x:c r="C95" s="88" t="n">
        <x:v>22</x:v>
      </x:c>
      <x:c r="D95" s="88" t="str">
        <x:v>M07</x:v>
      </x:c>
      <x:c r="E95" s="88" t="str">
        <x:v>3-2 시작</x:v>
      </x:c>
      <x:c r="F95" s="96" t="n">
        <x:v>778.2</x:v>
      </x:c>
      <x:c r="G95" s="89" t="str">
        <x:v>$2 최종 선택</x:v>
      </x:c>
      <x:c r="H95" s="89" t="n">
        <x:v>778.116</x:v>
      </x:c>
      <x:c r="I95" s="103" t="n">
        <x:v>792.28</x:v>
      </x:c>
      <x:c r="J95" s="103" t="n">
        <x:v>763.256</x:v>
      </x:c>
      <x:c r="K95" s="88" t="str">
        <x:v>단일/없음</x:v>
      </x:c>
      <x:c r="L95" s="88" t="str"/>
    </x:row>
    <x:row r="96">
      <x:c r="A96" s="88" t="n">
        <x:v>6</x:v>
      </x:c>
      <x:c r="B96" s="88" t="str">
        <x:v>S06_LDW</x:v>
      </x:c>
      <x:c r="C96" s="88" t="n">
        <x:v>22</x:v>
      </x:c>
      <x:c r="D96" s="88" t="str">
        <x:v>M08</x:v>
      </x:c>
      <x:c r="E96" s="88" t="str">
        <x:v>3-2 종료</x:v>
      </x:c>
      <x:c r="F96" s="96" t="n">
        <x:v>792.3</x:v>
      </x:c>
      <x:c r="G96" s="89" t="str">
        <x:v>$2 최종 선택</x:v>
      </x:c>
      <x:c r="H96" s="89" t="n">
        <x:v>792.28</x:v>
      </x:c>
      <x:c r="I96" s="103" t="n">
        <x:v>778.116</x:v>
      </x:c>
      <x:c r="J96" s="89"/>
      <x:c r="K96" s="88" t="str">
        <x:v>단일/없음</x:v>
      </x:c>
      <x:c r="L96" s="88" t="str"/>
    </x:row>
    <x:row r="97">
      <x:c r="A97" s="88" t="n">
        <x:v>6</x:v>
      </x:c>
      <x:c r="B97" s="88" t="str">
        <x:v>S06_LDW</x:v>
      </x:c>
      <x:c r="C97" s="88" t="n">
        <x:v>22</x:v>
      </x:c>
      <x:c r="D97" s="88" t="str">
        <x:v>M09</x:v>
      </x:c>
      <x:c r="E97" s="88" t="str">
        <x:v>4-1 시작</x:v>
      </x:c>
      <x:c r="F97" s="96" t="n">
        <x:v>919</x:v>
      </x:c>
      <x:c r="G97" s="89" t="str">
        <x:v>$2 최종 선택</x:v>
      </x:c>
      <x:c r="H97" s="89" t="n">
        <x:v>916.724</x:v>
      </x:c>
      <x:c r="I97" s="103" t="n">
        <x:v>933.928</x:v>
      </x:c>
      <x:c r="J97" s="89"/>
      <x:c r="K97" s="88" t="str">
        <x:v>단일/없음</x:v>
      </x:c>
      <x:c r="L97" s="88" t="str"/>
    </x:row>
    <x:row r="98">
      <x:c r="A98" s="88" t="n">
        <x:v>6</x:v>
      </x:c>
      <x:c r="B98" s="88" t="str">
        <x:v>S06_LDW</x:v>
      </x:c>
      <x:c r="C98" s="88" t="n">
        <x:v>22</x:v>
      </x:c>
      <x:c r="D98" s="88" t="str">
        <x:v>M10</x:v>
      </x:c>
      <x:c r="E98" s="88" t="str">
        <x:v>4-1 종료</x:v>
      </x:c>
      <x:c r="F98" s="96" t="n">
        <x:v>934.5</x:v>
      </x:c>
      <x:c r="G98" s="89" t="str">
        <x:v>$2 최종 선택</x:v>
      </x:c>
      <x:c r="H98" s="89" t="n">
        <x:v>933.928</x:v>
      </x:c>
      <x:c r="I98" s="89"/>
      <x:c r="J98" s="89"/>
      <x:c r="K98" s="88" t="str">
        <x:v>단일/없음</x:v>
      </x:c>
      <x:c r="L98" s="88" t="str"/>
    </x:row>
    <x:row r="99">
      <x:c r="A99" s="88" t="n">
        <x:v>6</x:v>
      </x:c>
      <x:c r="B99" s="88" t="str">
        <x:v>S06_LDW</x:v>
      </x:c>
      <x:c r="C99" s="88" t="n">
        <x:v>22</x:v>
      </x:c>
      <x:c r="D99" s="88" t="str">
        <x:v>M11</x:v>
      </x:c>
      <x:c r="E99" s="88" t="str">
        <x:v>4-2 시작</x:v>
      </x:c>
      <x:c r="F99" s="96" t="n">
        <x:v>947</x:v>
      </x:c>
      <x:c r="G99" s="89" t="str">
        <x:v>$2 최종 선택</x:v>
      </x:c>
      <x:c r="H99" s="89" t="n">
        <x:v>957.0400000000001</x:v>
      </x:c>
      <x:c r="I99" s="103" t="n">
        <x:v>933.928</x:v>
      </x:c>
      <x:c r="J99" s="89"/>
      <x:c r="K99" s="88" t="str">
        <x:v>단일/없음</x:v>
      </x:c>
      <x:c r="L99" s="88" t="str"/>
    </x:row>
    <x:row r="100">
      <x:c r="A100" s="88" t="n">
        <x:v>6</x:v>
      </x:c>
      <x:c r="B100" s="88" t="str">
        <x:v>S06_LDW</x:v>
      </x:c>
      <x:c r="C100" s="88" t="n">
        <x:v>22</x:v>
      </x:c>
      <x:c r="D100" s="88" t="str">
        <x:v>M12</x:v>
      </x:c>
      <x:c r="E100" s="88" t="str">
        <x:v>4-2 종료</x:v>
      </x:c>
      <x:c r="F100" s="96" t="n">
        <x:v>994</x:v>
      </x:c>
      <x:c r="G100" s="89" t="str">
        <x:v>$2 최종 선택</x:v>
      </x:c>
      <x:c r="H100" s="89" t="n">
        <x:v>994.0160000000001</x:v>
      </x:c>
      <x:c r="I100" s="103" t="n">
        <x:v>1005.3960000000001</x:v>
      </x:c>
      <x:c r="J100" s="89"/>
      <x:c r="K100" s="88" t="str">
        <x:v>단일/없음</x:v>
      </x:c>
      <x:c r="L100" s="88" t="str"/>
    </x:row>
    <x:row r="101">
      <x:c r="A101" s="88" t="n">
        <x:v>6</x:v>
      </x:c>
      <x:c r="B101" s="88" t="str">
        <x:v>S06_LDW</x:v>
      </x:c>
      <x:c r="C101" s="88" t="n">
        <x:v>22</x:v>
      </x:c>
      <x:c r="D101" s="88" t="str">
        <x:v>M13</x:v>
      </x:c>
      <x:c r="E101" s="88" t="str">
        <x:v>4-3 시작</x:v>
      </x:c>
      <x:c r="F101" s="96" t="n">
        <x:v>1009.8</x:v>
      </x:c>
      <x:c r="G101" s="89" t="str">
        <x:v>$2 최종 선택</x:v>
      </x:c>
      <x:c r="H101" s="89" t="n">
        <x:v>1005.3960000000001</x:v>
      </x:c>
      <x:c r="I101" s="89"/>
      <x:c r="J101" s="89"/>
      <x:c r="K101" s="88" t="str">
        <x:v>단일/없음</x:v>
      </x:c>
      <x:c r="L101" s="88" t="str"/>
    </x:row>
    <x:row r="102">
      <x:c r="A102" s="88" t="n">
        <x:v>6</x:v>
      </x:c>
      <x:c r="B102" s="88" t="str">
        <x:v>S06_LDW</x:v>
      </x:c>
      <x:c r="C102" s="88" t="n">
        <x:v>22</x:v>
      </x:c>
      <x:c r="D102" s="88" t="str">
        <x:v>M14</x:v>
      </x:c>
      <x:c r="E102" s="88" t="str">
        <x:v>4-3 종료</x:v>
      </x:c>
      <x:c r="F102" s="96" t="n">
        <x:v>1059.2</x:v>
      </x:c>
      <x:c r="G102" s="89" t="str">
        <x:v>$2 최종 선택</x:v>
      </x:c>
      <x:c r="H102" s="89" t="n">
        <x:v>1071.6119999999999</x:v>
      </x:c>
      <x:c r="I102" s="89"/>
      <x:c r="J102" s="89"/>
      <x:c r="K102" s="88" t="str">
        <x:v>단일/없음</x:v>
      </x:c>
      <x:c r="L102" s="88" t="str"/>
    </x:row>
    <x:row r="103">
      <x:c r="A103" s="88" t="n">
        <x:v>6</x:v>
      </x:c>
      <x:c r="B103" s="88" t="str">
        <x:v>S06_LDW</x:v>
      </x:c>
      <x:c r="C103" s="88" t="n">
        <x:v>22</x:v>
      </x:c>
      <x:c r="D103" s="88" t="str">
        <x:v>M15</x:v>
      </x:c>
      <x:c r="E103" s="88" t="str">
        <x:v>4-4 시작</x:v>
      </x:c>
      <x:c r="F103" s="96" t="n">
        <x:v>1075.4</x:v>
      </x:c>
      <x:c r="G103" s="89" t="str">
        <x:v>$2 최종 선택</x:v>
      </x:c>
      <x:c r="H103" s="89" t="n">
        <x:v>1071.6119999999999</x:v>
      </x:c>
      <x:c r="I103" s="103" t="n">
        <x:v>1087.0079999999998</x:v>
      </x:c>
      <x:c r="J103" s="89"/>
      <x:c r="K103" s="88" t="str">
        <x:v>단일/없음</x:v>
      </x:c>
      <x:c r="L103" s="88" t="str"/>
    </x:row>
    <x:row r="104">
      <x:c r="A104" s="88" t="n">
        <x:v>6</x:v>
      </x:c>
      <x:c r="B104" s="88" t="str">
        <x:v>S06_LDW</x:v>
      </x:c>
      <x:c r="C104" s="88" t="n">
        <x:v>22</x:v>
      </x:c>
      <x:c r="D104" s="88" t="str">
        <x:v>M16</x:v>
      </x:c>
      <x:c r="E104" s="88" t="str">
        <x:v>4-4 종료</x:v>
      </x:c>
      <x:c r="F104" s="96" t="n">
        <x:v>1086</x:v>
      </x:c>
      <x:c r="G104" s="89" t="str">
        <x:v>$2 최종 선택</x:v>
      </x:c>
      <x:c r="H104" s="89" t="n">
        <x:v>1087.0079999999998</x:v>
      </x:c>
      <x:c r="I104" s="103" t="n">
        <x:v>1071.6119999999999</x:v>
      </x:c>
      <x:c r="J104" s="89"/>
      <x:c r="K104" s="88" t="str">
        <x:v>단일/없음</x:v>
      </x:c>
      <x:c r="L104" s="88" t="str"/>
    </x:row>
    <x:row r="105">
      <x:c r="A105" s="88" t="n">
        <x:v>6</x:v>
      </x:c>
      <x:c r="B105" s="88" t="str">
        <x:v>S06_LDW</x:v>
      </x:c>
      <x:c r="C105" s="88" t="n">
        <x:v>22</x:v>
      </x:c>
      <x:c r="D105" s="88" t="str">
        <x:v>M17</x:v>
      </x:c>
      <x:c r="E105" s="88" t="str">
        <x:v>5 시작</x:v>
      </x:c>
      <x:c r="F105" s="96" t="n">
        <x:v>1160.7</x:v>
      </x:c>
      <x:c r="G105" s="89" t="str">
        <x:v>$2 최종 선택</x:v>
      </x:c>
      <x:c r="H105" s="89" t="n">
        <x:v>1157.9186666666665</x:v>
      </x:c>
      <x:c r="I105" s="89"/>
      <x:c r="J105" s="89"/>
      <x:c r="K105" s="88" t="str">
        <x:v>단일/없음</x:v>
      </x:c>
      <x:c r="L105" s="88" t="str"/>
    </x:row>
    <x:row r="106">
      <x:c r="A106" s="88" t="n">
        <x:v>6</x:v>
      </x:c>
      <x:c r="B106" s="88" t="str">
        <x:v>S06_LDW</x:v>
      </x:c>
      <x:c r="C106" s="88" t="n">
        <x:v>22</x:v>
      </x:c>
      <x:c r="D106" s="88" t="str">
        <x:v>M18</x:v>
      </x:c>
      <x:c r="E106" s="88" t="str">
        <x:v>5 종료</x:v>
      </x:c>
      <x:c r="F106" s="96" t="n">
        <x:v>1346.5</x:v>
      </x:c>
      <x:c r="G106" s="89" t="str">
        <x:v>$2 최종 선택</x:v>
      </x:c>
      <x:c r="H106" s="89" t="n">
        <x:v>1345.25</x:v>
      </x:c>
      <x:c r="I106" s="103" t="n">
        <x:v>1351.068</x:v>
      </x:c>
      <x:c r="J106" s="89"/>
      <x:c r="K106" s="98" t="str">
        <x:v>애매</x:v>
      </x:c>
      <x:c r="L106" s="88" t="str"/>
    </x:row>
    <x:row r="107">
      <x:c r="A107" s="88" t="n">
        <x:v>6</x:v>
      </x:c>
      <x:c r="B107" s="88" t="str">
        <x:v>S06_LDW</x:v>
      </x:c>
      <x:c r="C107" s="88" t="n">
        <x:v>22</x:v>
      </x:c>
      <x:c r="D107" s="88" t="str">
        <x:v>M19</x:v>
      </x:c>
      <x:c r="E107" s="88" t="str">
        <x:v>6 시작</x:v>
      </x:c>
      <x:c r="F107" s="96" t="n">
        <x:v>1394.6</x:v>
      </x:c>
      <x:c r="G107" s="89" t="str">
        <x:v>$2 최종 선택</x:v>
      </x:c>
      <x:c r="H107" s="89" t="n">
        <x:v>1393.2079999999999</x:v>
      </x:c>
      <x:c r="I107" s="89"/>
      <x:c r="J107" s="89"/>
      <x:c r="K107" s="88" t="str">
        <x:v>단일/없음</x:v>
      </x:c>
      <x:c r="L107" s="88" t="str"/>
    </x:row>
    <x:row r="108">
      <x:c r="A108" s="88" t="n">
        <x:v>6</x:v>
      </x:c>
      <x:c r="B108" s="88" t="str">
        <x:v>S06_LDW</x:v>
      </x:c>
      <x:c r="C108" s="88" t="n">
        <x:v>22</x:v>
      </x:c>
      <x:c r="D108" s="88" t="str">
        <x:v>M20</x:v>
      </x:c>
      <x:c r="E108" s="88" t="str">
        <x:v>6 종료</x:v>
      </x:c>
      <x:c r="F108" s="96" t="n">
        <x:v>1424.2</x:v>
      </x:c>
      <x:c r="G108" s="89" t="str">
        <x:v>$2 최종 선택</x:v>
      </x:c>
      <x:c r="H108" s="89" t="n">
        <x:v>1425.664</x:v>
      </x:c>
      <x:c r="I108" s="103" t="n">
        <x:v>1421.3159999999998</x:v>
      </x:c>
      <x:c r="J108" s="89"/>
      <x:c r="K108" s="98" t="str">
        <x:v>애매</x:v>
      </x:c>
      <x:c r="L108" s="88" t="str"/>
    </x:row>
    <x:row r="109">
      <x:c r="A109" s="88" t="n">
        <x:v>6</x:v>
      </x:c>
      <x:c r="B109" s="88" t="str">
        <x:v>S06_LDW</x:v>
      </x:c>
      <x:c r="C109" s="88" t="n">
        <x:v>22</x:v>
      </x:c>
      <x:c r="D109" s="88" t="str">
        <x:v>M21</x:v>
      </x:c>
      <x:c r="E109" s="88" t="str">
        <x:v>7 시작</x:v>
      </x:c>
      <x:c r="F109" s="96" t="n">
        <x:v>1458.5</x:v>
      </x:c>
      <x:c r="G109" s="89" t="str">
        <x:v>$2 최종 선택</x:v>
      </x:c>
      <x:c r="H109" s="89" t="n">
        <x:v>1458.444</x:v>
      </x:c>
      <x:c r="I109" s="103" t="n">
        <x:v>1471.244</x:v>
      </x:c>
      <x:c r="J109" s="89"/>
      <x:c r="K109" s="88" t="str">
        <x:v>단일/없음</x:v>
      </x:c>
      <x:c r="L109" s="88" t="str"/>
    </x:row>
    <x:row r="110">
      <x:c r="A110" s="88" t="n">
        <x:v>6</x:v>
      </x:c>
      <x:c r="B110" s="88" t="str">
        <x:v>S06_LDW</x:v>
      </x:c>
      <x:c r="C110" s="88" t="n">
        <x:v>22</x:v>
      </x:c>
      <x:c r="D110" s="88" t="str">
        <x:v>M22</x:v>
      </x:c>
      <x:c r="E110" s="88" t="str">
        <x:v>7 종료</x:v>
      </x:c>
      <x:c r="F110" s="96" t="n">
        <x:v>1471.3</x:v>
      </x:c>
      <x:c r="G110" s="89" t="str">
        <x:v>$2 최종 선택</x:v>
      </x:c>
      <x:c r="H110" s="89" t="n">
        <x:v>1471.244</x:v>
      </x:c>
      <x:c r="I110" s="103" t="n">
        <x:v>1458.444</x:v>
      </x:c>
      <x:c r="J110" s="89"/>
      <x:c r="K110" s="88" t="str">
        <x:v>단일/없음</x:v>
      </x:c>
      <x:c r="L110" s="88" t="str"/>
    </x:row>
    <x:row r="111">
      <x:c r="A111" s="88" t="n">
        <x:v>7</x:v>
      </x:c>
      <x:c r="B111" s="88" t="str">
        <x:v>S07_KDM</x:v>
      </x:c>
      <x:c r="C111" s="88" t="n">
        <x:v>22</x:v>
      </x:c>
      <x:c r="D111" s="88" t="str">
        <x:v>M01</x:v>
      </x:c>
      <x:c r="E111" s="88" t="str">
        <x:v>1 시작</x:v>
      </x:c>
      <x:c r="F111" s="96" t="n">
        <x:v>16.57200000000004</x:v>
      </x:c>
      <x:c r="G111" s="89" t="str">
        <x:v>$2 최종 선택</x:v>
      </x:c>
      <x:c r="H111" s="89" t="n">
        <x:v>16.57200000000004</x:v>
      </x:c>
      <x:c r="I111" s="103" t="n">
        <x:v>22.644000000000034</x:v>
      </x:c>
      <x:c r="J111" s="89"/>
      <x:c r="K111" s="88" t="str">
        <x:v>단일/없음</x:v>
      </x:c>
      <x:c r="L111" s="88" t="str"/>
    </x:row>
    <x:row r="112">
      <x:c r="A112" s="88" t="n">
        <x:v>7</x:v>
      </x:c>
      <x:c r="B112" s="88" t="str">
        <x:v>S07_KDM</x:v>
      </x:c>
      <x:c r="C112" s="88" t="n">
        <x:v>22</x:v>
      </x:c>
      <x:c r="D112" s="88" t="str">
        <x:v>M02</x:v>
      </x:c>
      <x:c r="E112" s="88" t="str">
        <x:v>1 종료</x:v>
      </x:c>
      <x:c r="F112" s="96" t="n">
        <x:v>214.34500000000006</x:v>
      </x:c>
      <x:c r="G112" s="89" t="str">
        <x:v>$2 최종 선택</x:v>
      </x:c>
      <x:c r="H112" s="89" t="n">
        <x:v>214.34500000000006</x:v>
      </x:c>
      <x:c r="I112" s="89"/>
      <x:c r="J112" s="89"/>
      <x:c r="K112" s="88" t="str">
        <x:v>단일/없음</x:v>
      </x:c>
      <x:c r="L112" s="88" t="str"/>
    </x:row>
    <x:row r="113">
      <x:c r="A113" s="88" t="n">
        <x:v>7</x:v>
      </x:c>
      <x:c r="B113" s="88" t="str">
        <x:v>S07_KDM</x:v>
      </x:c>
      <x:c r="C113" s="88" t="n">
        <x:v>22</x:v>
      </x:c>
      <x:c r="D113" s="88" t="str">
        <x:v>M03</x:v>
      </x:c>
      <x:c r="E113" s="88" t="str">
        <x:v>2 시작</x:v>
      </x:c>
      <x:c r="F113" s="96" t="n">
        <x:v>275.59800000000007</x:v>
      </x:c>
      <x:c r="G113" s="89" t="str">
        <x:v>$2 최종 선택</x:v>
      </x:c>
      <x:c r="H113" s="89" t="n">
        <x:v>275.598</x:v>
      </x:c>
      <x:c r="I113" s="89"/>
      <x:c r="J113" s="89"/>
      <x:c r="K113" s="88" t="str">
        <x:v>단일/없음</x:v>
      </x:c>
      <x:c r="L113" s="88" t="str"/>
    </x:row>
    <x:row r="114">
      <x:c r="A114" s="88" t="n">
        <x:v>7</x:v>
      </x:c>
      <x:c r="B114" s="88" t="str">
        <x:v>S07_KDM</x:v>
      </x:c>
      <x:c r="C114" s="88" t="n">
        <x:v>22</x:v>
      </x:c>
      <x:c r="D114" s="88" t="str">
        <x:v>M04</x:v>
      </x:c>
      <x:c r="E114" s="88" t="str">
        <x:v>2 종료</x:v>
      </x:c>
      <x:c r="F114" s="96" t="n">
        <x:v>646.7800000000001</x:v>
      </x:c>
      <x:c r="G114" s="89" t="str">
        <x:v>$2 최종 선택</x:v>
      </x:c>
      <x:c r="H114" s="89" t="n">
        <x:v>646.78</x:v>
      </x:c>
      <x:c r="I114" s="89"/>
      <x:c r="J114" s="89"/>
      <x:c r="K114" s="88" t="str">
        <x:v>단일/없음</x:v>
      </x:c>
      <x:c r="L114" s="88" t="str"/>
    </x:row>
    <x:row r="115">
      <x:c r="A115" s="88" t="n">
        <x:v>7</x:v>
      </x:c>
      <x:c r="B115" s="88" t="str">
        <x:v>S07_KDM</x:v>
      </x:c>
      <x:c r="C115" s="88" t="n">
        <x:v>22</x:v>
      </x:c>
      <x:c r="D115" s="88" t="str">
        <x:v>M05</x:v>
      </x:c>
      <x:c r="E115" s="88" t="str">
        <x:v>3-1 시작</x:v>
      </x:c>
      <x:c r="F115" s="96" t="n">
        <x:v>766.097333</x:v>
      </x:c>
      <x:c r="G115" s="89" t="str">
        <x:v>$2 최종 선택</x:v>
      </x:c>
      <x:c r="H115" s="89" t="n">
        <x:v>766.0973333333334</x:v>
      </x:c>
      <x:c r="I115" s="89"/>
      <x:c r="J115" s="89"/>
      <x:c r="K115" s="88" t="str">
        <x:v>단일/없음</x:v>
      </x:c>
      <x:c r="L115" s="88" t="str"/>
    </x:row>
    <x:row r="116">
      <x:c r="A116" s="88" t="n">
        <x:v>7</x:v>
      </x:c>
      <x:c r="B116" s="88" t="str">
        <x:v>S07_KDM</x:v>
      </x:c>
      <x:c r="C116" s="88" t="n">
        <x:v>22</x:v>
      </x:c>
      <x:c r="D116" s="88" t="str">
        <x:v>M06</x:v>
      </x:c>
      <x:c r="E116" s="88" t="str">
        <x:v>3-1 종료</x:v>
      </x:c>
      <x:c r="F116" s="96" t="n">
        <x:v>784.6600000000001</x:v>
      </x:c>
      <x:c r="G116" s="89" t="str">
        <x:v>$2 최종 선택</x:v>
      </x:c>
      <x:c r="H116" s="89" t="n">
        <x:v>784.6600000000001</x:v>
      </x:c>
      <x:c r="I116" s="103" t="n">
        <x:v>799.32</x:v>
      </x:c>
      <x:c r="J116" s="89"/>
      <x:c r="K116" s="88" t="str">
        <x:v>단일/없음</x:v>
      </x:c>
      <x:c r="L116" s="88" t="str"/>
    </x:row>
    <x:row r="117">
      <x:c r="A117" s="88" t="n">
        <x:v>7</x:v>
      </x:c>
      <x:c r="B117" s="88" t="str">
        <x:v>S07_KDM</x:v>
      </x:c>
      <x:c r="C117" s="88" t="n">
        <x:v>22</x:v>
      </x:c>
      <x:c r="D117" s="88" t="str">
        <x:v>M07</x:v>
      </x:c>
      <x:c r="E117" s="88" t="str">
        <x:v>3-2 시작</x:v>
      </x:c>
      <x:c r="F117" s="96" t="n">
        <x:v>799.32</x:v>
      </x:c>
      <x:c r="G117" s="89" t="str">
        <x:v>$2 최종 선택</x:v>
      </x:c>
      <x:c r="H117" s="89" t="n">
        <x:v>799.32</x:v>
      </x:c>
      <x:c r="I117" s="103" t="n">
        <x:v>784.6600000000001</x:v>
      </x:c>
      <x:c r="J117" s="89"/>
      <x:c r="K117" s="88" t="str">
        <x:v>단일/없음</x:v>
      </x:c>
      <x:c r="L117" s="88" t="str"/>
    </x:row>
    <x:row r="118">
      <x:c r="A118" s="88" t="n">
        <x:v>7</x:v>
      </x:c>
      <x:c r="B118" s="88" t="str">
        <x:v>S07_KDM</x:v>
      </x:c>
      <x:c r="C118" s="88" t="n">
        <x:v>22</x:v>
      </x:c>
      <x:c r="D118" s="88" t="str">
        <x:v>M08</x:v>
      </x:c>
      <x:c r="E118" s="88" t="str">
        <x:v>3-2 종료</x:v>
      </x:c>
      <x:c r="F118" s="96" t="n">
        <x:v>815.6</x:v>
      </x:c>
      <x:c r="G118" s="89" t="str">
        <x:v>$2 최종 선택</x:v>
      </x:c>
      <x:c r="H118" s="89" t="n">
        <x:v>815.6</x:v>
      </x:c>
      <x:c r="I118" s="89"/>
      <x:c r="J118" s="89"/>
      <x:c r="K118" s="88" t="str">
        <x:v>단일/없음</x:v>
      </x:c>
      <x:c r="L118" s="88" t="str"/>
    </x:row>
    <x:row r="119">
      <x:c r="A119" s="88" t="n">
        <x:v>7</x:v>
      </x:c>
      <x:c r="B119" s="88" t="str">
        <x:v>S07_KDM</x:v>
      </x:c>
      <x:c r="C119" s="88" t="n">
        <x:v>22</x:v>
      </x:c>
      <x:c r="D119" s="88" t="str">
        <x:v>M09</x:v>
      </x:c>
      <x:c r="E119" s="88" t="str">
        <x:v>4-1 시작</x:v>
      </x:c>
      <x:c r="F119" s="96" t="n">
        <x:v>905.98</x:v>
      </x:c>
      <x:c r="G119" s="89" t="str">
        <x:v>$2 최종 선택</x:v>
      </x:c>
      <x:c r="H119" s="89" t="n">
        <x:v>905.98</x:v>
      </x:c>
      <x:c r="I119" s="89"/>
      <x:c r="J119" s="89"/>
      <x:c r="K119" s="88" t="str">
        <x:v>단일/없음</x:v>
      </x:c>
      <x:c r="L119" s="88" t="str"/>
    </x:row>
    <x:row r="120">
      <x:c r="A120" s="88" t="n">
        <x:v>7</x:v>
      </x:c>
      <x:c r="B120" s="88" t="str">
        <x:v>S07_KDM</x:v>
      </x:c>
      <x:c r="C120" s="88" t="n">
        <x:v>22</x:v>
      </x:c>
      <x:c r="D120" s="88" t="str">
        <x:v>M10</x:v>
      </x:c>
      <x:c r="E120" s="88" t="str">
        <x:v>4-1 종료</x:v>
      </x:c>
      <x:c r="F120" s="96" t="n">
        <x:v>922.08</x:v>
      </x:c>
      <x:c r="G120" s="89" t="str">
        <x:v>$2 최종 선택</x:v>
      </x:c>
      <x:c r="H120" s="89" t="n">
        <x:v>922.08</x:v>
      </x:c>
      <x:c r="I120" s="103" t="n">
        <x:v>933.84</x:v>
      </x:c>
      <x:c r="J120" s="89"/>
      <x:c r="K120" s="88" t="str">
        <x:v>단일/없음</x:v>
      </x:c>
      <x:c r="L120" s="88" t="str"/>
    </x:row>
    <x:row r="121">
      <x:c r="A121" s="88" t="n">
        <x:v>7</x:v>
      </x:c>
      <x:c r="B121" s="88" t="str">
        <x:v>S07_KDM</x:v>
      </x:c>
      <x:c r="C121" s="88" t="n">
        <x:v>22</x:v>
      </x:c>
      <x:c r="D121" s="88" t="str">
        <x:v>M11</x:v>
      </x:c>
      <x:c r="E121" s="88" t="str">
        <x:v>4-2 시작</x:v>
      </x:c>
      <x:c r="F121" s="96" t="n">
        <x:v>933.84</x:v>
      </x:c>
      <x:c r="G121" s="89" t="str">
        <x:v>$2 최종 선택</x:v>
      </x:c>
      <x:c r="H121" s="89" t="n">
        <x:v>933.84</x:v>
      </x:c>
      <x:c r="I121" s="103" t="n">
        <x:v>922.08</x:v>
      </x:c>
      <x:c r="J121" s="89"/>
      <x:c r="K121" s="88" t="str">
        <x:v>단일/없음</x:v>
      </x:c>
      <x:c r="L121" s="88" t="str"/>
    </x:row>
    <x:row r="122">
      <x:c r="A122" s="88" t="n">
        <x:v>7</x:v>
      </x:c>
      <x:c r="B122" s="88" t="str">
        <x:v>S07_KDM</x:v>
      </x:c>
      <x:c r="C122" s="88" t="n">
        <x:v>22</x:v>
      </x:c>
      <x:c r="D122" s="88" t="str">
        <x:v>M12</x:v>
      </x:c>
      <x:c r="E122" s="88" t="str">
        <x:v>4-2 종료</x:v>
      </x:c>
      <x:c r="F122" s="96" t="n">
        <x:v>979.4680000000001</x:v>
      </x:c>
      <x:c r="G122" s="89" t="str">
        <x:v>$2 최종 선택</x:v>
      </x:c>
      <x:c r="H122" s="89" t="n">
        <x:v>979.4680000000001</x:v>
      </x:c>
      <x:c r="I122" s="103" t="n">
        <x:v>973.3040000000001</x:v>
      </x:c>
      <x:c r="J122" s="103" t="n">
        <x:v>988.268</x:v>
      </x:c>
      <x:c r="K122" s="88" t="str">
        <x:v>단일/없음</x:v>
      </x:c>
      <x:c r="L122" s="88" t="str"/>
    </x:row>
    <x:row r="123">
      <x:c r="A123" s="88" t="n">
        <x:v>7</x:v>
      </x:c>
      <x:c r="B123" s="88" t="str">
        <x:v>S07_KDM</x:v>
      </x:c>
      <x:c r="C123" s="88" t="n">
        <x:v>22</x:v>
      </x:c>
      <x:c r="D123" s="88" t="str">
        <x:v>M13</x:v>
      </x:c>
      <x:c r="E123" s="88" t="str">
        <x:v>4-3 시작</x:v>
      </x:c>
      <x:c r="F123" s="96" t="n">
        <x:v>988.268</x:v>
      </x:c>
      <x:c r="G123" s="89" t="str">
        <x:v>$2 최종 선택</x:v>
      </x:c>
      <x:c r="H123" s="89" t="n">
        <x:v>988.268</x:v>
      </x:c>
      <x:c r="I123" s="103" t="n">
        <x:v>979.4680000000001</x:v>
      </x:c>
      <x:c r="J123" s="103" t="n">
        <x:v>973.3040000000001</x:v>
      </x:c>
      <x:c r="K123" s="88" t="str">
        <x:v>단일/없음</x:v>
      </x:c>
      <x:c r="L123" s="88" t="str"/>
    </x:row>
    <x:row r="124">
      <x:c r="A124" s="88" t="n">
        <x:v>7</x:v>
      </x:c>
      <x:c r="B124" s="88" t="str">
        <x:v>S07_KDM</x:v>
      </x:c>
      <x:c r="C124" s="88" t="n">
        <x:v>22</x:v>
      </x:c>
      <x:c r="D124" s="88" t="str">
        <x:v>M14</x:v>
      </x:c>
      <x:c r="E124" s="88" t="str">
        <x:v>4-3 종료</x:v>
      </x:c>
      <x:c r="F124" s="96" t="n">
        <x:v>1035.108</x:v>
      </x:c>
      <x:c r="G124" s="89" t="str">
        <x:v>$2 최종 선택</x:v>
      </x:c>
      <x:c r="H124" s="89" t="n">
        <x:v>1035.108</x:v>
      </x:c>
      <x:c r="I124" s="103" t="n">
        <x:v>1046.708</x:v>
      </x:c>
      <x:c r="J124" s="89"/>
      <x:c r="K124" s="88" t="str">
        <x:v>단일/없음</x:v>
      </x:c>
      <x:c r="L124" s="88" t="str"/>
    </x:row>
    <x:row r="125">
      <x:c r="A125" s="88" t="n">
        <x:v>7</x:v>
      </x:c>
      <x:c r="B125" s="88" t="str">
        <x:v>S07_KDM</x:v>
      </x:c>
      <x:c r="C125" s="88" t="n">
        <x:v>22</x:v>
      </x:c>
      <x:c r="D125" s="88" t="str">
        <x:v>M15</x:v>
      </x:c>
      <x:c r="E125" s="88" t="str">
        <x:v>4-4 시작</x:v>
      </x:c>
      <x:c r="F125" s="96" t="n">
        <x:v>1046.708</x:v>
      </x:c>
      <x:c r="G125" s="89" t="str">
        <x:v>$2 최종 선택</x:v>
      </x:c>
      <x:c r="H125" s="89" t="n">
        <x:v>1046.708</x:v>
      </x:c>
      <x:c r="I125" s="103" t="n">
        <x:v>1056.98</x:v>
      </x:c>
      <x:c r="J125" s="103" t="n">
        <x:v>1035.108</x:v>
      </x:c>
      <x:c r="K125" s="88" t="str">
        <x:v>단일/없음</x:v>
      </x:c>
      <x:c r="L125" s="88" t="str"/>
    </x:row>
    <x:row r="126">
      <x:c r="A126" s="88" t="n">
        <x:v>7</x:v>
      </x:c>
      <x:c r="B126" s="88" t="str">
        <x:v>S07_KDM</x:v>
      </x:c>
      <x:c r="C126" s="88" t="n">
        <x:v>22</x:v>
      </x:c>
      <x:c r="D126" s="88" t="str">
        <x:v>M16</x:v>
      </x:c>
      <x:c r="E126" s="88" t="str">
        <x:v>4-4 종료</x:v>
      </x:c>
      <x:c r="F126" s="96" t="n">
        <x:v>1056.98</x:v>
      </x:c>
      <x:c r="G126" s="89" t="str">
        <x:v>$2 최종 선택</x:v>
      </x:c>
      <x:c r="H126" s="89" t="n">
        <x:v>1056.98</x:v>
      </x:c>
      <x:c r="I126" s="103" t="n">
        <x:v>1046.708</x:v>
      </x:c>
      <x:c r="J126" s="89"/>
      <x:c r="K126" s="88" t="str">
        <x:v>단일/없음</x:v>
      </x:c>
      <x:c r="L126" s="88" t="str"/>
    </x:row>
    <x:row r="127">
      <x:c r="A127" s="88" t="n">
        <x:v>7</x:v>
      </x:c>
      <x:c r="B127" s="88" t="str">
        <x:v>S07_KDM</x:v>
      </x:c>
      <x:c r="C127" s="88" t="n">
        <x:v>22</x:v>
      </x:c>
      <x:c r="D127" s="88" t="str">
        <x:v>M17</x:v>
      </x:c>
      <x:c r="E127" s="88" t="str">
        <x:v>5 시작</x:v>
      </x:c>
      <x:c r="F127" s="96" t="n">
        <x:v>1133.8</x:v>
      </x:c>
      <x:c r="G127" s="89" t="str">
        <x:v>$2 최종 선택</x:v>
      </x:c>
      <x:c r="H127" s="89" t="n">
        <x:v>1133.8</x:v>
      </x:c>
      <x:c r="I127" s="89"/>
      <x:c r="J127" s="89"/>
      <x:c r="K127" s="88" t="str">
        <x:v>단일/없음</x:v>
      </x:c>
      <x:c r="L127" s="88" t="str"/>
    </x:row>
    <x:row r="128">
      <x:c r="A128" s="88" t="n">
        <x:v>7</x:v>
      </x:c>
      <x:c r="B128" s="88" t="str">
        <x:v>S07_KDM</x:v>
      </x:c>
      <x:c r="C128" s="88" t="n">
        <x:v>22</x:v>
      </x:c>
      <x:c r="D128" s="88" t="str">
        <x:v>M18</x:v>
      </x:c>
      <x:c r="E128" s="88" t="str">
        <x:v>5 종료</x:v>
      </x:c>
      <x:c r="F128" s="96" t="n">
        <x:v>1320.304</x:v>
      </x:c>
      <x:c r="G128" s="89" t="str">
        <x:v>$2 최종 선택</x:v>
      </x:c>
      <x:c r="H128" s="89" t="n">
        <x:v>1320.304</x:v>
      </x:c>
      <x:c r="I128" s="89"/>
      <x:c r="J128" s="89"/>
      <x:c r="K128" s="88" t="str">
        <x:v>단일/없음</x:v>
      </x:c>
      <x:c r="L128" s="88" t="str"/>
    </x:row>
    <x:row r="129">
      <x:c r="A129" s="88" t="n">
        <x:v>7</x:v>
      </x:c>
      <x:c r="B129" s="88" t="str">
        <x:v>S07_KDM</x:v>
      </x:c>
      <x:c r="C129" s="88" t="n">
        <x:v>22</x:v>
      </x:c>
      <x:c r="D129" s="88" t="str">
        <x:v>M19</x:v>
      </x:c>
      <x:c r="E129" s="88" t="str">
        <x:v>6 시작</x:v>
      </x:c>
      <x:c r="F129" s="96" t="n">
        <x:v>1377.064</x:v>
      </x:c>
      <x:c r="G129" s="89" t="str">
        <x:v>$2 최종 선택</x:v>
      </x:c>
      <x:c r="H129" s="89" t="n">
        <x:v>1377.064</x:v>
      </x:c>
      <x:c r="I129" s="89"/>
      <x:c r="J129" s="89"/>
      <x:c r="K129" s="88" t="str">
        <x:v>단일/없음</x:v>
      </x:c>
      <x:c r="L129" s="88" t="str"/>
    </x:row>
    <x:row r="130">
      <x:c r="A130" s="88" t="n">
        <x:v>7</x:v>
      </x:c>
      <x:c r="B130" s="88" t="str">
        <x:v>S07_KDM</x:v>
      </x:c>
      <x:c r="C130" s="88" t="n">
        <x:v>22</x:v>
      </x:c>
      <x:c r="D130" s="88" t="str">
        <x:v>M20</x:v>
      </x:c>
      <x:c r="E130" s="88" t="str">
        <x:v>6 종료</x:v>
      </x:c>
      <x:c r="F130" s="96" t="n">
        <x:v>1400.7</x:v>
      </x:c>
      <x:c r="G130" s="89" t="str">
        <x:v>$2 최종 선택</x:v>
      </x:c>
      <x:c r="H130" s="89" t="n">
        <x:v>1400.7</x:v>
      </x:c>
      <x:c r="I130" s="89"/>
      <x:c r="J130" s="89"/>
      <x:c r="K130" s="88" t="str">
        <x:v>단일/없음</x:v>
      </x:c>
      <x:c r="L130" s="88" t="str"/>
    </x:row>
    <x:row r="131">
      <x:c r="A131" s="88" t="n">
        <x:v>7</x:v>
      </x:c>
      <x:c r="B131" s="88" t="str">
        <x:v>S07_KDM</x:v>
      </x:c>
      <x:c r="C131" s="88" t="n">
        <x:v>22</x:v>
      </x:c>
      <x:c r="D131" s="88" t="str">
        <x:v>M21</x:v>
      </x:c>
      <x:c r="E131" s="88" t="str">
        <x:v>7 시작</x:v>
      </x:c>
      <x:c r="F131" s="96" t="n">
        <x:v>1426.924</x:v>
      </x:c>
      <x:c r="G131" s="89" t="str">
        <x:v>$2 최종 선택</x:v>
      </x:c>
      <x:c r="H131" s="89" t="n">
        <x:v>1426.924</x:v>
      </x:c>
      <x:c r="I131" s="103" t="n">
        <x:v>1439.6000000000001</x:v>
      </x:c>
      <x:c r="J131" s="89"/>
      <x:c r="K131" s="88" t="str">
        <x:v>단일/없음</x:v>
      </x:c>
      <x:c r="L131" s="88" t="str"/>
    </x:row>
    <x:row r="132">
      <x:c r="A132" s="88" t="n">
        <x:v>7</x:v>
      </x:c>
      <x:c r="B132" s="88" t="str">
        <x:v>S07_KDM</x:v>
      </x:c>
      <x:c r="C132" s="88" t="n">
        <x:v>22</x:v>
      </x:c>
      <x:c r="D132" s="88" t="str">
        <x:v>M22</x:v>
      </x:c>
      <x:c r="E132" s="88" t="str">
        <x:v>7 종료</x:v>
      </x:c>
      <x:c r="F132" s="96" t="n">
        <x:v>1439.6000000000001</x:v>
      </x:c>
      <x:c r="G132" s="89" t="str">
        <x:v>$2 최종 선택</x:v>
      </x:c>
      <x:c r="H132" s="89" t="n">
        <x:v>1439.6000000000001</x:v>
      </x:c>
      <x:c r="I132" s="103" t="n">
        <x:v>1426.924</x:v>
      </x:c>
      <x:c r="J132" s="89"/>
      <x:c r="K132" s="88" t="str">
        <x:v>단일/없음</x:v>
      </x:c>
      <x:c r="L132" s="88" t="str"/>
    </x:row>
    <x:row r="133">
      <x:c r="A133" s="88" t="n">
        <x:v>8</x:v>
      </x:c>
      <x:c r="B133" s="88" t="str">
        <x:v>S08_MDO</x:v>
      </x:c>
      <x:c r="C133" s="88" t="n">
        <x:v>22</x:v>
      </x:c>
      <x:c r="D133" s="88" t="str">
        <x:v>M01</x:v>
      </x:c>
      <x:c r="E133" s="88" t="str">
        <x:v>1 시작</x:v>
      </x:c>
      <x:c r="F133" s="96" t="n">
        <x:v>23.796000000000053</x:v>
      </x:c>
      <x:c r="G133" s="89" t="str">
        <x:v>$2 최종 선택</x:v>
      </x:c>
      <x:c r="H133" s="89" t="n">
        <x:v>23.796000000000053</x:v>
      </x:c>
      <x:c r="I133" s="89"/>
      <x:c r="J133" s="89"/>
      <x:c r="K133" s="88" t="str">
        <x:v>단일/없음</x:v>
      </x:c>
      <x:c r="L133" s="88" t="str"/>
    </x:row>
    <x:row r="134">
      <x:c r="A134" s="88" t="n">
        <x:v>8</x:v>
      </x:c>
      <x:c r="B134" s="88" t="str">
        <x:v>S08_MDO</x:v>
      </x:c>
      <x:c r="C134" s="88" t="n">
        <x:v>22</x:v>
      </x:c>
      <x:c r="D134" s="88" t="str">
        <x:v>M02</x:v>
      </x:c>
      <x:c r="E134" s="88" t="str">
        <x:v>1 종료</x:v>
      </x:c>
      <x:c r="F134" s="96" t="n">
        <x:v>220.16400000000004</x:v>
      </x:c>
      <x:c r="G134" s="89" t="str">
        <x:v>$2 최종 선택</x:v>
      </x:c>
      <x:c r="H134" s="89" t="n">
        <x:v>220.16400000000004</x:v>
      </x:c>
      <x:c r="I134" s="89"/>
      <x:c r="J134" s="89"/>
      <x:c r="K134" s="88" t="str">
        <x:v>단일/없음</x:v>
      </x:c>
      <x:c r="L134" s="88" t="str"/>
    </x:row>
    <x:row r="135">
      <x:c r="A135" s="88" t="n">
        <x:v>8</x:v>
      </x:c>
      <x:c r="B135" s="88" t="str">
        <x:v>S08_MDO</x:v>
      </x:c>
      <x:c r="C135" s="88" t="n">
        <x:v>22</x:v>
      </x:c>
      <x:c r="D135" s="88" t="str">
        <x:v>M03</x:v>
      </x:c>
      <x:c r="E135" s="88" t="str">
        <x:v>2 시작</x:v>
      </x:c>
      <x:c r="F135" s="96" t="n">
        <x:v>260.4440000000001</x:v>
      </x:c>
      <x:c r="G135" s="89" t="str">
        <x:v>$2 최종 선택</x:v>
      </x:c>
      <x:c r="H135" s="89" t="n">
        <x:v>260.4440000000001</x:v>
      </x:c>
      <x:c r="I135" s="89"/>
      <x:c r="J135" s="89"/>
      <x:c r="K135" s="88" t="str">
        <x:v>단일/없음</x:v>
      </x:c>
      <x:c r="L135" s="88" t="str"/>
    </x:row>
    <x:row r="136">
      <x:c r="A136" s="88" t="n">
        <x:v>8</x:v>
      </x:c>
      <x:c r="B136" s="88" t="str">
        <x:v>S08_MDO</x:v>
      </x:c>
      <x:c r="C136" s="88" t="n">
        <x:v>22</x:v>
      </x:c>
      <x:c r="D136" s="88" t="str">
        <x:v>M04</x:v>
      </x:c>
      <x:c r="E136" s="88" t="str">
        <x:v>2 종료</x:v>
      </x:c>
      <x:c r="F136" s="96" t="n">
        <x:v>645.896</x:v>
      </x:c>
      <x:c r="G136" s="89" t="str">
        <x:v>$2 최종 선택</x:v>
      </x:c>
      <x:c r="H136" s="89" t="n">
        <x:v>645.896</x:v>
      </x:c>
      <x:c r="I136" s="103" t="n">
        <x:v>636.292</x:v>
      </x:c>
      <x:c r="J136" s="89"/>
      <x:c r="K136" s="88" t="str">
        <x:v>단일/없음</x:v>
      </x:c>
      <x:c r="L136" s="88" t="str"/>
    </x:row>
    <x:row r="137">
      <x:c r="A137" s="88" t="n">
        <x:v>8</x:v>
      </x:c>
      <x:c r="B137" s="88" t="str">
        <x:v>S08_MDO</x:v>
      </x:c>
      <x:c r="C137" s="88" t="n">
        <x:v>22</x:v>
      </x:c>
      <x:c r="D137" s="88" t="str">
        <x:v>M05</x:v>
      </x:c>
      <x:c r="E137" s="88" t="str">
        <x:v>3-1 시작</x:v>
      </x:c>
      <x:c r="F137" s="96" t="n">
        <x:v>698.452</x:v>
      </x:c>
      <x:c r="G137" s="89" t="str">
        <x:v>$2 최종 선택</x:v>
      </x:c>
      <x:c r="H137" s="89" t="n">
        <x:v>698.452</x:v>
      </x:c>
      <x:c r="I137" s="103" t="n">
        <x:v>707.68</x:v>
      </x:c>
      <x:c r="J137" s="89"/>
      <x:c r="K137" s="88" t="str">
        <x:v>단일/없음</x:v>
      </x:c>
      <x:c r="L137" s="88" t="str"/>
    </x:row>
    <x:row r="138">
      <x:c r="A138" s="88" t="n">
        <x:v>8</x:v>
      </x:c>
      <x:c r="B138" s="88" t="str">
        <x:v>S08_MDO</x:v>
      </x:c>
      <x:c r="C138" s="88" t="n">
        <x:v>22</x:v>
      </x:c>
      <x:c r="D138" s="88" t="str">
        <x:v>M06</x:v>
      </x:c>
      <x:c r="E138" s="88" t="str">
        <x:v>3-1 종료</x:v>
      </x:c>
      <x:c r="F138" s="96" t="n">
        <x:v>707.68</x:v>
      </x:c>
      <x:c r="G138" s="89" t="str">
        <x:v>$2 최종 선택</x:v>
      </x:c>
      <x:c r="H138" s="89" t="n">
        <x:v>707.68</x:v>
      </x:c>
      <x:c r="I138" s="103" t="n">
        <x:v>698.452</x:v>
      </x:c>
      <x:c r="J138" s="103" t="n">
        <x:v>721.928</x:v>
      </x:c>
      <x:c r="K138" s="88" t="str">
        <x:v>단일/없음</x:v>
      </x:c>
      <x:c r="L138" s="88" t="str"/>
    </x:row>
    <x:row r="139">
      <x:c r="A139" s="88" t="n">
        <x:v>8</x:v>
      </x:c>
      <x:c r="B139" s="88" t="str">
        <x:v>S08_MDO</x:v>
      </x:c>
      <x:c r="C139" s="88" t="n">
        <x:v>22</x:v>
      </x:c>
      <x:c r="D139" s="88" t="str">
        <x:v>M07</x:v>
      </x:c>
      <x:c r="E139" s="88" t="str">
        <x:v>3-2 시작</x:v>
      </x:c>
      <x:c r="F139" s="96" t="n">
        <x:v>721.928</x:v>
      </x:c>
      <x:c r="G139" s="89" t="str">
        <x:v>$2 최종 선택</x:v>
      </x:c>
      <x:c r="H139" s="89" t="n">
        <x:v>721.928</x:v>
      </x:c>
      <x:c r="I139" s="103" t="n">
        <x:v>732.524</x:v>
      </x:c>
      <x:c r="J139" s="103" t="n">
        <x:v>707.68</x:v>
      </x:c>
      <x:c r="K139" s="88" t="str">
        <x:v>단일/없음</x:v>
      </x:c>
      <x:c r="L139" s="88" t="str"/>
    </x:row>
    <x:row r="140">
      <x:c r="A140" s="88" t="n">
        <x:v>8</x:v>
      </x:c>
      <x:c r="B140" s="88" t="str">
        <x:v>S08_MDO</x:v>
      </x:c>
      <x:c r="C140" s="88" t="n">
        <x:v>22</x:v>
      </x:c>
      <x:c r="D140" s="88" t="str">
        <x:v>M08</x:v>
      </x:c>
      <x:c r="E140" s="88" t="str">
        <x:v>3-2 종료</x:v>
      </x:c>
      <x:c r="F140" s="96" t="n">
        <x:v>732.524</x:v>
      </x:c>
      <x:c r="G140" s="89" t="str">
        <x:v>$2 최종 선택</x:v>
      </x:c>
      <x:c r="H140" s="89" t="n">
        <x:v>732.524</x:v>
      </x:c>
      <x:c r="I140" s="103" t="n">
        <x:v>721.928</x:v>
      </x:c>
      <x:c r="J140" s="89"/>
      <x:c r="K140" s="88" t="str">
        <x:v>단일/없음</x:v>
      </x:c>
      <x:c r="L140" s="88" t="str"/>
    </x:row>
    <x:row r="141">
      <x:c r="A141" s="88" t="n">
        <x:v>8</x:v>
      </x:c>
      <x:c r="B141" s="88" t="str">
        <x:v>S08_MDO</x:v>
      </x:c>
      <x:c r="C141" s="88" t="n">
        <x:v>22</x:v>
      </x:c>
      <x:c r="D141" s="88" t="str">
        <x:v>M09</x:v>
      </x:c>
      <x:c r="E141" s="88" t="str">
        <x:v>4-1 시작</x:v>
      </x:c>
      <x:c r="F141" s="96" t="n">
        <x:v>808.628</x:v>
      </x:c>
      <x:c r="G141" s="89" t="str">
        <x:v>$2 최종 선택</x:v>
      </x:c>
      <x:c r="H141" s="89" t="n">
        <x:v>808.628</x:v>
      </x:c>
      <x:c r="I141" s="103" t="n">
        <x:v>822.044</x:v>
      </x:c>
      <x:c r="J141" s="89"/>
      <x:c r="K141" s="88" t="str">
        <x:v>단일/없음</x:v>
      </x:c>
      <x:c r="L141" s="88" t="str"/>
    </x:row>
    <x:row r="142">
      <x:c r="A142" s="88" t="n">
        <x:v>8</x:v>
      </x:c>
      <x:c r="B142" s="88" t="str">
        <x:v>S08_MDO</x:v>
      </x:c>
      <x:c r="C142" s="88" t="n">
        <x:v>22</x:v>
      </x:c>
      <x:c r="D142" s="88" t="str">
        <x:v>M10</x:v>
      </x:c>
      <x:c r="E142" s="88" t="str">
        <x:v>4-1 종료</x:v>
      </x:c>
      <x:c r="F142" s="96" t="n">
        <x:v>822.044</x:v>
      </x:c>
      <x:c r="G142" s="89" t="str">
        <x:v>$2 최종 선택</x:v>
      </x:c>
      <x:c r="H142" s="89" t="n">
        <x:v>822.044</x:v>
      </x:c>
      <x:c r="I142" s="103" t="n">
        <x:v>831.704</x:v>
      </x:c>
      <x:c r="J142" s="103" t="n">
        <x:v>808.628</x:v>
      </x:c>
      <x:c r="K142" s="88" t="str">
        <x:v>단일/없음</x:v>
      </x:c>
      <x:c r="L142" s="88" t="str"/>
    </x:row>
    <x:row r="143">
      <x:c r="A143" s="88" t="n">
        <x:v>8</x:v>
      </x:c>
      <x:c r="B143" s="88" t="str">
        <x:v>S08_MDO</x:v>
      </x:c>
      <x:c r="C143" s="88" t="n">
        <x:v>22</x:v>
      </x:c>
      <x:c r="D143" s="88" t="str">
        <x:v>M11</x:v>
      </x:c>
      <x:c r="E143" s="88" t="str">
        <x:v>4-2 시작</x:v>
      </x:c>
      <x:c r="F143" s="96" t="n">
        <x:v>831.704</x:v>
      </x:c>
      <x:c r="G143" s="89" t="str">
        <x:v>$2 최종 선택</x:v>
      </x:c>
      <x:c r="H143" s="89" t="n">
        <x:v>831.704</x:v>
      </x:c>
      <x:c r="I143" s="103" t="n">
        <x:v>822.044</x:v>
      </x:c>
      <x:c r="J143" s="89"/>
      <x:c r="K143" s="88" t="str">
        <x:v>단일/없음</x:v>
      </x:c>
      <x:c r="L143" s="88" t="str"/>
    </x:row>
    <x:row r="144">
      <x:c r="A144" s="88" t="n">
        <x:v>8</x:v>
      </x:c>
      <x:c r="B144" s="88" t="str">
        <x:v>S08_MDO</x:v>
      </x:c>
      <x:c r="C144" s="88" t="n">
        <x:v>22</x:v>
      </x:c>
      <x:c r="D144" s="88" t="str">
        <x:v>M12</x:v>
      </x:c>
      <x:c r="E144" s="88" t="str">
        <x:v>4-2 종료</x:v>
      </x:c>
      <x:c r="F144" s="96" t="n">
        <x:v>876.16</x:v>
      </x:c>
      <x:c r="G144" s="89" t="str">
        <x:v>$2 최종 선택</x:v>
      </x:c>
      <x:c r="H144" s="89" t="n">
        <x:v>876.16</x:v>
      </x:c>
      <x:c r="I144" s="103" t="n">
        <x:v>885.78</x:v>
      </x:c>
      <x:c r="J144" s="89"/>
      <x:c r="K144" s="88" t="str">
        <x:v>단일/없음</x:v>
      </x:c>
      <x:c r="L144" s="88" t="str"/>
    </x:row>
    <x:row r="145">
      <x:c r="A145" s="88" t="n">
        <x:v>8</x:v>
      </x:c>
      <x:c r="B145" s="88" t="str">
        <x:v>S08_MDO</x:v>
      </x:c>
      <x:c r="C145" s="88" t="n">
        <x:v>22</x:v>
      </x:c>
      <x:c r="D145" s="88" t="str">
        <x:v>M13</x:v>
      </x:c>
      <x:c r="E145" s="88" t="str">
        <x:v>4-3 시작</x:v>
      </x:c>
      <x:c r="F145" s="96" t="n">
        <x:v>885.78</x:v>
      </x:c>
      <x:c r="G145" s="89" t="str">
        <x:v>$2 최종 선택</x:v>
      </x:c>
      <x:c r="H145" s="89" t="n">
        <x:v>885.78</x:v>
      </x:c>
      <x:c r="I145" s="103" t="n">
        <x:v>876.16</x:v>
      </x:c>
      <x:c r="J145" s="89"/>
      <x:c r="K145" s="88" t="str">
        <x:v>단일/없음</x:v>
      </x:c>
      <x:c r="L145" s="88" t="str"/>
    </x:row>
    <x:row r="146">
      <x:c r="A146" s="88" t="n">
        <x:v>8</x:v>
      </x:c>
      <x:c r="B146" s="88" t="str">
        <x:v>S08_MDO</x:v>
      </x:c>
      <x:c r="C146" s="88" t="n">
        <x:v>22</x:v>
      </x:c>
      <x:c r="D146" s="88" t="str">
        <x:v>M14</x:v>
      </x:c>
      <x:c r="E146" s="88" t="str">
        <x:v>4-3 종료</x:v>
      </x:c>
      <x:c r="F146" s="96" t="n">
        <x:v>933.436</x:v>
      </x:c>
      <x:c r="G146" s="89" t="str">
        <x:v>$2 최종 선택</x:v>
      </x:c>
      <x:c r="H146" s="89" t="n">
        <x:v>933.436</x:v>
      </x:c>
      <x:c r="I146" s="103" t="n">
        <x:v>948.336</x:v>
      </x:c>
      <x:c r="J146" s="89"/>
      <x:c r="K146" s="88" t="str">
        <x:v>단일/없음</x:v>
      </x:c>
      <x:c r="L146" s="88" t="str"/>
    </x:row>
    <x:row r="147">
      <x:c r="A147" s="88" t="n">
        <x:v>8</x:v>
      </x:c>
      <x:c r="B147" s="88" t="str">
        <x:v>S08_MDO</x:v>
      </x:c>
      <x:c r="C147" s="88" t="n">
        <x:v>22</x:v>
      </x:c>
      <x:c r="D147" s="88" t="str">
        <x:v>M15</x:v>
      </x:c>
      <x:c r="E147" s="88" t="str">
        <x:v>4-4 시작</x:v>
      </x:c>
      <x:c r="F147" s="96" t="n">
        <x:v>948.336</x:v>
      </x:c>
      <x:c r="G147" s="89" t="str">
        <x:v>$2 최종 선택</x:v>
      </x:c>
      <x:c r="H147" s="89" t="n">
        <x:v>948.336</x:v>
      </x:c>
      <x:c r="I147" s="103" t="n">
        <x:v>959.188</x:v>
      </x:c>
      <x:c r="J147" s="103" t="n">
        <x:v>933.436</x:v>
      </x:c>
      <x:c r="K147" s="88" t="str">
        <x:v>단일/없음</x:v>
      </x:c>
      <x:c r="L147" s="88" t="str"/>
    </x:row>
    <x:row r="148">
      <x:c r="A148" s="88" t="n">
        <x:v>8</x:v>
      </x:c>
      <x:c r="B148" s="88" t="str">
        <x:v>S08_MDO</x:v>
      </x:c>
      <x:c r="C148" s="88" t="n">
        <x:v>22</x:v>
      </x:c>
      <x:c r="D148" s="88" t="str">
        <x:v>M16</x:v>
      </x:c>
      <x:c r="E148" s="88" t="str">
        <x:v>4-4 종료</x:v>
      </x:c>
      <x:c r="F148" s="96" t="n">
        <x:v>968.676</x:v>
      </x:c>
      <x:c r="G148" s="89" t="str">
        <x:v>$2 최종 선택</x:v>
      </x:c>
      <x:c r="H148" s="89" t="n">
        <x:v>968.676</x:v>
      </x:c>
      <x:c r="I148" s="103" t="n">
        <x:v>959.188</x:v>
      </x:c>
      <x:c r="J148" s="89"/>
      <x:c r="K148" s="88" t="str">
        <x:v>단일/없음</x:v>
      </x:c>
      <x:c r="L148" s="88" t="str"/>
    </x:row>
    <x:row r="149">
      <x:c r="A149" s="88" t="n">
        <x:v>8</x:v>
      </x:c>
      <x:c r="B149" s="88" t="str">
        <x:v>S08_MDO</x:v>
      </x:c>
      <x:c r="C149" s="88" t="n">
        <x:v>22</x:v>
      </x:c>
      <x:c r="D149" s="88" t="str">
        <x:v>M17</x:v>
      </x:c>
      <x:c r="E149" s="88" t="str">
        <x:v>5 시작</x:v>
      </x:c>
      <x:c r="F149" s="96" t="n">
        <x:v>1021.268</x:v>
      </x:c>
      <x:c r="G149" s="89" t="str">
        <x:v>$2 최종 선택</x:v>
      </x:c>
      <x:c r="H149" s="89" t="n">
        <x:v>1021.268</x:v>
      </x:c>
      <x:c r="I149" s="89"/>
      <x:c r="J149" s="89"/>
      <x:c r="K149" s="88" t="str">
        <x:v>단일/없음</x:v>
      </x:c>
      <x:c r="L149" s="88" t="str"/>
    </x:row>
    <x:row r="150">
      <x:c r="A150" s="88" t="n">
        <x:v>8</x:v>
      </x:c>
      <x:c r="B150" s="88" t="str">
        <x:v>S08_MDO</x:v>
      </x:c>
      <x:c r="C150" s="88" t="n">
        <x:v>22</x:v>
      </x:c>
      <x:c r="D150" s="88" t="str">
        <x:v>M18</x:v>
      </x:c>
      <x:c r="E150" s="88" t="str">
        <x:v>5 종료</x:v>
      </x:c>
      <x:c r="F150" s="96" t="n">
        <x:v>1206.628</x:v>
      </x:c>
      <x:c r="G150" s="89" t="str">
        <x:v>$2 최종 선택</x:v>
      </x:c>
      <x:c r="H150" s="89" t="n">
        <x:v>1206.628</x:v>
      </x:c>
      <x:c r="I150" s="89"/>
      <x:c r="J150" s="89"/>
      <x:c r="K150" s="88" t="str">
        <x:v>단일/없음</x:v>
      </x:c>
      <x:c r="L150" s="88" t="str"/>
    </x:row>
    <x:row r="151">
      <x:c r="A151" s="88" t="n">
        <x:v>8</x:v>
      </x:c>
      <x:c r="B151" s="88" t="str">
        <x:v>S08_MDO</x:v>
      </x:c>
      <x:c r="C151" s="88" t="n">
        <x:v>22</x:v>
      </x:c>
      <x:c r="D151" s="88" t="str">
        <x:v>M19</x:v>
      </x:c>
      <x:c r="E151" s="88" t="str">
        <x:v>6 시작</x:v>
      </x:c>
      <x:c r="F151" s="96" t="n">
        <x:v>1226.092</x:v>
      </x:c>
      <x:c r="G151" s="89" t="str">
        <x:v>$2 최종 선택</x:v>
      </x:c>
      <x:c r="H151" s="89" t="n">
        <x:v>1226.092</x:v>
      </x:c>
      <x:c r="I151" s="89"/>
      <x:c r="J151" s="89"/>
      <x:c r="K151" s="88" t="str">
        <x:v>단일/없음</x:v>
      </x:c>
      <x:c r="L151" s="88" t="str"/>
    </x:row>
    <x:row r="152">
      <x:c r="A152" s="88" t="n">
        <x:v>8</x:v>
      </x:c>
      <x:c r="B152" s="88" t="str">
        <x:v>S08_MDO</x:v>
      </x:c>
      <x:c r="C152" s="88" t="n">
        <x:v>22</x:v>
      </x:c>
      <x:c r="D152" s="88" t="str">
        <x:v>M20</x:v>
      </x:c>
      <x:c r="E152" s="88" t="str">
        <x:v>6 종료</x:v>
      </x:c>
      <x:c r="F152" s="96" t="n">
        <x:v>1247.944</x:v>
      </x:c>
      <x:c r="G152" s="89" t="str">
        <x:v>$2 최종 선택</x:v>
      </x:c>
      <x:c r="H152" s="89" t="n">
        <x:v>1247.944</x:v>
      </x:c>
      <x:c r="I152" s="89"/>
      <x:c r="J152" s="89"/>
      <x:c r="K152" s="88" t="str">
        <x:v>단일/없음</x:v>
      </x:c>
      <x:c r="L152" s="88" t="str"/>
    </x:row>
    <x:row r="153">
      <x:c r="A153" s="88" t="n">
        <x:v>8</x:v>
      </x:c>
      <x:c r="B153" s="88" t="str">
        <x:v>S08_MDO</x:v>
      </x:c>
      <x:c r="C153" s="88" t="n">
        <x:v>22</x:v>
      </x:c>
      <x:c r="D153" s="88" t="str">
        <x:v>M21</x:v>
      </x:c>
      <x:c r="E153" s="88" t="str">
        <x:v>7 시작</x:v>
      </x:c>
      <x:c r="F153" s="96" t="n">
        <x:v>1274.416</x:v>
      </x:c>
      <x:c r="G153" s="89" t="str">
        <x:v>$2 최종 선택</x:v>
      </x:c>
      <x:c r="H153" s="89" t="n">
        <x:v>1274.416</x:v>
      </x:c>
      <x:c r="I153" s="103" t="n">
        <x:v>1286.188</x:v>
      </x:c>
      <x:c r="J153" s="89"/>
      <x:c r="K153" s="88" t="str">
        <x:v>단일/없음</x:v>
      </x:c>
      <x:c r="L153" s="88" t="str"/>
    </x:row>
    <x:row r="154">
      <x:c r="A154" s="88" t="n">
        <x:v>8</x:v>
      </x:c>
      <x:c r="B154" s="88" t="str">
        <x:v>S08_MDO</x:v>
      </x:c>
      <x:c r="C154" s="88" t="n">
        <x:v>22</x:v>
      </x:c>
      <x:c r="D154" s="88" t="str">
        <x:v>M22</x:v>
      </x:c>
      <x:c r="E154" s="88" t="str">
        <x:v>7 종료</x:v>
      </x:c>
      <x:c r="F154" s="96" t="n">
        <x:v>1286.188</x:v>
      </x:c>
      <x:c r="G154" s="89" t="str">
        <x:v>$2 최종 선택</x:v>
      </x:c>
      <x:c r="H154" s="89" t="n">
        <x:v>1286.188</x:v>
      </x:c>
      <x:c r="I154" s="103" t="n">
        <x:v>1274.416</x:v>
      </x:c>
      <x:c r="J154" s="89"/>
      <x:c r="K154" s="88" t="str">
        <x:v>단일/없음</x:v>
      </x:c>
      <x:c r="L154" s="88" t="str"/>
    </x:row>
    <x:row r="155">
      <x:c r="A155" s="88" t="n">
        <x:v>9</x:v>
      </x:c>
      <x:c r="B155" s="88" t="str">
        <x:v>S09_HDH</x:v>
      </x:c>
      <x:c r="C155" s="88" t="n">
        <x:v>22</x:v>
      </x:c>
      <x:c r="D155" s="88" t="str">
        <x:v>M01</x:v>
      </x:c>
      <x:c r="E155" s="88" t="str">
        <x:v>1 시작</x:v>
      </x:c>
      <x:c r="F155" s="96" t="n">
        <x:v>16.915000000000067</x:v>
      </x:c>
      <x:c r="G155" s="89" t="str">
        <x:v>$2 최종 선택</x:v>
      </x:c>
      <x:c r="H155" s="89" t="n">
        <x:v>16.915000000000067</x:v>
      </x:c>
      <x:c r="I155" s="89"/>
      <x:c r="J155" s="89"/>
      <x:c r="K155" s="88" t="str">
        <x:v>단일/없음</x:v>
      </x:c>
      <x:c r="L155" s="88" t="str"/>
    </x:row>
    <x:row r="156">
      <x:c r="A156" s="88" t="n">
        <x:v>9</x:v>
      </x:c>
      <x:c r="B156" s="88" t="str">
        <x:v>S09_HDH</x:v>
      </x:c>
      <x:c r="C156" s="88" t="n">
        <x:v>22</x:v>
      </x:c>
      <x:c r="D156" s="88" t="str">
        <x:v>M02</x:v>
      </x:c>
      <x:c r="E156" s="88" t="str">
        <x:v>1 종료</x:v>
      </x:c>
      <x:c r="F156" s="96" t="n">
        <x:v>209.82400000000007</x:v>
      </x:c>
      <x:c r="G156" s="89" t="str">
        <x:v>$2 최종 선택</x:v>
      </x:c>
      <x:c r="H156" s="89" t="n">
        <x:v>209.8240000000001</x:v>
      </x:c>
      <x:c r="I156" s="89"/>
      <x:c r="J156" s="89"/>
      <x:c r="K156" s="88" t="str">
        <x:v>단일/없음</x:v>
      </x:c>
      <x:c r="L156" s="88" t="str"/>
    </x:row>
    <x:row r="157">
      <x:c r="A157" s="88" t="n">
        <x:v>9</x:v>
      </x:c>
      <x:c r="B157" s="88" t="str">
        <x:v>S09_HDH</x:v>
      </x:c>
      <x:c r="C157" s="88" t="n">
        <x:v>22</x:v>
      </x:c>
      <x:c r="D157" s="88" t="str">
        <x:v>M03</x:v>
      </x:c>
      <x:c r="E157" s="88" t="str">
        <x:v>2 시작</x:v>
      </x:c>
      <x:c r="F157" s="96" t="n">
        <x:v>272.42800000000005</x:v>
      </x:c>
      <x:c r="G157" s="89" t="str">
        <x:v>$2 최종 선택</x:v>
      </x:c>
      <x:c r="H157" s="89" t="n">
        <x:v>272.42800000000005</x:v>
      </x:c>
      <x:c r="I157" s="89"/>
      <x:c r="J157" s="89"/>
      <x:c r="K157" s="88" t="str">
        <x:v>단일/없음</x:v>
      </x:c>
      <x:c r="L157" s="88" t="str"/>
    </x:row>
    <x:row r="158">
      <x:c r="A158" s="88" t="n">
        <x:v>9</x:v>
      </x:c>
      <x:c r="B158" s="88" t="str">
        <x:v>S09_HDH</x:v>
      </x:c>
      <x:c r="C158" s="88" t="n">
        <x:v>22</x:v>
      </x:c>
      <x:c r="D158" s="88" t="str">
        <x:v>M04</x:v>
      </x:c>
      <x:c r="E158" s="88" t="str">
        <x:v>2 종료</x:v>
      </x:c>
      <x:c r="F158" s="96" t="n">
        <x:v>647.296</x:v>
      </x:c>
      <x:c r="G158" s="89" t="str">
        <x:v>$2 최종 선택</x:v>
      </x:c>
      <x:c r="H158" s="89" t="n">
        <x:v>647.296</x:v>
      </x:c>
      <x:c r="I158" s="89"/>
      <x:c r="J158" s="89"/>
      <x:c r="K158" s="88" t="str">
        <x:v>단일/없음</x:v>
      </x:c>
      <x:c r="L158" s="88" t="str"/>
    </x:row>
    <x:row r="159">
      <x:c r="A159" s="88" t="n">
        <x:v>9</x:v>
      </x:c>
      <x:c r="B159" s="88" t="str">
        <x:v>S09_HDH</x:v>
      </x:c>
      <x:c r="C159" s="88" t="n">
        <x:v>22</x:v>
      </x:c>
      <x:c r="D159" s="88" t="str">
        <x:v>M05</x:v>
      </x:c>
      <x:c r="E159" s="88" t="str">
        <x:v>3-1 시작</x:v>
      </x:c>
      <x:c r="F159" s="96" t="n">
        <x:v>781.8704</x:v>
      </x:c>
      <x:c r="G159" s="89" t="str">
        <x:v>$2 최종 선택</x:v>
      </x:c>
      <x:c r="H159" s="89" t="n">
        <x:v>781.8704</x:v>
      </x:c>
      <x:c r="I159" s="89"/>
      <x:c r="J159" s="89"/>
      <x:c r="K159" s="88" t="str">
        <x:v>단일/없음</x:v>
      </x:c>
      <x:c r="L159" s="88" t="str"/>
    </x:row>
    <x:row r="160">
      <x:c r="A160" s="88" t="n">
        <x:v>9</x:v>
      </x:c>
      <x:c r="B160" s="88" t="str">
        <x:v>S09_HDH</x:v>
      </x:c>
      <x:c r="C160" s="88" t="n">
        <x:v>22</x:v>
      </x:c>
      <x:c r="D160" s="88" t="str">
        <x:v>M06</x:v>
      </x:c>
      <x:c r="E160" s="88" t="str">
        <x:v>3-1 종료</x:v>
      </x:c>
      <x:c r="F160" s="96" t="n">
        <x:v>803.2750000000001</x:v>
      </x:c>
      <x:c r="G160" s="89" t="str">
        <x:v>$2 최종 선택</x:v>
      </x:c>
      <x:c r="H160" s="89" t="n">
        <x:v>803.275</x:v>
      </x:c>
      <x:c r="I160" s="89"/>
      <x:c r="J160" s="89"/>
      <x:c r="K160" s="88" t="str">
        <x:v>단일/없음</x:v>
      </x:c>
      <x:c r="L160" s="88" t="str"/>
    </x:row>
    <x:row r="161">
      <x:c r="A161" s="88" t="n">
        <x:v>9</x:v>
      </x:c>
      <x:c r="B161" s="88" t="str">
        <x:v>S09_HDH</x:v>
      </x:c>
      <x:c r="C161" s="88" t="n">
        <x:v>22</x:v>
      </x:c>
      <x:c r="D161" s="88" t="str">
        <x:v>M07</x:v>
      </x:c>
      <x:c r="E161" s="88" t="str">
        <x:v>3-2 시작</x:v>
      </x:c>
      <x:c r="F161" s="96" t="n">
        <x:v>825.5600000000001</x:v>
      </x:c>
      <x:c r="G161" s="89" t="str">
        <x:v>$2 최종 선택</x:v>
      </x:c>
      <x:c r="H161" s="89" t="n">
        <x:v>825.5600000000001</x:v>
      </x:c>
      <x:c r="I161" s="89"/>
      <x:c r="J161" s="89"/>
      <x:c r="K161" s="88" t="str">
        <x:v>단일/없음</x:v>
      </x:c>
      <x:c r="L161" s="88" t="str"/>
    </x:row>
    <x:row r="162">
      <x:c r="A162" s="88" t="n">
        <x:v>9</x:v>
      </x:c>
      <x:c r="B162" s="88" t="str">
        <x:v>S09_HDH</x:v>
      </x:c>
      <x:c r="C162" s="88" t="n">
        <x:v>22</x:v>
      </x:c>
      <x:c r="D162" s="88" t="str">
        <x:v>M08</x:v>
      </x:c>
      <x:c r="E162" s="88" t="str">
        <x:v>3-2 종료</x:v>
      </x:c>
      <x:c r="F162" s="96" t="n">
        <x:v>841.4920000000001</x:v>
      </x:c>
      <x:c r="G162" s="89" t="str">
        <x:v>$2 최종 선택</x:v>
      </x:c>
      <x:c r="H162" s="89" t="n">
        <x:v>841.4920000000001</x:v>
      </x:c>
      <x:c r="I162" s="89"/>
      <x:c r="J162" s="89"/>
      <x:c r="K162" s="88" t="str">
        <x:v>단일/없음</x:v>
      </x:c>
      <x:c r="L162" s="88" t="str"/>
    </x:row>
    <x:row r="163">
      <x:c r="A163" s="88" t="n">
        <x:v>9</x:v>
      </x:c>
      <x:c r="B163" s="88" t="str">
        <x:v>S09_HDH</x:v>
      </x:c>
      <x:c r="C163" s="88" t="n">
        <x:v>22</x:v>
      </x:c>
      <x:c r="D163" s="88" t="str">
        <x:v>M09</x:v>
      </x:c>
      <x:c r="E163" s="88" t="str">
        <x:v>4-1 시작</x:v>
      </x:c>
      <x:c r="F163" s="96" t="n">
        <x:v>951.802</x:v>
      </x:c>
      <x:c r="G163" s="89" t="str">
        <x:v>$2 최종 선택</x:v>
      </x:c>
      <x:c r="H163" s="89" t="n">
        <x:v>951.8020000000001</x:v>
      </x:c>
      <x:c r="I163" s="103" t="n">
        <x:v>960.724</x:v>
      </x:c>
      <x:c r="J163" s="89"/>
      <x:c r="K163" s="88" t="str">
        <x:v>단일/없음</x:v>
      </x:c>
      <x:c r="L163" s="88" t="str"/>
    </x:row>
    <x:row r="164">
      <x:c r="A164" s="88" t="n">
        <x:v>9</x:v>
      </x:c>
      <x:c r="B164" s="88" t="str">
        <x:v>S09_HDH</x:v>
      </x:c>
      <x:c r="C164" s="88" t="n">
        <x:v>22</x:v>
      </x:c>
      <x:c r="D164" s="88" t="str">
        <x:v>M10</x:v>
      </x:c>
      <x:c r="E164" s="88" t="str">
        <x:v>4-1 종료</x:v>
      </x:c>
      <x:c r="F164" s="96" t="n">
        <x:v>969.796</x:v>
      </x:c>
      <x:c r="G164" s="89" t="str">
        <x:v>$2 최종 선택</x:v>
      </x:c>
      <x:c r="H164" s="89" t="n">
        <x:v>969.796</x:v>
      </x:c>
      <x:c r="I164" s="103" t="n">
        <x:v>960.724</x:v>
      </x:c>
      <x:c r="J164" s="89"/>
      <x:c r="K164" s="88" t="str">
        <x:v>단일/없음</x:v>
      </x:c>
      <x:c r="L164" s="88" t="str"/>
    </x:row>
    <x:row r="165">
      <x:c r="A165" s="88" t="n">
        <x:v>9</x:v>
      </x:c>
      <x:c r="B165" s="88" t="str">
        <x:v>S09_HDH</x:v>
      </x:c>
      <x:c r="C165" s="88" t="n">
        <x:v>22</x:v>
      </x:c>
      <x:c r="D165" s="88" t="str">
        <x:v>M11</x:v>
      </x:c>
      <x:c r="E165" s="88" t="str">
        <x:v>4-2 시작</x:v>
      </x:c>
      <x:c r="F165" s="96" t="n">
        <x:v>987.9432</x:v>
      </x:c>
      <x:c r="G165" s="89" t="str">
        <x:v>$2 최종 선택</x:v>
      </x:c>
      <x:c r="H165" s="89" t="n">
        <x:v>987.9432000000002</x:v>
      </x:c>
      <x:c r="I165" s="89"/>
      <x:c r="J165" s="89"/>
      <x:c r="K165" s="88" t="str">
        <x:v>단일/없음</x:v>
      </x:c>
      <x:c r="L165" s="88" t="str"/>
    </x:row>
    <x:row r="166">
      <x:c r="A166" s="88" t="n">
        <x:v>9</x:v>
      </x:c>
      <x:c r="B166" s="88" t="str">
        <x:v>S09_HDH</x:v>
      </x:c>
      <x:c r="C166" s="88" t="n">
        <x:v>22</x:v>
      </x:c>
      <x:c r="D166" s="88" t="str">
        <x:v>M12</x:v>
      </x:c>
      <x:c r="E166" s="88" t="str">
        <x:v>4-2 종료</x:v>
      </x:c>
      <x:c r="F166" s="96" t="n">
        <x:v>1036.132</x:v>
      </x:c>
      <x:c r="G166" s="89" t="str">
        <x:v>$2 최종 선택</x:v>
      </x:c>
      <x:c r="H166" s="89" t="n">
        <x:v>1036.132</x:v>
      </x:c>
      <x:c r="I166" s="103" t="n">
        <x:v>1030.2440000000001</x:v>
      </x:c>
      <x:c r="J166" s="103" t="n">
        <x:v>1049.458</x:v>
      </x:c>
      <x:c r="K166" s="88" t="str">
        <x:v>단일/없음</x:v>
      </x:c>
      <x:c r="L166" s="88" t="str"/>
    </x:row>
    <x:row r="167">
      <x:c r="A167" s="88" t="n">
        <x:v>9</x:v>
      </x:c>
      <x:c r="B167" s="88" t="str">
        <x:v>S09_HDH</x:v>
      </x:c>
      <x:c r="C167" s="88" t="n">
        <x:v>22</x:v>
      </x:c>
      <x:c r="D167" s="88" t="str">
        <x:v>M13</x:v>
      </x:c>
      <x:c r="E167" s="88" t="str">
        <x:v>4-3 시작</x:v>
      </x:c>
      <x:c r="F167" s="96" t="n">
        <x:v>1049.458</x:v>
      </x:c>
      <x:c r="G167" s="89" t="str">
        <x:v>$2 최종 선택</x:v>
      </x:c>
      <x:c r="H167" s="89" t="n">
        <x:v>1049.458</x:v>
      </x:c>
      <x:c r="I167" s="103" t="n">
        <x:v>1036.132</x:v>
      </x:c>
      <x:c r="J167" s="89"/>
      <x:c r="K167" s="88" t="str">
        <x:v>단일/없음</x:v>
      </x:c>
      <x:c r="L167" s="88" t="str"/>
    </x:row>
    <x:row r="168">
      <x:c r="A168" s="88" t="n">
        <x:v>9</x:v>
      </x:c>
      <x:c r="B168" s="88" t="str">
        <x:v>S09_HDH</x:v>
      </x:c>
      <x:c r="C168" s="88" t="n">
        <x:v>22</x:v>
      </x:c>
      <x:c r="D168" s="88" t="str">
        <x:v>M14</x:v>
      </x:c>
      <x:c r="E168" s="88" t="str">
        <x:v>4-3 종료</x:v>
      </x:c>
      <x:c r="F168" s="96" t="n">
        <x:v>1099.0800000000002</x:v>
      </x:c>
      <x:c r="G168" s="89" t="str">
        <x:v>$2 최종 선택</x:v>
      </x:c>
      <x:c r="H168" s="89" t="n">
        <x:v>1099.0800000000002</x:v>
      </x:c>
      <x:c r="I168" s="89"/>
      <x:c r="J168" s="89"/>
      <x:c r="K168" s="88" t="str">
        <x:v>단일/없음</x:v>
      </x:c>
      <x:c r="L168" s="88" t="str"/>
    </x:row>
    <x:row r="169">
      <x:c r="A169" s="88" t="n">
        <x:v>9</x:v>
      </x:c>
      <x:c r="B169" s="88" t="str">
        <x:v>S09_HDH</x:v>
      </x:c>
      <x:c r="C169" s="88" t="n">
        <x:v>22</x:v>
      </x:c>
      <x:c r="D169" s="88" t="str">
        <x:v>M15</x:v>
      </x:c>
      <x:c r="E169" s="88" t="str">
        <x:v>4-4 시작</x:v>
      </x:c>
      <x:c r="F169" s="96" t="n">
        <x:v>1121.848</x:v>
      </x:c>
      <x:c r="G169" s="89" t="str">
        <x:v>$2 최종 선택</x:v>
      </x:c>
      <x:c r="H169" s="89" t="n">
        <x:v>1121.848</x:v>
      </x:c>
      <x:c r="I169" s="103" t="n">
        <x:v>1134.6333333333334</x:v>
      </x:c>
      <x:c r="J169" s="89"/>
      <x:c r="K169" s="88" t="str">
        <x:v>단일/없음</x:v>
      </x:c>
      <x:c r="L169" s="88" t="str"/>
    </x:row>
    <x:row r="170">
      <x:c r="A170" s="88" t="n">
        <x:v>9</x:v>
      </x:c>
      <x:c r="B170" s="88" t="str">
        <x:v>S09_HDH</x:v>
      </x:c>
      <x:c r="C170" s="88" t="n">
        <x:v>22</x:v>
      </x:c>
      <x:c r="D170" s="88" t="str">
        <x:v>M16</x:v>
      </x:c>
      <x:c r="E170" s="88" t="str">
        <x:v>4-4 종료</x:v>
      </x:c>
      <x:c r="F170" s="96" t="n">
        <x:v>1134.633333</x:v>
      </x:c>
      <x:c r="G170" s="89" t="str">
        <x:v>$2 최종 선택</x:v>
      </x:c>
      <x:c r="H170" s="89" t="n">
        <x:v>1134.6333333333334</x:v>
      </x:c>
      <x:c r="I170" s="103" t="n">
        <x:v>1121.848</x:v>
      </x:c>
      <x:c r="J170" s="89"/>
      <x:c r="K170" s="88" t="str">
        <x:v>단일/없음</x:v>
      </x:c>
      <x:c r="L170" s="88" t="str"/>
    </x:row>
    <x:row r="171">
      <x:c r="A171" s="88" t="n">
        <x:v>9</x:v>
      </x:c>
      <x:c r="B171" s="88" t="str">
        <x:v>S09_HDH</x:v>
      </x:c>
      <x:c r="C171" s="88" t="n">
        <x:v>22</x:v>
      </x:c>
      <x:c r="D171" s="88" t="str">
        <x:v>M17</x:v>
      </x:c>
      <x:c r="E171" s="88" t="str">
        <x:v>5 시작</x:v>
      </x:c>
      <x:c r="F171" s="96" t="n">
        <x:v>1206.624</x:v>
      </x:c>
      <x:c r="G171" s="89" t="str">
        <x:v>$2 최종 선택</x:v>
      </x:c>
      <x:c r="H171" s="89" t="n">
        <x:v>1206.624</x:v>
      </x:c>
      <x:c r="I171" s="89"/>
      <x:c r="J171" s="89"/>
      <x:c r="K171" s="88" t="str">
        <x:v>단일/없음</x:v>
      </x:c>
      <x:c r="L171" s="88" t="str"/>
    </x:row>
    <x:row r="172">
      <x:c r="A172" s="88" t="n">
        <x:v>9</x:v>
      </x:c>
      <x:c r="B172" s="88" t="str">
        <x:v>S09_HDH</x:v>
      </x:c>
      <x:c r="C172" s="88" t="n">
        <x:v>22</x:v>
      </x:c>
      <x:c r="D172" s="88" t="str">
        <x:v>M18</x:v>
      </x:c>
      <x:c r="E172" s="88" t="str">
        <x:v>5 종료</x:v>
      </x:c>
      <x:c r="F172" s="96" t="n">
        <x:v>1394.844</x:v>
      </x:c>
      <x:c r="G172" s="89" t="str">
        <x:v>$2 최종 선택</x:v>
      </x:c>
      <x:c r="H172" s="89" t="n">
        <x:v>1394.844</x:v>
      </x:c>
      <x:c r="I172" s="89"/>
      <x:c r="J172" s="89"/>
      <x:c r="K172" s="88" t="str">
        <x:v>단일/없음</x:v>
      </x:c>
      <x:c r="L172" s="88" t="str"/>
    </x:row>
    <x:row r="173">
      <x:c r="A173" s="88" t="n">
        <x:v>9</x:v>
      </x:c>
      <x:c r="B173" s="88" t="str">
        <x:v>S09_HDH</x:v>
      </x:c>
      <x:c r="C173" s="88" t="n">
        <x:v>22</x:v>
      </x:c>
      <x:c r="D173" s="88" t="str">
        <x:v>M19</x:v>
      </x:c>
      <x:c r="E173" s="88" t="str">
        <x:v>6 시작</x:v>
      </x:c>
      <x:c r="F173" s="96" t="n">
        <x:v>1445.0352</x:v>
      </x:c>
      <x:c r="G173" s="89" t="str">
        <x:v>$2 최종 선택</x:v>
      </x:c>
      <x:c r="H173" s="89" t="n">
        <x:v>1445.0352</x:v>
      </x:c>
      <x:c r="I173" s="89"/>
      <x:c r="J173" s="89"/>
      <x:c r="K173" s="88" t="str">
        <x:v>단일/없음</x:v>
      </x:c>
      <x:c r="L173" s="88" t="str"/>
    </x:row>
    <x:row r="174">
      <x:c r="A174" s="88" t="n">
        <x:v>9</x:v>
      </x:c>
      <x:c r="B174" s="88" t="str">
        <x:v>S09_HDH</x:v>
      </x:c>
      <x:c r="C174" s="88" t="n">
        <x:v>22</x:v>
      </x:c>
      <x:c r="D174" s="88" t="str">
        <x:v>M20</x:v>
      </x:c>
      <x:c r="E174" s="88" t="str">
        <x:v>6 종료</x:v>
      </x:c>
      <x:c r="F174" s="96" t="n">
        <x:v>1473.045333</x:v>
      </x:c>
      <x:c r="G174" s="89" t="str">
        <x:v>$2 최종 선택</x:v>
      </x:c>
      <x:c r="H174" s="89" t="n">
        <x:v>1473.0453333333335</x:v>
      </x:c>
      <x:c r="I174" s="89"/>
      <x:c r="J174" s="89"/>
      <x:c r="K174" s="88" t="str">
        <x:v>단일/없음</x:v>
      </x:c>
      <x:c r="L174" s="88" t="str"/>
    </x:row>
    <x:row r="175">
      <x:c r="A175" s="88" t="n">
        <x:v>9</x:v>
      </x:c>
      <x:c r="B175" s="88" t="str">
        <x:v>S09_HDH</x:v>
      </x:c>
      <x:c r="C175" s="88" t="n">
        <x:v>22</x:v>
      </x:c>
      <x:c r="D175" s="88" t="str">
        <x:v>M21</x:v>
      </x:c>
      <x:c r="E175" s="88" t="str">
        <x:v>7 시작</x:v>
      </x:c>
      <x:c r="F175" s="96" t="n">
        <x:v>1499.3208</x:v>
      </x:c>
      <x:c r="G175" s="89" t="str">
        <x:v>$2 최종 선택</x:v>
      </x:c>
      <x:c r="H175" s="89" t="n">
        <x:v>1499.3208000000002</x:v>
      </x:c>
      <x:c r="I175" s="103" t="n">
        <x:v>1510.8770000000002</x:v>
      </x:c>
      <x:c r="J175" s="89"/>
      <x:c r="K175" s="88" t="str">
        <x:v>단일/없음</x:v>
      </x:c>
      <x:c r="L175" s="88" t="str"/>
    </x:row>
    <x:row r="176">
      <x:c r="A176" s="88" t="n">
        <x:v>9</x:v>
      </x:c>
      <x:c r="B176" s="88" t="str">
        <x:v>S09_HDH</x:v>
      </x:c>
      <x:c r="C176" s="88" t="n">
        <x:v>22</x:v>
      </x:c>
      <x:c r="D176" s="88" t="str">
        <x:v>M22</x:v>
      </x:c>
      <x:c r="E176" s="88" t="str">
        <x:v>7 종료</x:v>
      </x:c>
      <x:c r="F176" s="96" t="n">
        <x:v>1510.877</x:v>
      </x:c>
      <x:c r="G176" s="89" t="str">
        <x:v>$2 최종 선택</x:v>
      </x:c>
      <x:c r="H176" s="89" t="n">
        <x:v>1510.8770000000002</x:v>
      </x:c>
      <x:c r="I176" s="103" t="n">
        <x:v>1499.3208000000002</x:v>
      </x:c>
      <x:c r="J176" s="89"/>
      <x:c r="K176" s="88" t="str">
        <x:v>단일/없음</x:v>
      </x:c>
      <x:c r="L176" s="88" t="str"/>
    </x:row>
    <x:row r="177">
      <x:c r="A177" s="88" t="n">
        <x:v>10</x:v>
      </x:c>
      <x:c r="B177" s="88" t="str">
        <x:v>S10_JKH</x:v>
      </x:c>
      <x:c r="C177" s="88" t="n">
        <x:v>22</x:v>
      </x:c>
      <x:c r="D177" s="88" t="str">
        <x:v>M01</x:v>
      </x:c>
      <x:c r="E177" s="88" t="str">
        <x:v>1 시작</x:v>
      </x:c>
      <x:c r="F177" s="96" t="n">
        <x:v>26.144000000000062</x:v>
      </x:c>
      <x:c r="G177" s="89" t="str">
        <x:v>$2 최종 선택</x:v>
      </x:c>
      <x:c r="H177" s="89" t="n">
        <x:v>26.144000000000062</x:v>
      </x:c>
      <x:c r="I177" s="89"/>
      <x:c r="J177" s="89"/>
      <x:c r="K177" s="88" t="str">
        <x:v>단일/없음</x:v>
      </x:c>
      <x:c r="L177" s="88" t="str"/>
    </x:row>
    <x:row r="178">
      <x:c r="A178" s="88" t="n">
        <x:v>10</x:v>
      </x:c>
      <x:c r="B178" s="88" t="str">
        <x:v>S10_JKH</x:v>
      </x:c>
      <x:c r="C178" s="88" t="n">
        <x:v>22</x:v>
      </x:c>
      <x:c r="D178" s="88" t="str">
        <x:v>M02</x:v>
      </x:c>
      <x:c r="E178" s="88" t="str">
        <x:v>1 종료</x:v>
      </x:c>
      <x:c r="F178" s="96" t="n">
        <x:v>212.46800000000005</x:v>
      </x:c>
      <x:c r="G178" s="89" t="str">
        <x:v>$2 최종 선택</x:v>
      </x:c>
      <x:c r="H178" s="89" t="n">
        <x:v>212.46800000000005</x:v>
      </x:c>
      <x:c r="I178" s="89"/>
      <x:c r="J178" s="89"/>
      <x:c r="K178" s="88" t="str">
        <x:v>단일/없음</x:v>
      </x:c>
      <x:c r="L178" s="88" t="str"/>
    </x:row>
    <x:row r="179">
      <x:c r="A179" s="88" t="n">
        <x:v>10</x:v>
      </x:c>
      <x:c r="B179" s="88" t="str">
        <x:v>S10_JKH</x:v>
      </x:c>
      <x:c r="C179" s="88" t="n">
        <x:v>22</x:v>
      </x:c>
      <x:c r="D179" s="88" t="str">
        <x:v>M03</x:v>
      </x:c>
      <x:c r="E179" s="88" t="str">
        <x:v>2 시작</x:v>
      </x:c>
      <x:c r="F179" s="96" t="n">
        <x:v>244.70000000000005</x:v>
      </x:c>
      <x:c r="G179" s="89" t="str">
        <x:v>$2 최종 선택</x:v>
      </x:c>
      <x:c r="H179" s="89" t="n">
        <x:v>244.70000000000005</x:v>
      </x:c>
      <x:c r="I179" s="103" t="n">
        <x:v>250.64400000000006</x:v>
      </x:c>
      <x:c r="J179" s="89"/>
      <x:c r="K179" s="88" t="str">
        <x:v>단일/없음</x:v>
      </x:c>
      <x:c r="L179" s="88" t="str"/>
    </x:row>
    <x:row r="180">
      <x:c r="A180" s="88" t="n">
        <x:v>10</x:v>
      </x:c>
      <x:c r="B180" s="88" t="str">
        <x:v>S10_JKH</x:v>
      </x:c>
      <x:c r="C180" s="88" t="n">
        <x:v>22</x:v>
      </x:c>
      <x:c r="D180" s="88" t="str">
        <x:v>M04</x:v>
      </x:c>
      <x:c r="E180" s="88" t="str">
        <x:v>2 종료</x:v>
      </x:c>
      <x:c r="F180" s="96" t="n">
        <x:v>625.8240000000001</x:v>
      </x:c>
      <x:c r="G180" s="89" t="str">
        <x:v>$2 최종 선택</x:v>
      </x:c>
      <x:c r="H180" s="89" t="n">
        <x:v>625.8240000000001</x:v>
      </x:c>
      <x:c r="I180" s="89"/>
      <x:c r="J180" s="89"/>
      <x:c r="K180" s="88" t="str">
        <x:v>단일/없음</x:v>
      </x:c>
      <x:c r="L180" s="88" t="str"/>
    </x:row>
    <x:row r="181">
      <x:c r="A181" s="88" t="n">
        <x:v>10</x:v>
      </x:c>
      <x:c r="B181" s="88" t="str">
        <x:v>S10_JKH</x:v>
      </x:c>
      <x:c r="C181" s="88" t="n">
        <x:v>22</x:v>
      </x:c>
      <x:c r="D181" s="88" t="str">
        <x:v>M05</x:v>
      </x:c>
      <x:c r="E181" s="88" t="str">
        <x:v>3-1 시작</x:v>
      </x:c>
      <x:c r="F181" s="96" t="n">
        <x:v>652.6720000000001</x:v>
      </x:c>
      <x:c r="G181" s="89" t="str">
        <x:v>$2 최종 선택</x:v>
      </x:c>
      <x:c r="H181" s="89" t="n">
        <x:v>652.6720000000001</x:v>
      </x:c>
      <x:c r="I181" s="103" t="n">
        <x:v>666.1960000000001</x:v>
      </x:c>
      <x:c r="J181" s="89"/>
      <x:c r="K181" s="88" t="str">
        <x:v>단일/없음</x:v>
      </x:c>
      <x:c r="L181" s="88" t="str"/>
    </x:row>
    <x:row r="182">
      <x:c r="A182" s="88" t="n">
        <x:v>10</x:v>
      </x:c>
      <x:c r="B182" s="88" t="str">
        <x:v>S10_JKH</x:v>
      </x:c>
      <x:c r="C182" s="88" t="n">
        <x:v>22</x:v>
      </x:c>
      <x:c r="D182" s="88" t="str">
        <x:v>M06</x:v>
      </x:c>
      <x:c r="E182" s="88" t="str">
        <x:v>3-1 종료</x:v>
      </x:c>
      <x:c r="F182" s="96" t="n">
        <x:v>666.1960000000001</x:v>
      </x:c>
      <x:c r="G182" s="89" t="str">
        <x:v>$2 최종 선택</x:v>
      </x:c>
      <x:c r="H182" s="89" t="n">
        <x:v>666.1960000000001</x:v>
      </x:c>
      <x:c r="I182" s="103" t="n">
        <x:v>652.6720000000001</x:v>
      </x:c>
      <x:c r="J182" s="89"/>
      <x:c r="K182" s="88" t="str">
        <x:v>단일/없음</x:v>
      </x:c>
      <x:c r="L182" s="88" t="str"/>
    </x:row>
    <x:row r="183">
      <x:c r="A183" s="88" t="n">
        <x:v>10</x:v>
      </x:c>
      <x:c r="B183" s="88" t="str">
        <x:v>S10_JKH</x:v>
      </x:c>
      <x:c r="C183" s="88" t="n">
        <x:v>22</x:v>
      </x:c>
      <x:c r="D183" s="88" t="str">
        <x:v>M07</x:v>
      </x:c>
      <x:c r="E183" s="88" t="str">
        <x:v>3-2 시작</x:v>
      </x:c>
      <x:c r="F183" s="96" t="n">
        <x:v>684.6240000000001</x:v>
      </x:c>
      <x:c r="G183" s="89" t="str">
        <x:v>$2 최종 선택</x:v>
      </x:c>
      <x:c r="H183" s="89" t="n">
        <x:v>684.6240000000001</x:v>
      </x:c>
      <x:c r="I183" s="89"/>
      <x:c r="J183" s="89"/>
      <x:c r="K183" s="88" t="str">
        <x:v>단일/없음</x:v>
      </x:c>
      <x:c r="L183" s="88" t="str"/>
    </x:row>
    <x:row r="184">
      <x:c r="A184" s="88" t="n">
        <x:v>10</x:v>
      </x:c>
      <x:c r="B184" s="88" t="str">
        <x:v>S10_JKH</x:v>
      </x:c>
      <x:c r="C184" s="88" t="n">
        <x:v>22</x:v>
      </x:c>
      <x:c r="D184" s="88" t="str">
        <x:v>M08</x:v>
      </x:c>
      <x:c r="E184" s="88" t="str">
        <x:v>3-2 종료</x:v>
      </x:c>
      <x:c r="F184" s="96" t="n">
        <x:v>701.3840000000001</x:v>
      </x:c>
      <x:c r="G184" s="89" t="str">
        <x:v>$2 최종 선택</x:v>
      </x:c>
      <x:c r="H184" s="89" t="n">
        <x:v>701.3840000000001</x:v>
      </x:c>
      <x:c r="I184" s="89"/>
      <x:c r="J184" s="89"/>
      <x:c r="K184" s="88" t="str">
        <x:v>단일/없음</x:v>
      </x:c>
      <x:c r="L184" s="88" t="str"/>
    </x:row>
    <x:row r="185">
      <x:c r="A185" s="88" t="n">
        <x:v>10</x:v>
      </x:c>
      <x:c r="B185" s="88" t="str">
        <x:v>S10_JKH</x:v>
      </x:c>
      <x:c r="C185" s="88" t="n">
        <x:v>22</x:v>
      </x:c>
      <x:c r="D185" s="88" t="str">
        <x:v>M09</x:v>
      </x:c>
      <x:c r="E185" s="88" t="str">
        <x:v>4-1 시작</x:v>
      </x:c>
      <x:c r="F185" s="96" t="n">
        <x:v>751.7160000000001</x:v>
      </x:c>
      <x:c r="G185" s="89" t="str">
        <x:v>$2 최종 선택</x:v>
      </x:c>
      <x:c r="H185" s="89" t="n">
        <x:v>751.7160000000001</x:v>
      </x:c>
      <x:c r="I185" s="103" t="n">
        <x:v>765.1600000000001</x:v>
      </x:c>
      <x:c r="J185" s="89"/>
      <x:c r="K185" s="88" t="str">
        <x:v>단일/없음</x:v>
      </x:c>
      <x:c r="L185" s="88" t="str"/>
    </x:row>
    <x:row r="186">
      <x:c r="A186" s="88" t="n">
        <x:v>10</x:v>
      </x:c>
      <x:c r="B186" s="88" t="str">
        <x:v>S10_JKH</x:v>
      </x:c>
      <x:c r="C186" s="88" t="n">
        <x:v>22</x:v>
      </x:c>
      <x:c r="D186" s="88" t="str">
        <x:v>M10</x:v>
      </x:c>
      <x:c r="E186" s="88" t="str">
        <x:v>4-1 종료</x:v>
      </x:c>
      <x:c r="F186" s="96" t="n">
        <x:v>765.1600000000001</x:v>
      </x:c>
      <x:c r="G186" s="89" t="str">
        <x:v>$2 최종 선택</x:v>
      </x:c>
      <x:c r="H186" s="89" t="n">
        <x:v>765.1600000000001</x:v>
      </x:c>
      <x:c r="I186" s="103" t="n">
        <x:v>777.5160000000001</x:v>
      </x:c>
      <x:c r="J186" s="103" t="n">
        <x:v>751.7160000000001</x:v>
      </x:c>
      <x:c r="K186" s="88" t="str">
        <x:v>단일/없음</x:v>
      </x:c>
      <x:c r="L186" s="88" t="str"/>
    </x:row>
    <x:row r="187">
      <x:c r="A187" s="88" t="n">
        <x:v>10</x:v>
      </x:c>
      <x:c r="B187" s="88" t="str">
        <x:v>S10_JKH</x:v>
      </x:c>
      <x:c r="C187" s="88" t="n">
        <x:v>22</x:v>
      </x:c>
      <x:c r="D187" s="88" t="str">
        <x:v>M11</x:v>
      </x:c>
      <x:c r="E187" s="88" t="str">
        <x:v>4-2 시작</x:v>
      </x:c>
      <x:c r="F187" s="96" t="n">
        <x:v>777.5160000000001</x:v>
      </x:c>
      <x:c r="G187" s="89" t="str">
        <x:v>$2 최종 선택</x:v>
      </x:c>
      <x:c r="H187" s="89" t="n">
        <x:v>777.5160000000001</x:v>
      </x:c>
      <x:c r="I187" s="103" t="n">
        <x:v>765.1600000000001</x:v>
      </x:c>
      <x:c r="J187" s="89"/>
      <x:c r="K187" s="88" t="str">
        <x:v>단일/없음</x:v>
      </x:c>
      <x:c r="L187" s="88" t="str"/>
    </x:row>
    <x:row r="188">
      <x:c r="A188" s="88" t="n">
        <x:v>10</x:v>
      </x:c>
      <x:c r="B188" s="88" t="str">
        <x:v>S10_JKH</x:v>
      </x:c>
      <x:c r="C188" s="88" t="n">
        <x:v>22</x:v>
      </x:c>
      <x:c r="D188" s="88" t="str">
        <x:v>M12</x:v>
      </x:c>
      <x:c r="E188" s="88" t="str">
        <x:v>4-2 종료</x:v>
      </x:c>
      <x:c r="F188" s="96" t="n">
        <x:v>823.6880000000001</x:v>
      </x:c>
      <x:c r="G188" s="89" t="str">
        <x:v>$2 최종 선택</x:v>
      </x:c>
      <x:c r="H188" s="89" t="n">
        <x:v>823.6880000000001</x:v>
      </x:c>
      <x:c r="I188" s="103" t="n">
        <x:v>819.1120000000001</x:v>
      </x:c>
      <x:c r="J188" s="103" t="n">
        <x:v>835.2960000000002</x:v>
      </x:c>
      <x:c r="K188" s="98" t="str">
        <x:v>애매</x:v>
      </x:c>
      <x:c r="L188" s="88" t="str"/>
    </x:row>
    <x:row r="189">
      <x:c r="A189" s="88" t="n">
        <x:v>10</x:v>
      </x:c>
      <x:c r="B189" s="88" t="str">
        <x:v>S10_JKH</x:v>
      </x:c>
      <x:c r="C189" s="88" t="n">
        <x:v>22</x:v>
      </x:c>
      <x:c r="D189" s="88" t="str">
        <x:v>M13</x:v>
      </x:c>
      <x:c r="E189" s="88" t="str">
        <x:v>4-3 시작</x:v>
      </x:c>
      <x:c r="F189" s="96" t="n">
        <x:v>835.2960000000002</x:v>
      </x:c>
      <x:c r="G189" s="89" t="str">
        <x:v>$2 최종 선택</x:v>
      </x:c>
      <x:c r="H189" s="89" t="n">
        <x:v>835.2960000000002</x:v>
      </x:c>
      <x:c r="I189" s="103" t="n">
        <x:v>823.6880000000001</x:v>
      </x:c>
      <x:c r="J189" s="89"/>
      <x:c r="K189" s="88" t="str">
        <x:v>단일/없음</x:v>
      </x:c>
      <x:c r="L189" s="88" t="str"/>
    </x:row>
    <x:row r="190">
      <x:c r="A190" s="88" t="n">
        <x:v>10</x:v>
      </x:c>
      <x:c r="B190" s="88" t="str">
        <x:v>S10_JKH</x:v>
      </x:c>
      <x:c r="C190" s="88" t="n">
        <x:v>22</x:v>
      </x:c>
      <x:c r="D190" s="88" t="str">
        <x:v>M14</x:v>
      </x:c>
      <x:c r="E190" s="88" t="str">
        <x:v>4-3 종료</x:v>
      </x:c>
      <x:c r="F190" s="96" t="n">
        <x:v>877.6040000000002</x:v>
      </x:c>
      <x:c r="G190" s="89" t="str">
        <x:v>$2 최종 선택</x:v>
      </x:c>
      <x:c r="H190" s="89" t="n">
        <x:v>877.6040000000002</x:v>
      </x:c>
      <x:c r="I190" s="103" t="n">
        <x:v>881.8720000000001</x:v>
      </x:c>
      <x:c r="J190" s="89"/>
      <x:c r="K190" s="98" t="str">
        <x:v>애매</x:v>
      </x:c>
      <x:c r="L190" s="88" t="str"/>
    </x:row>
    <x:row r="191">
      <x:c r="A191" s="88" t="n">
        <x:v>10</x:v>
      </x:c>
      <x:c r="B191" s="88" t="str">
        <x:v>S10_JKH</x:v>
      </x:c>
      <x:c r="C191" s="88" t="n">
        <x:v>22</x:v>
      </x:c>
      <x:c r="D191" s="88" t="str">
        <x:v>M15</x:v>
      </x:c>
      <x:c r="E191" s="88" t="str">
        <x:v>4-4 시작</x:v>
      </x:c>
      <x:c r="F191" s="96" t="n">
        <x:v>881.8720000000001</x:v>
      </x:c>
      <x:c r="G191" s="89" t="str">
        <x:v>$2 최종 선택</x:v>
      </x:c>
      <x:c r="H191" s="89" t="n">
        <x:v>881.8720000000001</x:v>
      </x:c>
      <x:c r="I191" s="103" t="n">
        <x:v>877.6040000000002</x:v>
      </x:c>
      <x:c r="J191" s="103" t="n">
        <x:v>896.5000000000001</x:v>
      </x:c>
      <x:c r="K191" s="98" t="str">
        <x:v>애매</x:v>
      </x:c>
      <x:c r="L191" s="88" t="str"/>
    </x:row>
    <x:row r="192">
      <x:c r="A192" s="88" t="n">
        <x:v>10</x:v>
      </x:c>
      <x:c r="B192" s="88" t="str">
        <x:v>S10_JKH</x:v>
      </x:c>
      <x:c r="C192" s="88" t="n">
        <x:v>22</x:v>
      </x:c>
      <x:c r="D192" s="88" t="str">
        <x:v>M16</x:v>
      </x:c>
      <x:c r="E192" s="88" t="str">
        <x:v>4-4 종료</x:v>
      </x:c>
      <x:c r="F192" s="96" t="n">
        <x:v>910.5320000000002</x:v>
      </x:c>
      <x:c r="G192" s="89" t="str">
        <x:v>$2 최종 선택</x:v>
      </x:c>
      <x:c r="H192" s="89" t="n">
        <x:v>910.5320000000002</x:v>
      </x:c>
      <x:c r="I192" s="103" t="n">
        <x:v>896.5000000000001</x:v>
      </x:c>
      <x:c r="J192" s="89"/>
      <x:c r="K192" s="88" t="str">
        <x:v>단일/없음</x:v>
      </x:c>
      <x:c r="L192" s="88" t="str"/>
    </x:row>
    <x:row r="193">
      <x:c r="A193" s="88" t="n">
        <x:v>10</x:v>
      </x:c>
      <x:c r="B193" s="88" t="str">
        <x:v>S10_JKH</x:v>
      </x:c>
      <x:c r="C193" s="88" t="n">
        <x:v>22</x:v>
      </x:c>
      <x:c r="D193" s="88" t="str">
        <x:v>M17</x:v>
      </x:c>
      <x:c r="E193" s="88" t="str">
        <x:v>5 시작</x:v>
      </x:c>
      <x:c r="F193" s="96" t="n">
        <x:v>934.7880000000001</x:v>
      </x:c>
      <x:c r="G193" s="89" t="str">
        <x:v>$2 최종 선택</x:v>
      </x:c>
      <x:c r="H193" s="89" t="n">
        <x:v>934.7880000000001</x:v>
      </x:c>
      <x:c r="I193" s="89"/>
      <x:c r="J193" s="89"/>
      <x:c r="K193" s="88" t="str">
        <x:v>단일/없음</x:v>
      </x:c>
      <x:c r="L193" s="88" t="str"/>
    </x:row>
    <x:row r="194">
      <x:c r="A194" s="88" t="n">
        <x:v>10</x:v>
      </x:c>
      <x:c r="B194" s="88" t="str">
        <x:v>S10_JKH</x:v>
      </x:c>
      <x:c r="C194" s="88" t="n">
        <x:v>22</x:v>
      </x:c>
      <x:c r="D194" s="88" t="str">
        <x:v>M18</x:v>
      </x:c>
      <x:c r="E194" s="88" t="str">
        <x:v>5 종료</x:v>
      </x:c>
      <x:c r="F194" s="96" t="n">
        <x:v>1117.952</x:v>
      </x:c>
      <x:c r="G194" s="89" t="str">
        <x:v>$2 최종 선택</x:v>
      </x:c>
      <x:c r="H194" s="89" t="n">
        <x:v>1117.952</x:v>
      </x:c>
      <x:c r="I194" s="89"/>
      <x:c r="J194" s="89"/>
      <x:c r="K194" s="88" t="str">
        <x:v>단일/없음</x:v>
      </x:c>
      <x:c r="L194" s="88" t="str"/>
    </x:row>
    <x:row r="195">
      <x:c r="A195" s="88" t="n">
        <x:v>10</x:v>
      </x:c>
      <x:c r="B195" s="88" t="str">
        <x:v>S10_JKH</x:v>
      </x:c>
      <x:c r="C195" s="88" t="n">
        <x:v>22</x:v>
      </x:c>
      <x:c r="D195" s="88" t="str">
        <x:v>M19</x:v>
      </x:c>
      <x:c r="E195" s="88" t="str">
        <x:v>6 시작</x:v>
      </x:c>
      <x:c r="F195" s="96" t="n">
        <x:v>1134.608</x:v>
      </x:c>
      <x:c r="G195" s="89" t="str">
        <x:v>$2 최종 선택</x:v>
      </x:c>
      <x:c r="H195" s="89" t="n">
        <x:v>1134.608</x:v>
      </x:c>
      <x:c r="I195" s="89"/>
      <x:c r="J195" s="89"/>
      <x:c r="K195" s="88" t="str">
        <x:v>단일/없음</x:v>
      </x:c>
      <x:c r="L195" s="88" t="str"/>
    </x:row>
    <x:row r="196">
      <x:c r="A196" s="88" t="n">
        <x:v>10</x:v>
      </x:c>
      <x:c r="B196" s="88" t="str">
        <x:v>S10_JKH</x:v>
      </x:c>
      <x:c r="C196" s="88" t="n">
        <x:v>22</x:v>
      </x:c>
      <x:c r="D196" s="88" t="str">
        <x:v>M20</x:v>
      </x:c>
      <x:c r="E196" s="88" t="str">
        <x:v>6 종료</x:v>
      </x:c>
      <x:c r="F196" s="96" t="n">
        <x:v>1158.2</x:v>
      </x:c>
      <x:c r="G196" s="89" t="str">
        <x:v>$2 최종 선택</x:v>
      </x:c>
      <x:c r="H196" s="89" t="n">
        <x:v>1158.2</x:v>
      </x:c>
      <x:c r="I196" s="89"/>
      <x:c r="J196" s="89"/>
      <x:c r="K196" s="88" t="str">
        <x:v>단일/없음</x:v>
      </x:c>
      <x:c r="L196" s="88" t="str"/>
    </x:row>
    <x:row r="197">
      <x:c r="A197" s="88" t="n">
        <x:v>10</x:v>
      </x:c>
      <x:c r="B197" s="88" t="str">
        <x:v>S10_JKH</x:v>
      </x:c>
      <x:c r="C197" s="88" t="n">
        <x:v>22</x:v>
      </x:c>
      <x:c r="D197" s="88" t="str">
        <x:v>M21</x:v>
      </x:c>
      <x:c r="E197" s="88" t="str">
        <x:v>7 시작</x:v>
      </x:c>
      <x:c r="F197" s="96" t="n">
        <x:v>1173.664</x:v>
      </x:c>
      <x:c r="G197" s="89" t="str">
        <x:v>$2 최종 선택</x:v>
      </x:c>
      <x:c r="H197" s="89" t="n">
        <x:v>1173.664</x:v>
      </x:c>
      <x:c r="I197" s="103" t="n">
        <x:v>1187.068</x:v>
      </x:c>
      <x:c r="J197" s="89"/>
      <x:c r="K197" s="88" t="str">
        <x:v>단일/없음</x:v>
      </x:c>
      <x:c r="L197" s="88" t="str"/>
    </x:row>
    <x:row r="198">
      <x:c r="A198" s="88" t="n">
        <x:v>10</x:v>
      </x:c>
      <x:c r="B198" s="88" t="str">
        <x:v>S10_JKH</x:v>
      </x:c>
      <x:c r="C198" s="88" t="n">
        <x:v>22</x:v>
      </x:c>
      <x:c r="D198" s="88" t="str">
        <x:v>M22</x:v>
      </x:c>
      <x:c r="E198" s="88" t="str">
        <x:v>7 종료</x:v>
      </x:c>
      <x:c r="F198" s="96" t="n">
        <x:v>1187.068</x:v>
      </x:c>
      <x:c r="G198" s="89" t="str">
        <x:v>$2 최종 선택</x:v>
      </x:c>
      <x:c r="H198" s="89" t="n">
        <x:v>1187.068</x:v>
      </x:c>
      <x:c r="I198" s="103" t="n">
        <x:v>1173.664</x:v>
      </x:c>
      <x:c r="J198" s="89"/>
      <x:c r="K198" s="88" t="str">
        <x:v>단일/없음</x:v>
      </x:c>
      <x:c r="L198" s="88" t="str"/>
    </x:row>
    <x:row r="199">
      <x:c r="A199" s="88" t="n">
        <x:v>11</x:v>
      </x:c>
      <x:c r="B199" s="88" t="str">
        <x:v>S11_SJE</x:v>
      </x:c>
      <x:c r="C199" s="88" t="n">
        <x:v>22</x:v>
      </x:c>
      <x:c r="D199" s="88" t="str">
        <x:v>M01</x:v>
      </x:c>
      <x:c r="E199" s="88" t="str">
        <x:v>1 시작</x:v>
      </x:c>
      <x:c r="F199" s="104" t="n">
        <x:v>15.264000000000037</x:v>
      </x:c>
      <x:c r="G199" s="89" t="str">
        <x:v>시간패턴 추천(미확정)</x:v>
      </x:c>
      <x:c r="H199" s="89" t="n">
        <x:v>15.264000000000037</x:v>
      </x:c>
      <x:c r="I199" s="89"/>
      <x:c r="J199" s="89"/>
      <x:c r="K199" s="88" t="str">
        <x:v>단일/없음</x:v>
      </x:c>
      <x:c r="L199" s="88" t="str"/>
    </x:row>
    <x:row r="200">
      <x:c r="A200" s="88" t="n">
        <x:v>11</x:v>
      </x:c>
      <x:c r="B200" s="88" t="str">
        <x:v>S11_SJE</x:v>
      </x:c>
      <x:c r="C200" s="88" t="n">
        <x:v>22</x:v>
      </x:c>
      <x:c r="D200" s="88" t="str">
        <x:v>M02</x:v>
      </x:c>
      <x:c r="E200" s="88" t="str">
        <x:v>1 종료</x:v>
      </x:c>
      <x:c r="F200" s="104" t="n">
        <x:v>207.4813333333334</x:v>
      </x:c>
      <x:c r="G200" s="89" t="str">
        <x:v>시간패턴 추천(미확정)</x:v>
      </x:c>
      <x:c r="H200" s="89" t="n">
        <x:v>207.4813333333334</x:v>
      </x:c>
      <x:c r="I200" s="89"/>
      <x:c r="J200" s="89"/>
      <x:c r="K200" s="88" t="str">
        <x:v>단일/없음</x:v>
      </x:c>
      <x:c r="L200" s="88" t="str"/>
    </x:row>
    <x:row r="201">
      <x:c r="A201" s="88" t="n">
        <x:v>11</x:v>
      </x:c>
      <x:c r="B201" s="88" t="str">
        <x:v>S11_SJE</x:v>
      </x:c>
      <x:c r="C201" s="88" t="n">
        <x:v>22</x:v>
      </x:c>
      <x:c r="D201" s="88" t="str">
        <x:v>M03</x:v>
      </x:c>
      <x:c r="E201" s="88" t="str">
        <x:v>2 시작</x:v>
      </x:c>
      <x:c r="F201" s="104" t="n">
        <x:v>260.616</x:v>
      </x:c>
      <x:c r="G201" s="89" t="str">
        <x:v>시간패턴 추천(미확정)</x:v>
      </x:c>
      <x:c r="H201" s="89" t="n">
        <x:v>260.616</x:v>
      </x:c>
      <x:c r="I201" s="103" t="n">
        <x:v>266.108</x:v>
      </x:c>
      <x:c r="J201" s="89"/>
      <x:c r="K201" s="88" t="str">
        <x:v>단일/없음</x:v>
      </x:c>
      <x:c r="L201" s="88" t="str"/>
    </x:row>
    <x:row r="202">
      <x:c r="A202" s="88" t="n">
        <x:v>11</x:v>
      </x:c>
      <x:c r="B202" s="88" t="str">
        <x:v>S11_SJE</x:v>
      </x:c>
      <x:c r="C202" s="88" t="n">
        <x:v>22</x:v>
      </x:c>
      <x:c r="D202" s="88" t="str">
        <x:v>M04</x:v>
      </x:c>
      <x:c r="E202" s="88" t="str">
        <x:v>2 종료</x:v>
      </x:c>
      <x:c r="F202" s="104" t="n">
        <x:v>635.6160000000001</x:v>
      </x:c>
      <x:c r="G202" s="89" t="str">
        <x:v>시간패턴 추천(미확정)</x:v>
      </x:c>
      <x:c r="H202" s="89" t="n">
        <x:v>635.6160000000001</x:v>
      </x:c>
      <x:c r="I202" s="89"/>
      <x:c r="J202" s="89"/>
      <x:c r="K202" s="88" t="str">
        <x:v>단일/없음</x:v>
      </x:c>
      <x:c r="L202" s="88" t="str"/>
    </x:row>
    <x:row r="203">
      <x:c r="A203" s="88" t="n">
        <x:v>11</x:v>
      </x:c>
      <x:c r="B203" s="88" t="str">
        <x:v>S11_SJE</x:v>
      </x:c>
      <x:c r="C203" s="88" t="n">
        <x:v>22</x:v>
      </x:c>
      <x:c r="D203" s="88" t="str">
        <x:v>M05</x:v>
      </x:c>
      <x:c r="E203" s="88" t="str">
        <x:v>3-1 시작</x:v>
      </x:c>
      <x:c r="F203" s="104" t="n">
        <x:v>759.2120000000001</x:v>
      </x:c>
      <x:c r="G203" s="89" t="str">
        <x:v>시간패턴 추천(미확정)</x:v>
      </x:c>
      <x:c r="H203" s="89" t="n">
        <x:v>759.2120000000001</x:v>
      </x:c>
      <x:c r="I203" s="103" t="n">
        <x:v>771.8960000000001</x:v>
      </x:c>
      <x:c r="J203" s="89"/>
      <x:c r="K203" s="88" t="str">
        <x:v>단일/없음</x:v>
      </x:c>
      <x:c r="L203" s="88" t="str"/>
    </x:row>
    <x:row r="204">
      <x:c r="A204" s="88" t="n">
        <x:v>11</x:v>
      </x:c>
      <x:c r="B204" s="88" t="str">
        <x:v>S11_SJE</x:v>
      </x:c>
      <x:c r="C204" s="88" t="n">
        <x:v>22</x:v>
      </x:c>
      <x:c r="D204" s="88" t="str">
        <x:v>M06</x:v>
      </x:c>
      <x:c r="E204" s="88" t="str">
        <x:v>3-1 종료</x:v>
      </x:c>
      <x:c r="F204" s="104" t="n">
        <x:v>771.8960000000001</x:v>
      </x:c>
      <x:c r="G204" s="89" t="str">
        <x:v>시간패턴 추천(미확정)</x:v>
      </x:c>
      <x:c r="H204" s="89" t="n">
        <x:v>771.8960000000001</x:v>
      </x:c>
      <x:c r="I204" s="103" t="n">
        <x:v>759.2120000000001</x:v>
      </x:c>
      <x:c r="J204" s="89"/>
      <x:c r="K204" s="88" t="str">
        <x:v>단일/없음</x:v>
      </x:c>
      <x:c r="L204" s="88" t="str"/>
    </x:row>
    <x:row r="205">
      <x:c r="A205" s="88" t="n">
        <x:v>11</x:v>
      </x:c>
      <x:c r="B205" s="88" t="str">
        <x:v>S11_SJE</x:v>
      </x:c>
      <x:c r="C205" s="88" t="n">
        <x:v>22</x:v>
      </x:c>
      <x:c r="D205" s="88" t="str">
        <x:v>M07</x:v>
      </x:c>
      <x:c r="E205" s="88" t="str">
        <x:v>3-2 시작</x:v>
      </x:c>
      <x:c r="F205" s="104" t="n">
        <x:v>791.696</x:v>
      </x:c>
      <x:c r="G205" s="89" t="str">
        <x:v>시간패턴 추천(미확정)</x:v>
      </x:c>
      <x:c r="H205" s="89" t="n">
        <x:v>791.696</x:v>
      </x:c>
      <x:c r="I205" s="103" t="n">
        <x:v>802.0680000000001</x:v>
      </x:c>
      <x:c r="J205" s="89"/>
      <x:c r="K205" s="88" t="str">
        <x:v>단일/없음</x:v>
      </x:c>
      <x:c r="L205" s="88" t="str"/>
    </x:row>
    <x:row r="206">
      <x:c r="A206" s="88" t="n">
        <x:v>11</x:v>
      </x:c>
      <x:c r="B206" s="88" t="str">
        <x:v>S11_SJE</x:v>
      </x:c>
      <x:c r="C206" s="88" t="n">
        <x:v>22</x:v>
      </x:c>
      <x:c r="D206" s="88" t="str">
        <x:v>M08</x:v>
      </x:c>
      <x:c r="E206" s="88" t="str">
        <x:v>3-2 종료</x:v>
      </x:c>
      <x:c r="F206" s="104" t="n">
        <x:v>802.0680000000001</x:v>
      </x:c>
      <x:c r="G206" s="89" t="str">
        <x:v>시간패턴 추천(미확정)</x:v>
      </x:c>
      <x:c r="H206" s="89" t="n">
        <x:v>802.0680000000001</x:v>
      </x:c>
      <x:c r="I206" s="103" t="n">
        <x:v>791.696</x:v>
      </x:c>
      <x:c r="J206" s="89"/>
      <x:c r="K206" s="88" t="str">
        <x:v>단일/없음</x:v>
      </x:c>
      <x:c r="L206" s="88" t="str"/>
    </x:row>
    <x:row r="207">
      <x:c r="A207" s="88" t="n">
        <x:v>11</x:v>
      </x:c>
      <x:c r="B207" s="88" t="str">
        <x:v>S11_SJE</x:v>
      </x:c>
      <x:c r="C207" s="88" t="n">
        <x:v>22</x:v>
      </x:c>
      <x:c r="D207" s="88" t="str">
        <x:v>M09</x:v>
      </x:c>
      <x:c r="E207" s="88" t="str">
        <x:v>4-1 시작</x:v>
      </x:c>
      <x:c r="F207" s="104" t="n">
        <x:v>894.912</x:v>
      </x:c>
      <x:c r="G207" s="89" t="str">
        <x:v>시간패턴 추천(미확정)</x:v>
      </x:c>
      <x:c r="H207" s="89" t="n">
        <x:v>894.912</x:v>
      </x:c>
      <x:c r="I207" s="103" t="n">
        <x:v>903.9720000000001</x:v>
      </x:c>
      <x:c r="J207" s="103" t="n">
        <x:v>909.368</x:v>
      </x:c>
      <x:c r="K207" s="88" t="str">
        <x:v>단일/없음</x:v>
      </x:c>
      <x:c r="L207" s="88" t="str"/>
    </x:row>
    <x:row r="208">
      <x:c r="A208" s="88" t="n">
        <x:v>11</x:v>
      </x:c>
      <x:c r="B208" s="88" t="str">
        <x:v>S11_SJE</x:v>
      </x:c>
      <x:c r="C208" s="88" t="n">
        <x:v>22</x:v>
      </x:c>
      <x:c r="D208" s="88" t="str">
        <x:v>M10</x:v>
      </x:c>
      <x:c r="E208" s="88" t="str">
        <x:v>4-1 종료</x:v>
      </x:c>
      <x:c r="F208" s="104" t="n">
        <x:v>903.9720000000001</x:v>
      </x:c>
      <x:c r="G208" s="89" t="str">
        <x:v>시간패턴 추천(미확정)</x:v>
      </x:c>
      <x:c r="H208" s="89" t="n">
        <x:v>903.9720000000001</x:v>
      </x:c>
      <x:c r="I208" s="103" t="n">
        <x:v>909.368</x:v>
      </x:c>
      <x:c r="J208" s="103" t="n">
        <x:v>894.912</x:v>
      </x:c>
      <x:c r="K208" s="88" t="str">
        <x:v>단일/없음</x:v>
      </x:c>
      <x:c r="L208" s="88" t="str"/>
    </x:row>
    <x:row r="209">
      <x:c r="A209" s="88" t="n">
        <x:v>11</x:v>
      </x:c>
      <x:c r="B209" s="88" t="str">
        <x:v>S11_SJE</x:v>
      </x:c>
      <x:c r="C209" s="88" t="n">
        <x:v>22</x:v>
      </x:c>
      <x:c r="D209" s="88" t="str">
        <x:v>M11</x:v>
      </x:c>
      <x:c r="E209" s="88" t="str">
        <x:v>4-2 시작</x:v>
      </x:c>
      <x:c r="F209" s="104" t="n">
        <x:v>909.368</x:v>
      </x:c>
      <x:c r="G209" s="89" t="str">
        <x:v>시간패턴 추천(미확정)</x:v>
      </x:c>
      <x:c r="H209" s="89" t="n">
        <x:v>909.368</x:v>
      </x:c>
      <x:c r="I209" s="103" t="n">
        <x:v>914.0920000000001</x:v>
      </x:c>
      <x:c r="J209" s="103" t="n">
        <x:v>903.9720000000001</x:v>
      </x:c>
      <x:c r="K209" s="98" t="str">
        <x:v>애매</x:v>
      </x:c>
      <x:c r="L209" s="88" t="str"/>
    </x:row>
    <x:row r="210">
      <x:c r="A210" s="88" t="n">
        <x:v>11</x:v>
      </x:c>
      <x:c r="B210" s="88" t="str">
        <x:v>S11_SJE</x:v>
      </x:c>
      <x:c r="C210" s="88" t="n">
        <x:v>22</x:v>
      </x:c>
      <x:c r="D210" s="88" t="str">
        <x:v>M12</x:v>
      </x:c>
      <x:c r="E210" s="88" t="str">
        <x:v>4-2 종료</x:v>
      </x:c>
      <x:c r="F210" s="104" t="n">
        <x:v>914.0920000000001</x:v>
      </x:c>
      <x:c r="G210" s="89" t="str">
        <x:v>시간패턴 추천(미확정)</x:v>
      </x:c>
      <x:c r="H210" s="89" t="n">
        <x:v>914.0920000000001</x:v>
      </x:c>
      <x:c r="I210" s="103" t="n">
        <x:v>909.368</x:v>
      </x:c>
      <x:c r="J210" s="103" t="n">
        <x:v>903.9720000000001</x:v>
      </x:c>
      <x:c r="K210" s="98" t="str">
        <x:v>애매</x:v>
      </x:c>
      <x:c r="L210" s="88" t="str"/>
    </x:row>
    <x:row r="211">
      <x:c r="A211" s="88" t="n">
        <x:v>11</x:v>
      </x:c>
      <x:c r="B211" s="88" t="str">
        <x:v>S11_SJE</x:v>
      </x:c>
      <x:c r="C211" s="88" t="n">
        <x:v>22</x:v>
      </x:c>
      <x:c r="D211" s="88" t="str">
        <x:v>M13</x:v>
      </x:c>
      <x:c r="E211" s="88" t="str">
        <x:v>4-3 시작</x:v>
      </x:c>
      <x:c r="F211" s="104" t="n">
        <x:v>938.5920000000001</x:v>
      </x:c>
      <x:c r="G211" s="89" t="str">
        <x:v>시간패턴 추천(미확정)</x:v>
      </x:c>
      <x:c r="H211" s="89" t="n">
        <x:v>938.5920000000001</x:v>
      </x:c>
      <x:c r="I211" s="103" t="n">
        <x:v>950.2700000000001</x:v>
      </x:c>
      <x:c r="J211" s="89"/>
      <x:c r="K211" s="88" t="str">
        <x:v>단일/없음</x:v>
      </x:c>
      <x:c r="L211" s="88" t="str"/>
    </x:row>
    <x:row r="212">
      <x:c r="A212" s="88" t="n">
        <x:v>11</x:v>
      </x:c>
      <x:c r="B212" s="88" t="str">
        <x:v>S11_SJE</x:v>
      </x:c>
      <x:c r="C212" s="88" t="n">
        <x:v>22</x:v>
      </x:c>
      <x:c r="D212" s="88" t="str">
        <x:v>M14</x:v>
      </x:c>
      <x:c r="E212" s="88" t="str">
        <x:v>4-3 종료</x:v>
      </x:c>
      <x:c r="F212" s="104" t="n">
        <x:v>950.2700000000001</x:v>
      </x:c>
      <x:c r="G212" s="89" t="str">
        <x:v>시간패턴 추천(미확정)</x:v>
      </x:c>
      <x:c r="H212" s="89" t="n">
        <x:v>950.2700000000001</x:v>
      </x:c>
      <x:c r="I212" s="103" t="n">
        <x:v>957.388</x:v>
      </x:c>
      <x:c r="J212" s="103" t="n">
        <x:v>938.5920000000001</x:v>
      </x:c>
      <x:c r="K212" s="88" t="str">
        <x:v>단일/없음</x:v>
      </x:c>
      <x:c r="L212" s="88" t="str"/>
    </x:row>
    <x:row r="213">
      <x:c r="A213" s="88" t="n">
        <x:v>11</x:v>
      </x:c>
      <x:c r="B213" s="88" t="str">
        <x:v>S11_SJE</x:v>
      </x:c>
      <x:c r="C213" s="88" t="n">
        <x:v>22</x:v>
      </x:c>
      <x:c r="D213" s="88" t="str">
        <x:v>M15</x:v>
      </x:c>
      <x:c r="E213" s="88" t="str">
        <x:v>4-4 시작</x:v>
      </x:c>
      <x:c r="F213" s="104" t="n">
        <x:v>957.388</x:v>
      </x:c>
      <x:c r="G213" s="89" t="str">
        <x:v>시간패턴 추천(미확정)</x:v>
      </x:c>
      <x:c r="H213" s="89" t="n">
        <x:v>957.388</x:v>
      </x:c>
      <x:c r="I213" s="103" t="n">
        <x:v>950.2700000000001</x:v>
      </x:c>
      <x:c r="J213" s="89"/>
      <x:c r="K213" s="88" t="str">
        <x:v>단일/없음</x:v>
      </x:c>
      <x:c r="L213" s="88" t="str"/>
    </x:row>
    <x:row r="214">
      <x:c r="A214" s="88" t="n">
        <x:v>11</x:v>
      </x:c>
      <x:c r="B214" s="88" t="str">
        <x:v>S11_SJE</x:v>
      </x:c>
      <x:c r="C214" s="88" t="n">
        <x:v>22</x:v>
      </x:c>
      <x:c r="D214" s="88" t="str">
        <x:v>M16</x:v>
      </x:c>
      <x:c r="E214" s="88" t="str">
        <x:v>4-4 종료</x:v>
      </x:c>
      <x:c r="F214" s="104" t="n">
        <x:v>1011.2160000000001</x:v>
      </x:c>
      <x:c r="G214" s="89" t="str">
        <x:v>시간패턴 추천(미확정)</x:v>
      </x:c>
      <x:c r="H214" s="89" t="n">
        <x:v>1011.2160000000001</x:v>
      </x:c>
      <x:c r="I214" s="89"/>
      <x:c r="J214" s="89"/>
      <x:c r="K214" s="88" t="str">
        <x:v>단일/없음</x:v>
      </x:c>
      <x:c r="L214" s="88" t="str"/>
    </x:row>
    <x:row r="215">
      <x:c r="A215" s="88" t="n">
        <x:v>11</x:v>
      </x:c>
      <x:c r="B215" s="88" t="str">
        <x:v>S11_SJE</x:v>
      </x:c>
      <x:c r="C215" s="88" t="n">
        <x:v>22</x:v>
      </x:c>
      <x:c r="D215" s="88" t="str">
        <x:v>M17</x:v>
      </x:c>
      <x:c r="E215" s="88" t="str">
        <x:v>5 시작</x:v>
      </x:c>
      <x:c r="F215" s="104" t="n">
        <x:v>1044.084</x:v>
      </x:c>
      <x:c r="G215" s="89" t="str">
        <x:v>시간패턴 추천(미확정)</x:v>
      </x:c>
      <x:c r="H215" s="89" t="n">
        <x:v>1044.084</x:v>
      </x:c>
      <x:c r="I215" s="103" t="n">
        <x:v>1049.052</x:v>
      </x:c>
      <x:c r="J215" s="89"/>
      <x:c r="K215" s="98" t="str">
        <x:v>애매</x:v>
      </x:c>
      <x:c r="L215" s="88" t="str"/>
    </x:row>
    <x:row r="216">
      <x:c r="A216" s="88" t="n">
        <x:v>11</x:v>
      </x:c>
      <x:c r="B216" s="88" t="str">
        <x:v>S11_SJE</x:v>
      </x:c>
      <x:c r="C216" s="88" t="n">
        <x:v>22</x:v>
      </x:c>
      <x:c r="D216" s="88" t="str">
        <x:v>M18</x:v>
      </x:c>
      <x:c r="E216" s="88" t="str">
        <x:v>5 종료</x:v>
      </x:c>
      <x:c r="F216" s="104" t="n">
        <x:v>1049.052</x:v>
      </x:c>
      <x:c r="G216" s="89" t="str">
        <x:v>시간패턴 추천(미확정)</x:v>
      </x:c>
      <x:c r="H216" s="89" t="n">
        <x:v>1049.052</x:v>
      </x:c>
      <x:c r="I216" s="103" t="n">
        <x:v>1044.084</x:v>
      </x:c>
      <x:c r="J216" s="103" t="n">
        <x:v>1062.816</x:v>
      </x:c>
      <x:c r="K216" s="98" t="str">
        <x:v>애매</x:v>
      </x:c>
      <x:c r="L216" s="88" t="str"/>
    </x:row>
    <x:row r="217">
      <x:c r="A217" s="88" t="n">
        <x:v>11</x:v>
      </x:c>
      <x:c r="B217" s="88" t="str">
        <x:v>S11_SJE</x:v>
      </x:c>
      <x:c r="C217" s="88" t="n">
        <x:v>22</x:v>
      </x:c>
      <x:c r="D217" s="88" t="str">
        <x:v>M19</x:v>
      </x:c>
      <x:c r="E217" s="88" t="str">
        <x:v>6 시작</x:v>
      </x:c>
      <x:c r="F217" s="104" t="n">
        <x:v>1062.816</x:v>
      </x:c>
      <x:c r="G217" s="89" t="str">
        <x:v>시간패턴 추천(미확정)</x:v>
      </x:c>
      <x:c r="H217" s="89" t="n">
        <x:v>1062.816</x:v>
      </x:c>
      <x:c r="I217" s="103" t="n">
        <x:v>1072.508</x:v>
      </x:c>
      <x:c r="J217" s="103" t="n">
        <x:v>1049.052</x:v>
      </x:c>
      <x:c r="K217" s="88" t="str">
        <x:v>단일/없음</x:v>
      </x:c>
      <x:c r="L217" s="88" t="str"/>
    </x:row>
    <x:row r="218">
      <x:c r="A218" s="88" t="n">
        <x:v>11</x:v>
      </x:c>
      <x:c r="B218" s="88" t="str">
        <x:v>S11_SJE</x:v>
      </x:c>
      <x:c r="C218" s="88" t="n">
        <x:v>22</x:v>
      </x:c>
      <x:c r="D218" s="88" t="str">
        <x:v>M20</x:v>
      </x:c>
      <x:c r="E218" s="88" t="str">
        <x:v>6 종료</x:v>
      </x:c>
      <x:c r="F218" s="104" t="n">
        <x:v>1072.508</x:v>
      </x:c>
      <x:c r="G218" s="89" t="str">
        <x:v>시간패턴 추천(미확정)</x:v>
      </x:c>
      <x:c r="H218" s="89" t="n">
        <x:v>1072.508</x:v>
      </x:c>
      <x:c r="I218" s="103" t="n">
        <x:v>1062.816</x:v>
      </x:c>
      <x:c r="J218" s="89"/>
      <x:c r="K218" s="88" t="str">
        <x:v>단일/없음</x:v>
      </x:c>
      <x:c r="L218" s="88" t="str"/>
    </x:row>
    <x:row r="219">
      <x:c r="A219" s="88" t="n">
        <x:v>11</x:v>
      </x:c>
      <x:c r="B219" s="88" t="str">
        <x:v>S11_SJE</x:v>
      </x:c>
      <x:c r="C219" s="88" t="n">
        <x:v>22</x:v>
      </x:c>
      <x:c r="D219" s="88" t="str">
        <x:v>M21</x:v>
      </x:c>
      <x:c r="E219" s="88" t="str">
        <x:v>7 시작</x:v>
      </x:c>
      <x:c r="F219" s="104" t="n">
        <x:v>1158.956</x:v>
      </x:c>
      <x:c r="G219" s="89" t="str">
        <x:v>시간패턴 추천(미확정)</x:v>
      </x:c>
      <x:c r="H219" s="89" t="n">
        <x:v>1158.956</x:v>
      </x:c>
      <x:c r="I219" s="89"/>
      <x:c r="J219" s="89"/>
      <x:c r="K219" s="88" t="str">
        <x:v>단일/없음</x:v>
      </x:c>
      <x:c r="L219" s="88" t="str"/>
    </x:row>
    <x:row r="220">
      <x:c r="A220" s="88" t="n">
        <x:v>11</x:v>
      </x:c>
      <x:c r="B220" s="88" t="str">
        <x:v>S11_SJE</x:v>
      </x:c>
      <x:c r="C220" s="88" t="n">
        <x:v>22</x:v>
      </x:c>
      <x:c r="D220" s="88" t="str">
        <x:v>M22</x:v>
      </x:c>
      <x:c r="E220" s="88" t="str">
        <x:v>7 종료</x:v>
      </x:c>
      <x:c r="F220" s="104" t="n">
        <x:v>1461.282</x:v>
      </x:c>
      <x:c r="G220" s="89" t="str">
        <x:v>시간패턴 추천(미확정)</x:v>
      </x:c>
      <x:c r="H220" s="89" t="n">
        <x:v>1461.282</x:v>
      </x:c>
      <x:c r="I220" s="103" t="n">
        <x:v>1448.86</x:v>
      </x:c>
      <x:c r="J220" s="89"/>
      <x:c r="K220" s="88" t="str">
        <x:v>단일/없음</x:v>
      </x:c>
      <x:c r="L220" s="88" t="str"/>
    </x:row>
    <x:row r="221">
      <x:c r="A221" s="88" t="n">
        <x:v>12</x:v>
      </x:c>
      <x:c r="B221" s="88" t="str">
        <x:v>S12_KDH</x:v>
      </x:c>
      <x:c r="C221" s="88" t="n">
        <x:v>22</x:v>
      </x:c>
      <x:c r="D221" s="88" t="str">
        <x:v>M01</x:v>
      </x:c>
      <x:c r="E221" s="88" t="str">
        <x:v>1 시작</x:v>
      </x:c>
      <x:c r="F221" s="104" t="n">
        <x:v>24.524</x:v>
      </x:c>
      <x:c r="G221" s="89" t="str">
        <x:v>시간패턴 추천(미확정)</x:v>
      </x:c>
      <x:c r="H221" s="89" t="n">
        <x:v>24.524</x:v>
      </x:c>
      <x:c r="I221" s="89"/>
      <x:c r="J221" s="89"/>
      <x:c r="K221" s="88" t="str">
        <x:v>단일/없음</x:v>
      </x:c>
      <x:c r="L221" s="88" t="str"/>
    </x:row>
    <x:row r="222">
      <x:c r="A222" s="88" t="n">
        <x:v>12</x:v>
      </x:c>
      <x:c r="B222" s="88" t="str">
        <x:v>S12_KDH</x:v>
      </x:c>
      <x:c r="C222" s="88" t="n">
        <x:v>22</x:v>
      </x:c>
      <x:c r="D222" s="88" t="str">
        <x:v>M02</x:v>
      </x:c>
      <x:c r="E222" s="88" t="str">
        <x:v>1 종료</x:v>
      </x:c>
      <x:c r="F222" s="104" t="n">
        <x:v>222.644</x:v>
      </x:c>
      <x:c r="G222" s="89" t="str">
        <x:v>시간패턴 추천(미확정)</x:v>
      </x:c>
      <x:c r="H222" s="89" t="n">
        <x:v>222.644</x:v>
      </x:c>
      <x:c r="I222" s="89"/>
      <x:c r="J222" s="89"/>
      <x:c r="K222" s="88" t="str">
        <x:v>단일/없음</x:v>
      </x:c>
      <x:c r="L222" s="88" t="str"/>
    </x:row>
    <x:row r="223">
      <x:c r="A223" s="88" t="n">
        <x:v>12</x:v>
      </x:c>
      <x:c r="B223" s="88" t="str">
        <x:v>S12_KDH</x:v>
      </x:c>
      <x:c r="C223" s="88" t="n">
        <x:v>22</x:v>
      </x:c>
      <x:c r="D223" s="88" t="str">
        <x:v>M03</x:v>
      </x:c>
      <x:c r="E223" s="88" t="str">
        <x:v>2 시작</x:v>
      </x:c>
      <x:c r="F223" s="104" t="n">
        <x:v>270.448</x:v>
      </x:c>
      <x:c r="G223" s="89" t="str">
        <x:v>시간패턴 추천(미확정)</x:v>
      </x:c>
      <x:c r="H223" s="89" t="n">
        <x:v>270.448</x:v>
      </x:c>
      <x:c r="I223" s="89"/>
      <x:c r="J223" s="89"/>
      <x:c r="K223" s="88" t="str">
        <x:v>단일/없음</x:v>
      </x:c>
      <x:c r="L223" s="88" t="str"/>
    </x:row>
    <x:row r="224">
      <x:c r="A224" s="88" t="n">
        <x:v>12</x:v>
      </x:c>
      <x:c r="B224" s="88" t="str">
        <x:v>S12_KDH</x:v>
      </x:c>
      <x:c r="C224" s="88" t="n">
        <x:v>22</x:v>
      </x:c>
      <x:c r="D224" s="88" t="str">
        <x:v>M04</x:v>
      </x:c>
      <x:c r="E224" s="88" t="str">
        <x:v>2 종료</x:v>
      </x:c>
      <x:c r="F224" s="104" t="n">
        <x:v>764.472</x:v>
      </x:c>
      <x:c r="G224" s="89" t="str">
        <x:v>시간패턴 추천(미확정)</x:v>
      </x:c>
      <x:c r="H224" s="89" t="n">
        <x:v>764.472</x:v>
      </x:c>
      <x:c r="I224" s="103" t="n">
        <x:v>774.22</x:v>
      </x:c>
      <x:c r="J224" s="89"/>
      <x:c r="K224" s="88" t="str">
        <x:v>단일/없음</x:v>
      </x:c>
      <x:c r="L224" s="88" t="str"/>
    </x:row>
    <x:row r="225">
      <x:c r="A225" s="88" t="n">
        <x:v>12</x:v>
      </x:c>
      <x:c r="B225" s="88" t="str">
        <x:v>S12_KDH</x:v>
      </x:c>
      <x:c r="C225" s="88" t="n">
        <x:v>22</x:v>
      </x:c>
      <x:c r="D225" s="88" t="str">
        <x:v>M05</x:v>
      </x:c>
      <x:c r="E225" s="88" t="str">
        <x:v>3-1 시작</x:v>
      </x:c>
      <x:c r="F225" s="104" t="n">
        <x:v>781.492</x:v>
      </x:c>
      <x:c r="G225" s="89" t="str">
        <x:v>시간패턴 추천(미확정)</x:v>
      </x:c>
      <x:c r="H225" s="89" t="n">
        <x:v>781.492</x:v>
      </x:c>
      <x:c r="I225" s="103" t="n">
        <x:v>774.22</x:v>
      </x:c>
      <x:c r="J225" s="89"/>
      <x:c r="K225" s="88" t="str">
        <x:v>단일/없음</x:v>
      </x:c>
      <x:c r="L225" s="88" t="str"/>
    </x:row>
    <x:row r="226">
      <x:c r="A226" s="88" t="n">
        <x:v>12</x:v>
      </x:c>
      <x:c r="B226" s="88" t="str">
        <x:v>S12_KDH</x:v>
      </x:c>
      <x:c r="C226" s="88" t="n">
        <x:v>22</x:v>
      </x:c>
      <x:c r="D226" s="88" t="str">
        <x:v>M06</x:v>
      </x:c>
      <x:c r="E226" s="88" t="str">
        <x:v>3-1 종료</x:v>
      </x:c>
      <x:c r="F226" s="104" t="n">
        <x:v>797.544</x:v>
      </x:c>
      <x:c r="G226" s="89" t="str">
        <x:v>시간패턴 추천(미확정)</x:v>
      </x:c>
      <x:c r="H226" s="89" t="n">
        <x:v>797.544</x:v>
      </x:c>
      <x:c r="I226" s="103" t="n">
        <x:v>806.852</x:v>
      </x:c>
      <x:c r="J226" s="89"/>
      <x:c r="K226" s="88" t="str">
        <x:v>단일/없음</x:v>
      </x:c>
      <x:c r="L226" s="88" t="str"/>
    </x:row>
    <x:row r="227">
      <x:c r="A227" s="88" t="n">
        <x:v>12</x:v>
      </x:c>
      <x:c r="B227" s="88" t="str">
        <x:v>S12_KDH</x:v>
      </x:c>
      <x:c r="C227" s="88" t="n">
        <x:v>22</x:v>
      </x:c>
      <x:c r="D227" s="88" t="str">
        <x:v>M07</x:v>
      </x:c>
      <x:c r="E227" s="88" t="str">
        <x:v>3-2 시작</x:v>
      </x:c>
      <x:c r="F227" s="104" t="n">
        <x:v>806.852</x:v>
      </x:c>
      <x:c r="G227" s="89" t="str">
        <x:v>시간패턴 추천(미확정)</x:v>
      </x:c>
      <x:c r="H227" s="89" t="n">
        <x:v>806.852</x:v>
      </x:c>
      <x:c r="I227" s="103" t="n">
        <x:v>812.872</x:v>
      </x:c>
      <x:c r="J227" s="103" t="n">
        <x:v>797.544</x:v>
      </x:c>
      <x:c r="K227" s="88" t="str">
        <x:v>단일/없음</x:v>
      </x:c>
      <x:c r="L227" s="88" t="str"/>
    </x:row>
    <x:row r="228">
      <x:c r="A228" s="88" t="n">
        <x:v>12</x:v>
      </x:c>
      <x:c r="B228" s="88" t="str">
        <x:v>S12_KDH</x:v>
      </x:c>
      <x:c r="C228" s="88" t="n">
        <x:v>22</x:v>
      </x:c>
      <x:c r="D228" s="88" t="str">
        <x:v>M08</x:v>
      </x:c>
      <x:c r="E228" s="88" t="str">
        <x:v>3-2 종료</x:v>
      </x:c>
      <x:c r="F228" s="104" t="n">
        <x:v>812.872</x:v>
      </x:c>
      <x:c r="G228" s="89" t="str">
        <x:v>시간패턴 추천(미확정)</x:v>
      </x:c>
      <x:c r="H228" s="89" t="n">
        <x:v>812.872</x:v>
      </x:c>
      <x:c r="I228" s="103" t="n">
        <x:v>806.852</x:v>
      </x:c>
      <x:c r="J228" s="89"/>
      <x:c r="K228" s="88" t="str">
        <x:v>단일/없음</x:v>
      </x:c>
      <x:c r="L228" s="88" t="str"/>
    </x:row>
    <x:row r="229">
      <x:c r="A229" s="88" t="n">
        <x:v>12</x:v>
      </x:c>
      <x:c r="B229" s="88" t="str">
        <x:v>S12_KDH</x:v>
      </x:c>
      <x:c r="C229" s="88" t="n">
        <x:v>22</x:v>
      </x:c>
      <x:c r="D229" s="88" t="str">
        <x:v>M09</x:v>
      </x:c>
      <x:c r="E229" s="88" t="str">
        <x:v>4-1 시작</x:v>
      </x:c>
      <x:c r="F229" s="104" t="n">
        <x:v>936.484</x:v>
      </x:c>
      <x:c r="G229" s="89" t="str">
        <x:v>시간패턴 추천(미확정)</x:v>
      </x:c>
      <x:c r="H229" s="89" t="n">
        <x:v>936.484</x:v>
      </x:c>
      <x:c r="I229" s="103" t="n">
        <x:v>941.544</x:v>
      </x:c>
      <x:c r="J229" s="103" t="n">
        <x:v>946.644</x:v>
      </x:c>
      <x:c r="K229" s="88" t="str">
        <x:v>단일/없음</x:v>
      </x:c>
      <x:c r="L229" s="88" t="str"/>
    </x:row>
    <x:row r="230">
      <x:c r="A230" s="88" t="n">
        <x:v>12</x:v>
      </x:c>
      <x:c r="B230" s="88" t="str">
        <x:v>S12_KDH</x:v>
      </x:c>
      <x:c r="C230" s="88" t="n">
        <x:v>22</x:v>
      </x:c>
      <x:c r="D230" s="88" t="str">
        <x:v>M10</x:v>
      </x:c>
      <x:c r="E230" s="88" t="str">
        <x:v>4-1 종료</x:v>
      </x:c>
      <x:c r="F230" s="104" t="n">
        <x:v>941.544</x:v>
      </x:c>
      <x:c r="G230" s="89" t="str">
        <x:v>시간패턴 추천(미확정)</x:v>
      </x:c>
      <x:c r="H230" s="89" t="n">
        <x:v>941.544</x:v>
      </x:c>
      <x:c r="I230" s="103" t="n">
        <x:v>936.484</x:v>
      </x:c>
      <x:c r="J230" s="103" t="n">
        <x:v>946.644</x:v>
      </x:c>
      <x:c r="K230" s="88" t="str">
        <x:v>단일/없음</x:v>
      </x:c>
      <x:c r="L230" s="88" t="str"/>
    </x:row>
    <x:row r="231">
      <x:c r="A231" s="88" t="n">
        <x:v>12</x:v>
      </x:c>
      <x:c r="B231" s="88" t="str">
        <x:v>S12_KDH</x:v>
      </x:c>
      <x:c r="C231" s="88" t="n">
        <x:v>22</x:v>
      </x:c>
      <x:c r="D231" s="88" t="str">
        <x:v>M11</x:v>
      </x:c>
      <x:c r="E231" s="88" t="str">
        <x:v>4-2 시작</x:v>
      </x:c>
      <x:c r="F231" s="104" t="n">
        <x:v>946.644</x:v>
      </x:c>
      <x:c r="G231" s="89" t="str">
        <x:v>시간패턴 추천(미확정)</x:v>
      </x:c>
      <x:c r="H231" s="89" t="n">
        <x:v>946.644</x:v>
      </x:c>
      <x:c r="I231" s="103" t="n">
        <x:v>941.544</x:v>
      </x:c>
      <x:c r="J231" s="103" t="n">
        <x:v>954.984</x:v>
      </x:c>
      <x:c r="K231" s="88" t="str">
        <x:v>단일/없음</x:v>
      </x:c>
      <x:c r="L231" s="88" t="str"/>
    </x:row>
    <x:row r="232">
      <x:c r="A232" s="88" t="n">
        <x:v>12</x:v>
      </x:c>
      <x:c r="B232" s="88" t="str">
        <x:v>S12_KDH</x:v>
      </x:c>
      <x:c r="C232" s="88" t="n">
        <x:v>22</x:v>
      </x:c>
      <x:c r="D232" s="88" t="str">
        <x:v>M12</x:v>
      </x:c>
      <x:c r="E232" s="88" t="str">
        <x:v>4-2 종료</x:v>
      </x:c>
      <x:c r="F232" s="104" t="n">
        <x:v>965.288</x:v>
      </x:c>
      <x:c r="G232" s="89" t="str">
        <x:v>시간패턴 추천(미확정)</x:v>
      </x:c>
      <x:c r="H232" s="89" t="n">
        <x:v>965.288</x:v>
      </x:c>
      <x:c r="I232" s="103" t="n">
        <x:v>973.068</x:v>
      </x:c>
      <x:c r="J232" s="103" t="n">
        <x:v>954.984</x:v>
      </x:c>
      <x:c r="K232" s="88" t="str">
        <x:v>단일/없음</x:v>
      </x:c>
      <x:c r="L232" s="88" t="str"/>
    </x:row>
    <x:row r="233">
      <x:c r="A233" s="88" t="n">
        <x:v>12</x:v>
      </x:c>
      <x:c r="B233" s="88" t="str">
        <x:v>S12_KDH</x:v>
      </x:c>
      <x:c r="C233" s="88" t="n">
        <x:v>22</x:v>
      </x:c>
      <x:c r="D233" s="88" t="str">
        <x:v>M13</x:v>
      </x:c>
      <x:c r="E233" s="88" t="str">
        <x:v>4-3 시작</x:v>
      </x:c>
      <x:c r="F233" s="104" t="n">
        <x:v>973.068</x:v>
      </x:c>
      <x:c r="G233" s="89" t="str">
        <x:v>시간패턴 추천(미확정)</x:v>
      </x:c>
      <x:c r="H233" s="89" t="n">
        <x:v>973.068</x:v>
      </x:c>
      <x:c r="I233" s="103" t="n">
        <x:v>965.288</x:v>
      </x:c>
      <x:c r="J233" s="89"/>
      <x:c r="K233" s="88" t="str">
        <x:v>단일/없음</x:v>
      </x:c>
      <x:c r="L233" s="88" t="str"/>
    </x:row>
    <x:row r="234">
      <x:c r="A234" s="88" t="n">
        <x:v>12</x:v>
      </x:c>
      <x:c r="B234" s="88" t="str">
        <x:v>S12_KDH</x:v>
      </x:c>
      <x:c r="C234" s="88" t="n">
        <x:v>22</x:v>
      </x:c>
      <x:c r="D234" s="88" t="str">
        <x:v>M14</x:v>
      </x:c>
      <x:c r="E234" s="88" t="str">
        <x:v>4-3 종료</x:v>
      </x:c>
      <x:c r="F234" s="104" t="n">
        <x:v>1010.792</x:v>
      </x:c>
      <x:c r="G234" s="89" t="str">
        <x:v>시간패턴 추천(미확정)</x:v>
      </x:c>
      <x:c r="H234" s="89" t="n">
        <x:v>1010.792</x:v>
      </x:c>
      <x:c r="I234" s="103" t="n">
        <x:v>1024.304</x:v>
      </x:c>
      <x:c r="J234" s="89"/>
      <x:c r="K234" s="88" t="str">
        <x:v>단일/없음</x:v>
      </x:c>
      <x:c r="L234" s="88" t="str"/>
    </x:row>
    <x:row r="235">
      <x:c r="A235" s="88" t="n">
        <x:v>12</x:v>
      </x:c>
      <x:c r="B235" s="88" t="str">
        <x:v>S12_KDH</x:v>
      </x:c>
      <x:c r="C235" s="88" t="n">
        <x:v>22</x:v>
      </x:c>
      <x:c r="D235" s="88" t="str">
        <x:v>M15</x:v>
      </x:c>
      <x:c r="E235" s="88" t="str">
        <x:v>4-4 시작</x:v>
      </x:c>
      <x:c r="F235" s="104" t="n">
        <x:v>1024.304</x:v>
      </x:c>
      <x:c r="G235" s="89" t="str">
        <x:v>시간패턴 추천(미확정)</x:v>
      </x:c>
      <x:c r="H235" s="89" t="n">
        <x:v>1024.304</x:v>
      </x:c>
      <x:c r="I235" s="103" t="n">
        <x:v>1033</x:v>
      </x:c>
      <x:c r="J235" s="103" t="n">
        <x:v>1010.792</x:v>
      </x:c>
      <x:c r="K235" s="88" t="str">
        <x:v>단일/없음</x:v>
      </x:c>
      <x:c r="L235" s="88" t="str"/>
    </x:row>
    <x:row r="236">
      <x:c r="A236" s="88" t="n">
        <x:v>12</x:v>
      </x:c>
      <x:c r="B236" s="88" t="str">
        <x:v>S12_KDH</x:v>
      </x:c>
      <x:c r="C236" s="88" t="n">
        <x:v>22</x:v>
      </x:c>
      <x:c r="D236" s="88" t="str">
        <x:v>M16</x:v>
      </x:c>
      <x:c r="E236" s="88" t="str">
        <x:v>4-4 종료</x:v>
      </x:c>
      <x:c r="F236" s="104" t="n">
        <x:v>1033</x:v>
      </x:c>
      <x:c r="G236" s="89" t="str">
        <x:v>시간패턴 추천(미확정)</x:v>
      </x:c>
      <x:c r="H236" s="89" t="n">
        <x:v>1033</x:v>
      </x:c>
      <x:c r="I236" s="103" t="n">
        <x:v>1024.304</x:v>
      </x:c>
      <x:c r="J236" s="89"/>
      <x:c r="K236" s="88" t="str">
        <x:v>단일/없음</x:v>
      </x:c>
      <x:c r="L236" s="88" t="str"/>
    </x:row>
    <x:row r="237">
      <x:c r="A237" s="88" t="n">
        <x:v>12</x:v>
      </x:c>
      <x:c r="B237" s="88" t="str">
        <x:v>S12_KDH</x:v>
      </x:c>
      <x:c r="C237" s="88" t="n">
        <x:v>22</x:v>
      </x:c>
      <x:c r="D237" s="88" t="str">
        <x:v>M17</x:v>
      </x:c>
      <x:c r="E237" s="88" t="str">
        <x:v>5 시작</x:v>
      </x:c>
      <x:c r="F237" s="104" t="n">
        <x:v>1089.332</x:v>
      </x:c>
      <x:c r="G237" s="89" t="str">
        <x:v>시간패턴 추천(미확정)</x:v>
      </x:c>
      <x:c r="H237" s="89" t="n">
        <x:v>1089.332</x:v>
      </x:c>
      <x:c r="I237" s="103" t="n">
        <x:v>1097.02</x:v>
      </x:c>
      <x:c r="J237" s="103" t="n">
        <x:v>1102.48</x:v>
      </x:c>
      <x:c r="K237" s="88" t="str">
        <x:v>단일/없음</x:v>
      </x:c>
      <x:c r="L237" s="88" t="str"/>
    </x:row>
    <x:row r="238">
      <x:c r="A238" s="88" t="n">
        <x:v>12</x:v>
      </x:c>
      <x:c r="B238" s="88" t="str">
        <x:v>S12_KDH</x:v>
      </x:c>
      <x:c r="C238" s="88" t="n">
        <x:v>22</x:v>
      </x:c>
      <x:c r="D238" s="88" t="str">
        <x:v>M18</x:v>
      </x:c>
      <x:c r="E238" s="88" t="str">
        <x:v>5 종료</x:v>
      </x:c>
      <x:c r="F238" s="104" t="n">
        <x:v>1358.624</x:v>
      </x:c>
      <x:c r="G238" s="89" t="str">
        <x:v>시간패턴 추천(미확정)</x:v>
      </x:c>
      <x:c r="H238" s="89" t="n">
        <x:v>1358.624</x:v>
      </x:c>
      <x:c r="I238" s="89"/>
      <x:c r="J238" s="89"/>
      <x:c r="K238" s="88" t="str">
        <x:v>단일/없음</x:v>
      </x:c>
      <x:c r="L238" s="88" t="str"/>
    </x:row>
    <x:row r="239">
      <x:c r="A239" s="88" t="n">
        <x:v>12</x:v>
      </x:c>
      <x:c r="B239" s="88" t="str">
        <x:v>S12_KDH</x:v>
      </x:c>
      <x:c r="C239" s="88" t="n">
        <x:v>22</x:v>
      </x:c>
      <x:c r="D239" s="88" t="str">
        <x:v>M19</x:v>
      </x:c>
      <x:c r="E239" s="88" t="str">
        <x:v>6 시작</x:v>
      </x:c>
      <x:c r="F239" s="104" t="n">
        <x:v>1416.58</x:v>
      </x:c>
      <x:c r="G239" s="89" t="str">
        <x:v>시간패턴 추천(미확정)</x:v>
      </x:c>
      <x:c r="H239" s="89" t="n">
        <x:v>1416.58</x:v>
      </x:c>
      <x:c r="I239" s="89"/>
      <x:c r="J239" s="89"/>
      <x:c r="K239" s="88" t="str">
        <x:v>단일/없음</x:v>
      </x:c>
      <x:c r="L239" s="88" t="str"/>
    </x:row>
    <x:row r="240">
      <x:c r="A240" s="88" t="n">
        <x:v>12</x:v>
      </x:c>
      <x:c r="B240" s="88" t="str">
        <x:v>S12_KDH</x:v>
      </x:c>
      <x:c r="C240" s="88" t="n">
        <x:v>22</x:v>
      </x:c>
      <x:c r="D240" s="88" t="str">
        <x:v>M20</x:v>
      </x:c>
      <x:c r="E240" s="88" t="str">
        <x:v>6 종료</x:v>
      </x:c>
      <x:c r="F240" s="104" t="n">
        <x:v>1446.1</x:v>
      </x:c>
      <x:c r="G240" s="89" t="str">
        <x:v>시간패턴 추천(미확정)</x:v>
      </x:c>
      <x:c r="H240" s="89" t="n">
        <x:v>1446.1</x:v>
      </x:c>
      <x:c r="I240" s="89"/>
      <x:c r="J240" s="89"/>
      <x:c r="K240" s="88" t="str">
        <x:v>단일/없음</x:v>
      </x:c>
      <x:c r="L240" s="88" t="str"/>
    </x:row>
    <x:row r="241">
      <x:c r="A241" s="88" t="n">
        <x:v>12</x:v>
      </x:c>
      <x:c r="B241" s="88" t="str">
        <x:v>S12_KDH</x:v>
      </x:c>
      <x:c r="C241" s="88" t="n">
        <x:v>22</x:v>
      </x:c>
      <x:c r="D241" s="88" t="str">
        <x:v>M21</x:v>
      </x:c>
      <x:c r="E241" s="88" t="str">
        <x:v>7 시작</x:v>
      </x:c>
      <x:c r="F241" s="104" t="n">
        <x:v>1488.404</x:v>
      </x:c>
      <x:c r="G241" s="89" t="str">
        <x:v>시간패턴 추천(미확정)</x:v>
      </x:c>
      <x:c r="H241" s="89" t="n">
        <x:v>1488.404</x:v>
      </x:c>
      <x:c r="I241" s="103" t="n">
        <x:v>1498.612</x:v>
      </x:c>
      <x:c r="J241" s="89"/>
      <x:c r="K241" s="88" t="str">
        <x:v>단일/없음</x:v>
      </x:c>
      <x:c r="L241" s="88" t="str"/>
    </x:row>
    <x:row r="242">
      <x:c r="A242" s="88" t="n">
        <x:v>12</x:v>
      </x:c>
      <x:c r="B242" s="88" t="str">
        <x:v>S12_KDH</x:v>
      </x:c>
      <x:c r="C242" s="88" t="n">
        <x:v>22</x:v>
      </x:c>
      <x:c r="D242" s="88" t="str">
        <x:v>M22</x:v>
      </x:c>
      <x:c r="E242" s="88" t="str">
        <x:v>7 종료</x:v>
      </x:c>
      <x:c r="F242" s="104" t="n">
        <x:v>1498.612</x:v>
      </x:c>
      <x:c r="G242" s="89" t="str">
        <x:v>시간패턴 추천(미확정)</x:v>
      </x:c>
      <x:c r="H242" s="89" t="n">
        <x:v>1498.612</x:v>
      </x:c>
      <x:c r="I242" s="103" t="n">
        <x:v>1488.404</x:v>
      </x:c>
      <x:c r="J242" s="89"/>
      <x:c r="K242" s="88" t="str">
        <x:v>단일/없음</x:v>
      </x:c>
      <x:c r="L242" s="88" t="str"/>
    </x:row>
    <x:row r="243">
      <x:c r="A243" s="88" t="n">
        <x:v>13</x:v>
      </x:c>
      <x:c r="B243" s="88" t="str">
        <x:v>S13_KTW</x:v>
      </x:c>
      <x:c r="C243" s="88" t="n">
        <x:v>22</x:v>
      </x:c>
      <x:c r="D243" s="88" t="str">
        <x:v>M01</x:v>
      </x:c>
      <x:c r="E243" s="88" t="str">
        <x:v>1 시작</x:v>
      </x:c>
      <x:c r="F243" s="96" t="n">
        <x:v>11.5</x:v>
      </x:c>
      <x:c r="G243" s="89" t="str">
        <x:v>$2 최종 선택</x:v>
      </x:c>
      <x:c r="H243" s="89" t="n">
        <x:v>11.496000000000047</x:v>
      </x:c>
      <x:c r="I243" s="89"/>
      <x:c r="J243" s="89"/>
      <x:c r="K243" s="88" t="str">
        <x:v>단일/없음</x:v>
      </x:c>
      <x:c r="L243" s="88" t="str"/>
    </x:row>
    <x:row r="244">
      <x:c r="A244" s="88" t="n">
        <x:v>13</x:v>
      </x:c>
      <x:c r="B244" s="88" t="str">
        <x:v>S13_KTW</x:v>
      </x:c>
      <x:c r="C244" s="88" t="n">
        <x:v>22</x:v>
      </x:c>
      <x:c r="D244" s="88" t="str">
        <x:v>M02</x:v>
      </x:c>
      <x:c r="E244" s="88" t="str">
        <x:v>1 종료</x:v>
      </x:c>
      <x:c r="F244" s="96" t="n">
        <x:v>205.2</x:v>
      </x:c>
      <x:c r="G244" s="89" t="str">
        <x:v>$2 최종 선택</x:v>
      </x:c>
      <x:c r="H244" s="89" t="n">
        <x:v>205.18000000000004</x:v>
      </x:c>
      <x:c r="I244" s="89"/>
      <x:c r="J244" s="89"/>
      <x:c r="K244" s="88" t="str">
        <x:v>단일/없음</x:v>
      </x:c>
      <x:c r="L244" s="88" t="str"/>
    </x:row>
    <x:row r="245">
      <x:c r="A245" s="88" t="n">
        <x:v>13</x:v>
      </x:c>
      <x:c r="B245" s="88" t="str">
        <x:v>S13_KTW</x:v>
      </x:c>
      <x:c r="C245" s="88" t="n">
        <x:v>22</x:v>
      </x:c>
      <x:c r="D245" s="88" t="str">
        <x:v>M03</x:v>
      </x:c>
      <x:c r="E245" s="88" t="str">
        <x:v>2 시작</x:v>
      </x:c>
      <x:c r="F245" s="96" t="n">
        <x:v>228.3</x:v>
      </x:c>
      <x:c r="G245" s="89" t="str">
        <x:v>$2 최종 선택</x:v>
      </x:c>
      <x:c r="H245" s="89" t="n">
        <x:v>228.33600000000004</x:v>
      </x:c>
      <x:c r="I245" s="89"/>
      <x:c r="J245" s="89"/>
      <x:c r="K245" s="88" t="str">
        <x:v>단일/없음</x:v>
      </x:c>
      <x:c r="L245" s="88" t="str"/>
    </x:row>
    <x:row r="246">
      <x:c r="A246" s="88" t="n">
        <x:v>13</x:v>
      </x:c>
      <x:c r="B246" s="88" t="str">
        <x:v>S13_KTW</x:v>
      </x:c>
      <x:c r="C246" s="88" t="n">
        <x:v>22</x:v>
      </x:c>
      <x:c r="D246" s="88" t="str">
        <x:v>M04</x:v>
      </x:c>
      <x:c r="E246" s="88" t="str">
        <x:v>2 종료</x:v>
      </x:c>
      <x:c r="F246" s="96" t="n">
        <x:v>597.4</x:v>
      </x:c>
      <x:c r="G246" s="89" t="str">
        <x:v>$2 최종 선택</x:v>
      </x:c>
      <x:c r="H246" s="89" t="n">
        <x:v>597.428</x:v>
      </x:c>
      <x:c r="I246" s="89"/>
      <x:c r="J246" s="89"/>
      <x:c r="K246" s="88" t="str">
        <x:v>단일/없음</x:v>
      </x:c>
      <x:c r="L246" s="88" t="str"/>
    </x:row>
    <x:row r="247">
      <x:c r="A247" s="88" t="n">
        <x:v>13</x:v>
      </x:c>
      <x:c r="B247" s="88" t="str">
        <x:v>S13_KTW</x:v>
      </x:c>
      <x:c r="C247" s="88" t="n">
        <x:v>22</x:v>
      </x:c>
      <x:c r="D247" s="88" t="str">
        <x:v>M05</x:v>
      </x:c>
      <x:c r="E247" s="88" t="str">
        <x:v>3-1 시작</x:v>
      </x:c>
      <x:c r="F247" s="96" t="n">
        <x:v>643.4</x:v>
      </x:c>
      <x:c r="G247" s="89" t="str">
        <x:v>$2 최종 선택</x:v>
      </x:c>
      <x:c r="H247" s="89" t="n">
        <x:v>643.384</x:v>
      </x:c>
      <x:c r="I247" s="103" t="n">
        <x:v>652.072</x:v>
      </x:c>
      <x:c r="J247" s="103" t="n">
        <x:v>656.76</x:v>
      </x:c>
      <x:c r="K247" s="88" t="str">
        <x:v>단일/없음</x:v>
      </x:c>
      <x:c r="L247" s="88" t="str"/>
    </x:row>
    <x:row r="248">
      <x:c r="A248" s="88" t="n">
        <x:v>13</x:v>
      </x:c>
      <x:c r="B248" s="88" t="str">
        <x:v>S13_KTW</x:v>
      </x:c>
      <x:c r="C248" s="88" t="n">
        <x:v>22</x:v>
      </x:c>
      <x:c r="D248" s="88" t="str">
        <x:v>M06</x:v>
      </x:c>
      <x:c r="E248" s="88" t="str">
        <x:v>3-1 종료</x:v>
      </x:c>
      <x:c r="F248" s="96" t="n">
        <x:v>656.8</x:v>
      </x:c>
      <x:c r="G248" s="89" t="str">
        <x:v>$2 최종 선택</x:v>
      </x:c>
      <x:c r="H248" s="89" t="n">
        <x:v>656.76</x:v>
      </x:c>
      <x:c r="I248" s="103" t="n">
        <x:v>652.072</x:v>
      </x:c>
      <x:c r="J248" s="103" t="n">
        <x:v>643.384</x:v>
      </x:c>
      <x:c r="K248" s="98" t="str">
        <x:v>애매</x:v>
      </x:c>
      <x:c r="L248" s="88" t="str"/>
    </x:row>
    <x:row r="249">
      <x:c r="A249" s="88" t="n">
        <x:v>13</x:v>
      </x:c>
      <x:c r="B249" s="88" t="str">
        <x:v>S13_KTW</x:v>
      </x:c>
      <x:c r="C249" s="88" t="n">
        <x:v>22</x:v>
      </x:c>
      <x:c r="D249" s="88" t="str">
        <x:v>M07</x:v>
      </x:c>
      <x:c r="E249" s="88" t="str">
        <x:v>3-2 시작</x:v>
      </x:c>
      <x:c r="F249" s="96" t="n">
        <x:v>675.5</x:v>
      </x:c>
      <x:c r="G249" s="89" t="str">
        <x:v>$2 최종 선택</x:v>
      </x:c>
      <x:c r="H249" s="89" t="n">
        <x:v>680.668</x:v>
      </x:c>
      <x:c r="I249" s="103" t="n">
        <x:v>688.176</x:v>
      </x:c>
      <x:c r="J249" s="89"/>
      <x:c r="K249" s="88" t="str">
        <x:v>단일/없음</x:v>
      </x:c>
      <x:c r="L249" s="88" t="str"/>
    </x:row>
    <x:row r="250">
      <x:c r="A250" s="88" t="n">
        <x:v>13</x:v>
      </x:c>
      <x:c r="B250" s="88" t="str">
        <x:v>S13_KTW</x:v>
      </x:c>
      <x:c r="C250" s="88" t="n">
        <x:v>22</x:v>
      </x:c>
      <x:c r="D250" s="88" t="str">
        <x:v>M08</x:v>
      </x:c>
      <x:c r="E250" s="88" t="str">
        <x:v>3-2 종료</x:v>
      </x:c>
      <x:c r="F250" s="96" t="n">
        <x:v>684.9</x:v>
      </x:c>
      <x:c r="G250" s="89" t="str">
        <x:v>$2 최종 선택</x:v>
      </x:c>
      <x:c r="H250" s="89" t="n">
        <x:v>688.176</x:v>
      </x:c>
      <x:c r="I250" s="103" t="n">
        <x:v>680.668</x:v>
      </x:c>
      <x:c r="J250" s="89"/>
      <x:c r="K250" s="98" t="str">
        <x:v>애매</x:v>
      </x:c>
      <x:c r="L250" s="88" t="str"/>
    </x:row>
    <x:row r="251">
      <x:c r="A251" s="88" t="n">
        <x:v>13</x:v>
      </x:c>
      <x:c r="B251" s="88" t="str">
        <x:v>S13_KTW</x:v>
      </x:c>
      <x:c r="C251" s="88" t="n">
        <x:v>22</x:v>
      </x:c>
      <x:c r="D251" s="88" t="str">
        <x:v>M09</x:v>
      </x:c>
      <x:c r="E251" s="88" t="str">
        <x:v>4-1 시작</x:v>
      </x:c>
      <x:c r="F251" s="96" t="n">
        <x:v>699.2</x:v>
      </x:c>
      <x:c r="G251" s="89" t="str">
        <x:v>$2 최종 선택</x:v>
      </x:c>
      <x:c r="H251" s="89" t="n">
        <x:v>688.176</x:v>
      </x:c>
      <x:c r="I251" s="89"/>
      <x:c r="J251" s="89"/>
      <x:c r="K251" s="88" t="str">
        <x:v>단일/없음</x:v>
      </x:c>
      <x:c r="L251" s="88" t="str"/>
    </x:row>
    <x:row r="252">
      <x:c r="A252" s="88" t="n">
        <x:v>13</x:v>
      </x:c>
      <x:c r="B252" s="88" t="str">
        <x:v>S13_KTW</x:v>
      </x:c>
      <x:c r="C252" s="88" t="n">
        <x:v>22</x:v>
      </x:c>
      <x:c r="D252" s="88" t="str">
        <x:v>M10</x:v>
      </x:c>
      <x:c r="E252" s="88" t="str">
        <x:v>4-1 종료</x:v>
      </x:c>
      <x:c r="F252" s="96" t="n">
        <x:v>743</x:v>
      </x:c>
      <x:c r="G252" s="89" t="str">
        <x:v>$2 최종 선택</x:v>
      </x:c>
      <x:c r="H252" s="89" t="n">
        <x:v>742.1426666666667</x:v>
      </x:c>
      <x:c r="I252" s="103" t="n">
        <x:v>733.364</x:v>
      </x:c>
      <x:c r="J252" s="103" t="n">
        <x:v>756.9413333333334</x:v>
      </x:c>
      <x:c r="K252" s="88" t="str">
        <x:v>단일/없음</x:v>
      </x:c>
      <x:c r="L252" s="88" t="str"/>
    </x:row>
    <x:row r="253">
      <x:c r="A253" s="88" t="n">
        <x:v>13</x:v>
      </x:c>
      <x:c r="B253" s="88" t="str">
        <x:v>S13_KTW</x:v>
      </x:c>
      <x:c r="C253" s="88" t="n">
        <x:v>22</x:v>
      </x:c>
      <x:c r="D253" s="88" t="str">
        <x:v>M11</x:v>
      </x:c>
      <x:c r="E253" s="88" t="str">
        <x:v>4-2 시작</x:v>
      </x:c>
      <x:c r="F253" s="96" t="n">
        <x:v>757.9</x:v>
      </x:c>
      <x:c r="G253" s="89" t="str">
        <x:v>$2 최종 선택</x:v>
      </x:c>
      <x:c r="H253" s="89" t="n">
        <x:v>756.9413333333334</x:v>
      </x:c>
      <x:c r="I253" s="89"/>
      <x:c r="J253" s="89"/>
      <x:c r="K253" s="88" t="str">
        <x:v>단일/없음</x:v>
      </x:c>
      <x:c r="L253" s="88" t="str"/>
    </x:row>
    <x:row r="254">
      <x:c r="A254" s="88" t="n">
        <x:v>13</x:v>
      </x:c>
      <x:c r="B254" s="88" t="str">
        <x:v>S13_KTW</x:v>
      </x:c>
      <x:c r="C254" s="88" t="n">
        <x:v>22</x:v>
      </x:c>
      <x:c r="D254" s="88" t="str">
        <x:v>M12</x:v>
      </x:c>
      <x:c r="E254" s="88" t="str">
        <x:v>4-2 종료</x:v>
      </x:c>
      <x:c r="F254" s="96" t="n">
        <x:v>795.8</x:v>
      </x:c>
      <x:c r="G254" s="89" t="str">
        <x:v>$2 최종 선택</x:v>
      </x:c>
      <x:c r="H254" s="89"/>
      <x:c r="I254" s="89"/>
      <x:c r="J254" s="89"/>
      <x:c r="K254" s="88" t="str">
        <x:v>단일/없음</x:v>
      </x:c>
      <x:c r="L254" s="88" t="str"/>
    </x:row>
    <x:row r="255">
      <x:c r="A255" s="88" t="n">
        <x:v>13</x:v>
      </x:c>
      <x:c r="B255" s="88" t="str">
        <x:v>S13_KTW</x:v>
      </x:c>
      <x:c r="C255" s="88" t="n">
        <x:v>22</x:v>
      </x:c>
      <x:c r="D255" s="88" t="str">
        <x:v>M13</x:v>
      </x:c>
      <x:c r="E255" s="88" t="str">
        <x:v>4-3 시작</x:v>
      </x:c>
      <x:c r="F255" s="96" t="n">
        <x:v>813.2</x:v>
      </x:c>
      <x:c r="G255" s="89" t="str">
        <x:v>$2 최종 선택</x:v>
      </x:c>
      <x:c r="H255" s="89" t="n">
        <x:v>813.244</x:v>
      </x:c>
      <x:c r="I255" s="103" t="n">
        <x:v>818.248</x:v>
      </x:c>
      <x:c r="J255" s="89"/>
      <x:c r="K255" s="88" t="str">
        <x:v>단일/없음</x:v>
      </x:c>
      <x:c r="L255" s="88" t="str"/>
    </x:row>
    <x:row r="256">
      <x:c r="A256" s="88" t="n">
        <x:v>13</x:v>
      </x:c>
      <x:c r="B256" s="88" t="str">
        <x:v>S13_KTW</x:v>
      </x:c>
      <x:c r="C256" s="88" t="n">
        <x:v>22</x:v>
      </x:c>
      <x:c r="D256" s="88" t="str">
        <x:v>M14</x:v>
      </x:c>
      <x:c r="E256" s="88" t="str">
        <x:v>4-3 종료</x:v>
      </x:c>
      <x:c r="F256" s="96" t="n">
        <x:v>864.7</x:v>
      </x:c>
      <x:c r="G256" s="89" t="str">
        <x:v>$2 최종 선택</x:v>
      </x:c>
      <x:c r="H256" s="89" t="n">
        <x:v>861.864</x:v>
      </x:c>
      <x:c r="I256" s="103" t="n">
        <x:v>857.84</x:v>
      </x:c>
      <x:c r="J256" s="103" t="n">
        <x:v>872.412</x:v>
      </x:c>
      <x:c r="K256" s="88" t="str">
        <x:v>단일/없음</x:v>
      </x:c>
      <x:c r="L256" s="88" t="str"/>
    </x:row>
    <x:row r="257">
      <x:c r="A257" s="88" t="n">
        <x:v>13</x:v>
      </x:c>
      <x:c r="B257" s="88" t="str">
        <x:v>S13_KTW</x:v>
      </x:c>
      <x:c r="C257" s="88" t="n">
        <x:v>22</x:v>
      </x:c>
      <x:c r="D257" s="88" t="str">
        <x:v>M15</x:v>
      </x:c>
      <x:c r="E257" s="88" t="str">
        <x:v>4-4 시작</x:v>
      </x:c>
      <x:c r="F257" s="96" t="n">
        <x:v>874.3</x:v>
      </x:c>
      <x:c r="G257" s="89" t="str">
        <x:v>$2 최종 선택</x:v>
      </x:c>
      <x:c r="H257" s="89" t="n">
        <x:v>872.412</x:v>
      </x:c>
      <x:c r="I257" s="103" t="n">
        <x:v>877.596</x:v>
      </x:c>
      <x:c r="J257" s="103" t="n">
        <x:v>882.236</x:v>
      </x:c>
      <x:c r="K257" s="98" t="str">
        <x:v>애매</x:v>
      </x:c>
      <x:c r="L257" s="88" t="str"/>
    </x:row>
    <x:row r="258">
      <x:c r="A258" s="88" t="n">
        <x:v>13</x:v>
      </x:c>
      <x:c r="B258" s="88" t="str">
        <x:v>S13_KTW</x:v>
      </x:c>
      <x:c r="C258" s="88" t="n">
        <x:v>22</x:v>
      </x:c>
      <x:c r="D258" s="88" t="str">
        <x:v>M16</x:v>
      </x:c>
      <x:c r="E258" s="88" t="str">
        <x:v>4-4 종료</x:v>
      </x:c>
      <x:c r="F258" s="96" t="n">
        <x:v>886.4</x:v>
      </x:c>
      <x:c r="G258" s="89" t="str">
        <x:v>$2 최종 선택</x:v>
      </x:c>
      <x:c r="H258" s="89" t="n">
        <x:v>888.16</x:v>
      </x:c>
      <x:c r="I258" s="103" t="n">
        <x:v>882.236</x:v>
      </x:c>
      <x:c r="J258" s="103" t="n">
        <x:v>877.596</x:v>
      </x:c>
      <x:c r="K258" s="98" t="str">
        <x:v>애매</x:v>
      </x:c>
      <x:c r="L258" s="88" t="str"/>
    </x:row>
    <x:row r="259">
      <x:c r="A259" s="88" t="n">
        <x:v>13</x:v>
      </x:c>
      <x:c r="B259" s="88" t="str">
        <x:v>S13_KTW</x:v>
      </x:c>
      <x:c r="C259" s="88" t="n">
        <x:v>22</x:v>
      </x:c>
      <x:c r="D259" s="88" t="str">
        <x:v>M17</x:v>
      </x:c>
      <x:c r="E259" s="88" t="str">
        <x:v>5 시작</x:v>
      </x:c>
      <x:c r="F259" s="96" t="n">
        <x:v>920.5</x:v>
      </x:c>
      <x:c r="G259" s="89" t="str">
        <x:v>$2 최종 선택</x:v>
      </x:c>
      <x:c r="H259" s="89" t="n">
        <x:v>917.176</x:v>
      </x:c>
      <x:c r="I259" s="89"/>
      <x:c r="J259" s="89"/>
      <x:c r="K259" s="88" t="str">
        <x:v>단일/없음</x:v>
      </x:c>
      <x:c r="L259" s="88" t="str"/>
    </x:row>
    <x:row r="260">
      <x:c r="A260" s="88" t="n">
        <x:v>13</x:v>
      </x:c>
      <x:c r="B260" s="88" t="str">
        <x:v>S13_KTW</x:v>
      </x:c>
      <x:c r="C260" s="88" t="n">
        <x:v>22</x:v>
      </x:c>
      <x:c r="D260" s="88" t="str">
        <x:v>M18</x:v>
      </x:c>
      <x:c r="E260" s="88" t="str">
        <x:v>5 종료</x:v>
      </x:c>
      <x:c r="F260" s="96" t="n">
        <x:v>1109.9</x:v>
      </x:c>
      <x:c r="G260" s="89" t="str">
        <x:v>$2 최종 선택</x:v>
      </x:c>
      <x:c r="H260" s="89" t="n">
        <x:v>1109.8280000000002</x:v>
      </x:c>
      <x:c r="I260" s="89"/>
      <x:c r="J260" s="89"/>
      <x:c r="K260" s="88" t="str">
        <x:v>단일/없음</x:v>
      </x:c>
      <x:c r="L260" s="88" t="str"/>
    </x:row>
    <x:row r="261">
      <x:c r="A261" s="88" t="n">
        <x:v>13</x:v>
      </x:c>
      <x:c r="B261" s="88" t="str">
        <x:v>S13_KTW</x:v>
      </x:c>
      <x:c r="C261" s="88" t="n">
        <x:v>22</x:v>
      </x:c>
      <x:c r="D261" s="88" t="str">
        <x:v>M19</x:v>
      </x:c>
      <x:c r="E261" s="88" t="str">
        <x:v>6 시작</x:v>
      </x:c>
      <x:c r="F261" s="96" t="n">
        <x:v>1129.3</x:v>
      </x:c>
      <x:c r="G261" s="89" t="str">
        <x:v>$2 최종 선택</x:v>
      </x:c>
      <x:c r="H261" s="89"/>
      <x:c r="I261" s="89"/>
      <x:c r="J261" s="89"/>
      <x:c r="K261" s="88" t="str">
        <x:v>단일/없음</x:v>
      </x:c>
      <x:c r="L261" s="88" t="str"/>
    </x:row>
    <x:row r="262">
      <x:c r="A262" s="88" t="n">
        <x:v>13</x:v>
      </x:c>
      <x:c r="B262" s="88" t="str">
        <x:v>S13_KTW</x:v>
      </x:c>
      <x:c r="C262" s="88" t="n">
        <x:v>22</x:v>
      </x:c>
      <x:c r="D262" s="88" t="str">
        <x:v>M20</x:v>
      </x:c>
      <x:c r="E262" s="88" t="str">
        <x:v>6 종료</x:v>
      </x:c>
      <x:c r="F262" s="96" t="n">
        <x:v>1153.3</x:v>
      </x:c>
      <x:c r="G262" s="89" t="str">
        <x:v>$2 최종 선택</x:v>
      </x:c>
      <x:c r="H262" s="89"/>
      <x:c r="I262" s="89"/>
      <x:c r="J262" s="89"/>
      <x:c r="K262" s="88" t="str">
        <x:v>단일/없음</x:v>
      </x:c>
      <x:c r="L262" s="88" t="str"/>
    </x:row>
    <x:row r="263">
      <x:c r="A263" s="88" t="n">
        <x:v>13</x:v>
      </x:c>
      <x:c r="B263" s="88" t="str">
        <x:v>S13_KTW</x:v>
      </x:c>
      <x:c r="C263" s="88" t="n">
        <x:v>22</x:v>
      </x:c>
      <x:c r="D263" s="88" t="str">
        <x:v>M21</x:v>
      </x:c>
      <x:c r="E263" s="88" t="str">
        <x:v>7 시작</x:v>
      </x:c>
      <x:c r="F263" s="96" t="n">
        <x:v>1159.6</x:v>
      </x:c>
      <x:c r="G263" s="89" t="str">
        <x:v>$2 최종 선택</x:v>
      </x:c>
      <x:c r="H263" s="89"/>
      <x:c r="I263" s="89"/>
      <x:c r="J263" s="89"/>
      <x:c r="K263" s="88" t="str">
        <x:v>단일/없음</x:v>
      </x:c>
      <x:c r="L263" s="88" t="str"/>
    </x:row>
    <x:row r="264">
      <x:c r="A264" s="88" t="n">
        <x:v>13</x:v>
      </x:c>
      <x:c r="B264" s="88" t="str">
        <x:v>S13_KTW</x:v>
      </x:c>
      <x:c r="C264" s="88" t="n">
        <x:v>22</x:v>
      </x:c>
      <x:c r="D264" s="88" t="str">
        <x:v>M22</x:v>
      </x:c>
      <x:c r="E264" s="88" t="str">
        <x:v>7 종료</x:v>
      </x:c>
      <x:c r="F264" s="96" t="n">
        <x:v>1178.9</x:v>
      </x:c>
      <x:c r="G264" s="89" t="str">
        <x:v>$2 최종 선택</x:v>
      </x:c>
      <x:c r="H264" s="89" t="n">
        <x:v>1178.874</x:v>
      </x:c>
      <x:c r="I264" s="103" t="n">
        <x:v>1189.9080000000001</x:v>
      </x:c>
      <x:c r="J264" s="89"/>
      <x:c r="K264" s="88" t="str">
        <x:v>단일/없음</x:v>
      </x:c>
      <x:c r="L264" s="88" t="str"/>
    </x:row>
    <x:row r="265">
      <x:c r="A265" s="88" t="n">
        <x:v>14</x:v>
      </x:c>
      <x:c r="B265" s="88" t="str">
        <x:v>S14_MDO</x:v>
      </x:c>
      <x:c r="C265" s="88" t="n">
        <x:v>22</x:v>
      </x:c>
      <x:c r="D265" s="88" t="str">
        <x:v>M01</x:v>
      </x:c>
      <x:c r="E265" s="88" t="str">
        <x:v>1 시작</x:v>
      </x:c>
      <x:c r="F265" s="96" t="n">
        <x:v>13.64800000000007</x:v>
      </x:c>
      <x:c r="G265" s="89" t="str">
        <x:v>$2 최종 선택</x:v>
      </x:c>
      <x:c r="H265" s="89" t="n">
        <x:v>13.64800000000007</x:v>
      </x:c>
      <x:c r="I265" s="89"/>
      <x:c r="J265" s="89"/>
      <x:c r="K265" s="88" t="str">
        <x:v>단일/없음</x:v>
      </x:c>
      <x:c r="L265" s="88" t="str"/>
    </x:row>
    <x:row r="266">
      <x:c r="A266" s="88" t="n">
        <x:v>14</x:v>
      </x:c>
      <x:c r="B266" s="88" t="str">
        <x:v>S14_MDO</x:v>
      </x:c>
      <x:c r="C266" s="88" t="n">
        <x:v>22</x:v>
      </x:c>
      <x:c r="D266" s="88" t="str">
        <x:v>M02</x:v>
      </x:c>
      <x:c r="E266" s="88" t="str">
        <x:v>1 종료</x:v>
      </x:c>
      <x:c r="F266" s="96" t="n">
        <x:v>208.91200000000006</x:v>
      </x:c>
      <x:c r="G266" s="89" t="str">
        <x:v>$2 최종 선택</x:v>
      </x:c>
      <x:c r="H266" s="89" t="n">
        <x:v>208.91200000000006</x:v>
      </x:c>
      <x:c r="I266" s="89"/>
      <x:c r="J266" s="89"/>
      <x:c r="K266" s="88" t="str">
        <x:v>단일/없음</x:v>
      </x:c>
      <x:c r="L266" s="88" t="str"/>
    </x:row>
    <x:row r="267">
      <x:c r="A267" s="88" t="n">
        <x:v>14</x:v>
      </x:c>
      <x:c r="B267" s="88" t="str">
        <x:v>S14_MDO</x:v>
      </x:c>
      <x:c r="C267" s="88" t="n">
        <x:v>22</x:v>
      </x:c>
      <x:c r="D267" s="88" t="str">
        <x:v>M03</x:v>
      </x:c>
      <x:c r="E267" s="88" t="str">
        <x:v>2 시작</x:v>
      </x:c>
      <x:c r="F267" s="96" t="n">
        <x:v>233.95200000000006</x:v>
      </x:c>
      <x:c r="G267" s="89" t="str">
        <x:v>$2 최종 선택</x:v>
      </x:c>
      <x:c r="H267" s="89" t="n">
        <x:v>233.95200000000006</x:v>
      </x:c>
      <x:c r="I267" s="89"/>
      <x:c r="J267" s="89"/>
      <x:c r="K267" s="88" t="str">
        <x:v>단일/없음</x:v>
      </x:c>
      <x:c r="L267" s="88" t="str"/>
    </x:row>
    <x:row r="268">
      <x:c r="A268" s="88" t="n">
        <x:v>14</x:v>
      </x:c>
      <x:c r="B268" s="88" t="str">
        <x:v>S14_MDO</x:v>
      </x:c>
      <x:c r="C268" s="88" t="n">
        <x:v>22</x:v>
      </x:c>
      <x:c r="D268" s="88" t="str">
        <x:v>M04</x:v>
      </x:c>
      <x:c r="E268" s="88" t="str">
        <x:v>2 종료</x:v>
      </x:c>
      <x:c r="F268" s="96" t="n">
        <x:v>607.4200000000001</x:v>
      </x:c>
      <x:c r="G268" s="89" t="str">
        <x:v>$2 최종 선택</x:v>
      </x:c>
      <x:c r="H268" s="89" t="n">
        <x:v>607.4200000000001</x:v>
      </x:c>
      <x:c r="I268" s="89"/>
      <x:c r="J268" s="89"/>
      <x:c r="K268" s="88" t="str">
        <x:v>단일/없음</x:v>
      </x:c>
      <x:c r="L268" s="88" t="str"/>
    </x:row>
    <x:row r="269">
      <x:c r="A269" s="88" t="n">
        <x:v>14</x:v>
      </x:c>
      <x:c r="B269" s="88" t="str">
        <x:v>S14_MDO</x:v>
      </x:c>
      <x:c r="C269" s="88" t="n">
        <x:v>22</x:v>
      </x:c>
      <x:c r="D269" s="88" t="str">
        <x:v>M05</x:v>
      </x:c>
      <x:c r="E269" s="88" t="str">
        <x:v>3-1 시작</x:v>
      </x:c>
      <x:c r="F269" s="96" t="n">
        <x:v>636.1480000000001</x:v>
      </x:c>
      <x:c r="G269" s="89" t="str">
        <x:v>$2 최종 선택</x:v>
      </x:c>
      <x:c r="H269" s="89" t="n">
        <x:v>636.1480000000001</x:v>
      </x:c>
      <x:c r="I269" s="103" t="n">
        <x:v>649.344</x:v>
      </x:c>
      <x:c r="J269" s="89"/>
      <x:c r="K269" s="88" t="str">
        <x:v>단일/없음</x:v>
      </x:c>
      <x:c r="L269" s="88" t="str"/>
    </x:row>
    <x:row r="270">
      <x:c r="A270" s="88" t="n">
        <x:v>14</x:v>
      </x:c>
      <x:c r="B270" s="88" t="str">
        <x:v>S14_MDO</x:v>
      </x:c>
      <x:c r="C270" s="88" t="n">
        <x:v>22</x:v>
      </x:c>
      <x:c r="D270" s="88" t="str">
        <x:v>M06</x:v>
      </x:c>
      <x:c r="E270" s="88" t="str">
        <x:v>3-1 종료</x:v>
      </x:c>
      <x:c r="F270" s="96" t="n">
        <x:v>649.344</x:v>
      </x:c>
      <x:c r="G270" s="89" t="str">
        <x:v>$2 최종 선택</x:v>
      </x:c>
      <x:c r="H270" s="89" t="n">
        <x:v>649.344</x:v>
      </x:c>
      <x:c r="I270" s="103" t="n">
        <x:v>636.1480000000001</x:v>
      </x:c>
      <x:c r="J270" s="89"/>
      <x:c r="K270" s="88" t="str">
        <x:v>단일/없음</x:v>
      </x:c>
      <x:c r="L270" s="88" t="str"/>
    </x:row>
    <x:row r="271">
      <x:c r="A271" s="88" t="n">
        <x:v>14</x:v>
      </x:c>
      <x:c r="B271" s="88" t="str">
        <x:v>S14_MDO</x:v>
      </x:c>
      <x:c r="C271" s="88" t="n">
        <x:v>22</x:v>
      </x:c>
      <x:c r="D271" s="88" t="str">
        <x:v>M07</x:v>
      </x:c>
      <x:c r="E271" s="88" t="str">
        <x:v>3-2 시작</x:v>
      </x:c>
      <x:c r="F271" s="96" t="n">
        <x:v>668.104</x:v>
      </x:c>
      <x:c r="G271" s="89" t="str">
        <x:v>$2 최종 선택</x:v>
      </x:c>
      <x:c r="H271" s="89" t="n">
        <x:v>668.104</x:v>
      </x:c>
      <x:c r="I271" s="103" t="n">
        <x:v>679.0120000000001</x:v>
      </x:c>
      <x:c r="J271" s="89"/>
      <x:c r="K271" s="88" t="str">
        <x:v>단일/없음</x:v>
      </x:c>
      <x:c r="L271" s="88" t="str"/>
    </x:row>
    <x:row r="272">
      <x:c r="A272" s="88" t="n">
        <x:v>14</x:v>
      </x:c>
      <x:c r="B272" s="88" t="str">
        <x:v>S14_MDO</x:v>
      </x:c>
      <x:c r="C272" s="88" t="n">
        <x:v>22</x:v>
      </x:c>
      <x:c r="D272" s="88" t="str">
        <x:v>M08</x:v>
      </x:c>
      <x:c r="E272" s="88" t="str">
        <x:v>3-2 종료</x:v>
      </x:c>
      <x:c r="F272" s="96" t="n">
        <x:v>679.0120000000001</x:v>
      </x:c>
      <x:c r="G272" s="89" t="str">
        <x:v>$2 최종 선택</x:v>
      </x:c>
      <x:c r="H272" s="89" t="n">
        <x:v>679.0120000000001</x:v>
      </x:c>
      <x:c r="I272" s="103" t="n">
        <x:v>668.104</x:v>
      </x:c>
      <x:c r="J272" s="89"/>
      <x:c r="K272" s="88" t="str">
        <x:v>단일/없음</x:v>
      </x:c>
      <x:c r="L272" s="88" t="str"/>
    </x:row>
    <x:row r="273">
      <x:c r="A273" s="88" t="n">
        <x:v>14</x:v>
      </x:c>
      <x:c r="B273" s="88" t="str">
        <x:v>S14_MDO</x:v>
      </x:c>
      <x:c r="C273" s="88" t="n">
        <x:v>22</x:v>
      </x:c>
      <x:c r="D273" s="88" t="str">
        <x:v>M09</x:v>
      </x:c>
      <x:c r="E273" s="88" t="str">
        <x:v>4-1 시작</x:v>
      </x:c>
      <x:c r="F273" s="96" t="n">
        <x:v>729.0680000000001</x:v>
      </x:c>
      <x:c r="G273" s="89" t="str">
        <x:v>$2 최종 선택</x:v>
      </x:c>
      <x:c r="H273" s="89" t="n">
        <x:v>729.0680000000001</x:v>
      </x:c>
      <x:c r="I273" s="103" t="n">
        <x:v>741.3840000000001</x:v>
      </x:c>
      <x:c r="J273" s="89"/>
      <x:c r="K273" s="88" t="str">
        <x:v>단일/없음</x:v>
      </x:c>
      <x:c r="L273" s="88" t="str"/>
    </x:row>
    <x:row r="274">
      <x:c r="A274" s="88" t="n">
        <x:v>14</x:v>
      </x:c>
      <x:c r="B274" s="88" t="str">
        <x:v>S14_MDO</x:v>
      </x:c>
      <x:c r="C274" s="88" t="n">
        <x:v>22</x:v>
      </x:c>
      <x:c r="D274" s="88" t="str">
        <x:v>M10</x:v>
      </x:c>
      <x:c r="E274" s="88" t="str">
        <x:v>4-1 종료</x:v>
      </x:c>
      <x:c r="F274" s="96" t="n">
        <x:v>741.3840000000001</x:v>
      </x:c>
      <x:c r="G274" s="89" t="str">
        <x:v>$2 최종 선택</x:v>
      </x:c>
      <x:c r="H274" s="89" t="n">
        <x:v>741.3840000000001</x:v>
      </x:c>
      <x:c r="I274" s="103" t="n">
        <x:v>749.5480000000001</x:v>
      </x:c>
      <x:c r="J274" s="103" t="n">
        <x:v>729.0680000000001</x:v>
      </x:c>
      <x:c r="K274" s="88" t="str">
        <x:v>단일/없음</x:v>
      </x:c>
      <x:c r="L274" s="88" t="str"/>
    </x:row>
    <x:row r="275">
      <x:c r="A275" s="88" t="n">
        <x:v>14</x:v>
      </x:c>
      <x:c r="B275" s="88" t="str">
        <x:v>S14_MDO</x:v>
      </x:c>
      <x:c r="C275" s="88" t="n">
        <x:v>22</x:v>
      </x:c>
      <x:c r="D275" s="88" t="str">
        <x:v>M11</x:v>
      </x:c>
      <x:c r="E275" s="88" t="str">
        <x:v>4-2 시작</x:v>
      </x:c>
      <x:c r="F275" s="96" t="n">
        <x:v>749.5480000000001</x:v>
      </x:c>
      <x:c r="G275" s="89" t="str">
        <x:v>$2 최종 선택</x:v>
      </x:c>
      <x:c r="H275" s="89" t="n">
        <x:v>749.5480000000001</x:v>
      </x:c>
      <x:c r="I275" s="103" t="n">
        <x:v>741.3840000000001</x:v>
      </x:c>
      <x:c r="J275" s="89"/>
      <x:c r="K275" s="88" t="str">
        <x:v>단일/없음</x:v>
      </x:c>
      <x:c r="L275" s="88" t="str"/>
    </x:row>
    <x:row r="276">
      <x:c r="A276" s="88" t="n">
        <x:v>14</x:v>
      </x:c>
      <x:c r="B276" s="88" t="str">
        <x:v>S14_MDO</x:v>
      </x:c>
      <x:c r="C276" s="88" t="n">
        <x:v>22</x:v>
      </x:c>
      <x:c r="D276" s="88" t="str">
        <x:v>M12</x:v>
      </x:c>
      <x:c r="E276" s="88" t="str">
        <x:v>4-2 종료</x:v>
      </x:c>
      <x:c r="F276" s="96" t="n">
        <x:v>790.892</x:v>
      </x:c>
      <x:c r="G276" s="89" t="str">
        <x:v>$2 최종 선택</x:v>
      </x:c>
      <x:c r="H276" s="89" t="n">
        <x:v>790.892</x:v>
      </x:c>
      <x:c r="I276" s="103" t="n">
        <x:v>795.4720000000001</x:v>
      </x:c>
      <x:c r="J276" s="103" t="n">
        <x:v>802.3320000000001</x:v>
      </x:c>
      <x:c r="K276" s="98" t="str">
        <x:v>애매</x:v>
      </x:c>
      <x:c r="L276" s="88" t="str"/>
    </x:row>
    <x:row r="277">
      <x:c r="A277" s="88" t="n">
        <x:v>14</x:v>
      </x:c>
      <x:c r="B277" s="88" t="str">
        <x:v>S14_MDO</x:v>
      </x:c>
      <x:c r="C277" s="88" t="n">
        <x:v>22</x:v>
      </x:c>
      <x:c r="D277" s="88" t="str">
        <x:v>M13</x:v>
      </x:c>
      <x:c r="E277" s="88" t="str">
        <x:v>4-3 시작</x:v>
      </x:c>
      <x:c r="F277" s="96" t="n">
        <x:v>802.3320000000001</x:v>
      </x:c>
      <x:c r="G277" s="89" t="str">
        <x:v>$2 최종 선택</x:v>
      </x:c>
      <x:c r="H277" s="89" t="n">
        <x:v>802.3320000000001</x:v>
      </x:c>
      <x:c r="I277" s="103" t="n">
        <x:v>795.4720000000001</x:v>
      </x:c>
      <x:c r="J277" s="103" t="n">
        <x:v>790.892</x:v>
      </x:c>
      <x:c r="K277" s="88" t="str">
        <x:v>단일/없음</x:v>
      </x:c>
      <x:c r="L277" s="88" t="str"/>
    </x:row>
    <x:row r="278">
      <x:c r="A278" s="88" t="n">
        <x:v>14</x:v>
      </x:c>
      <x:c r="B278" s="88" t="str">
        <x:v>S14_MDO</x:v>
      </x:c>
      <x:c r="C278" s="88" t="n">
        <x:v>22</x:v>
      </x:c>
      <x:c r="D278" s="88" t="str">
        <x:v>M14</x:v>
      </x:c>
      <x:c r="E278" s="88" t="str">
        <x:v>4-3 종료</x:v>
      </x:c>
      <x:c r="F278" s="96" t="n">
        <x:v>844.8960000000001</x:v>
      </x:c>
      <x:c r="G278" s="89" t="str">
        <x:v>$2 최종 선택</x:v>
      </x:c>
      <x:c r="H278" s="89" t="n">
        <x:v>844.8960000000001</x:v>
      </x:c>
      <x:c r="I278" s="89"/>
      <x:c r="J278" s="89"/>
      <x:c r="K278" s="88" t="str">
        <x:v>단일/없음</x:v>
      </x:c>
      <x:c r="L278" s="88" t="str"/>
    </x:row>
    <x:row r="279">
      <x:c r="A279" s="88" t="n">
        <x:v>14</x:v>
      </x:c>
      <x:c r="B279" s="88" t="str">
        <x:v>S14_MDO</x:v>
      </x:c>
      <x:c r="C279" s="88" t="n">
        <x:v>22</x:v>
      </x:c>
      <x:c r="D279" s="88" t="str">
        <x:v>M15</x:v>
      </x:c>
      <x:c r="E279" s="88" t="str">
        <x:v>4-4 시작</x:v>
      </x:c>
      <x:c r="F279" s="96" t="n">
        <x:v>860.676</x:v>
      </x:c>
      <x:c r="G279" s="89" t="str">
        <x:v>$2 최종 선택</x:v>
      </x:c>
      <x:c r="H279" s="89" t="n">
        <x:v>860.676</x:v>
      </x:c>
      <x:c r="I279" s="103" t="n">
        <x:v>867.7280000000001</x:v>
      </x:c>
      <x:c r="J279" s="89"/>
      <x:c r="K279" s="88" t="str">
        <x:v>단일/없음</x:v>
      </x:c>
      <x:c r="L279" s="88" t="str"/>
    </x:row>
    <x:row r="280">
      <x:c r="A280" s="88" t="n">
        <x:v>14</x:v>
      </x:c>
      <x:c r="B280" s="88" t="str">
        <x:v>S14_MDO</x:v>
      </x:c>
      <x:c r="C280" s="88" t="n">
        <x:v>22</x:v>
      </x:c>
      <x:c r="D280" s="88" t="str">
        <x:v>M16</x:v>
      </x:c>
      <x:c r="E280" s="88" t="str">
        <x:v>4-4 종료</x:v>
      </x:c>
      <x:c r="F280" s="96" t="n">
        <x:v>867.7280000000001</x:v>
      </x:c>
      <x:c r="G280" s="89" t="str">
        <x:v>$2 최종 선택</x:v>
      </x:c>
      <x:c r="H280" s="89" t="n">
        <x:v>867.7280000000001</x:v>
      </x:c>
      <x:c r="I280" s="103" t="n">
        <x:v>860.676</x:v>
      </x:c>
      <x:c r="J280" s="89"/>
      <x:c r="K280" s="88" t="str">
        <x:v>단일/없음</x:v>
      </x:c>
      <x:c r="L280" s="88" t="str"/>
    </x:row>
    <x:row r="281">
      <x:c r="A281" s="88" t="n">
        <x:v>14</x:v>
      </x:c>
      <x:c r="B281" s="88" t="str">
        <x:v>S14_MDO</x:v>
      </x:c>
      <x:c r="C281" s="88" t="n">
        <x:v>22</x:v>
      </x:c>
      <x:c r="D281" s="88" t="str">
        <x:v>M17</x:v>
      </x:c>
      <x:c r="E281" s="88" t="str">
        <x:v>5 시작</x:v>
      </x:c>
      <x:c r="F281" s="96" t="n">
        <x:v>892.368</x:v>
      </x:c>
      <x:c r="G281" s="89" t="str">
        <x:v>$2 최종 선택</x:v>
      </x:c>
      <x:c r="H281" s="89" t="n">
        <x:v>892.368</x:v>
      </x:c>
      <x:c r="I281" s="89"/>
      <x:c r="J281" s="89"/>
      <x:c r="K281" s="88" t="str">
        <x:v>단일/없음</x:v>
      </x:c>
      <x:c r="L281" s="88" t="str"/>
    </x:row>
    <x:row r="282">
      <x:c r="A282" s="88" t="n">
        <x:v>14</x:v>
      </x:c>
      <x:c r="B282" s="88" t="str">
        <x:v>S14_MDO</x:v>
      </x:c>
      <x:c r="C282" s="88" t="n">
        <x:v>22</x:v>
      </x:c>
      <x:c r="D282" s="88" t="str">
        <x:v>M18</x:v>
      </x:c>
      <x:c r="E282" s="88" t="str">
        <x:v>5 종료</x:v>
      </x:c>
      <x:c r="F282" s="96" t="n">
        <x:v>1077.236</x:v>
      </x:c>
      <x:c r="G282" s="89" t="str">
        <x:v>$2 최종 선택</x:v>
      </x:c>
      <x:c r="H282" s="89" t="n">
        <x:v>1077.236</x:v>
      </x:c>
      <x:c r="I282" s="103" t="n">
        <x:v>1089.304</x:v>
      </x:c>
      <x:c r="J282" s="89"/>
      <x:c r="K282" s="88" t="str">
        <x:v>단일/없음</x:v>
      </x:c>
      <x:c r="L282" s="88" t="str"/>
    </x:row>
    <x:row r="283">
      <x:c r="A283" s="88" t="n">
        <x:v>14</x:v>
      </x:c>
      <x:c r="B283" s="88" t="str">
        <x:v>S14_MDO</x:v>
      </x:c>
      <x:c r="C283" s="88" t="n">
        <x:v>22</x:v>
      </x:c>
      <x:c r="D283" s="88" t="str">
        <x:v>M19</x:v>
      </x:c>
      <x:c r="E283" s="88" t="str">
        <x:v>6 시작</x:v>
      </x:c>
      <x:c r="F283" s="96" t="n">
        <x:v>1089.304</x:v>
      </x:c>
      <x:c r="G283" s="89" t="str">
        <x:v>$2 최종 선택</x:v>
      </x:c>
      <x:c r="H283" s="89" t="n">
        <x:v>1089.304</x:v>
      </x:c>
      <x:c r="I283" s="103" t="n">
        <x:v>1077.236</x:v>
      </x:c>
      <x:c r="J283" s="89"/>
      <x:c r="K283" s="88" t="str">
        <x:v>단일/없음</x:v>
      </x:c>
      <x:c r="L283" s="88" t="str"/>
    </x:row>
    <x:row r="284">
      <x:c r="A284" s="88" t="n">
        <x:v>14</x:v>
      </x:c>
      <x:c r="B284" s="88" t="str">
        <x:v>S14_MDO</x:v>
      </x:c>
      <x:c r="C284" s="88" t="n">
        <x:v>22</x:v>
      </x:c>
      <x:c r="D284" s="88" t="str">
        <x:v>M20</x:v>
      </x:c>
      <x:c r="E284" s="88" t="str">
        <x:v>6 종료</x:v>
      </x:c>
      <x:c r="F284" s="96" t="n">
        <x:v>1109.664</x:v>
      </x:c>
      <x:c r="G284" s="89" t="str">
        <x:v>$2 최종 선택</x:v>
      </x:c>
      <x:c r="H284" s="89" t="n">
        <x:v>1109.664</x:v>
      </x:c>
      <x:c r="I284" s="103" t="n">
        <x:v>1124.24</x:v>
      </x:c>
      <x:c r="J284" s="89"/>
      <x:c r="K284" s="88" t="str">
        <x:v>단일/없음</x:v>
      </x:c>
      <x:c r="L284" s="88" t="str"/>
    </x:row>
    <x:row r="285">
      <x:c r="A285" s="88" t="n">
        <x:v>14</x:v>
      </x:c>
      <x:c r="B285" s="88" t="str">
        <x:v>S14_MDO</x:v>
      </x:c>
      <x:c r="C285" s="88" t="n">
        <x:v>22</x:v>
      </x:c>
      <x:c r="D285" s="88" t="str">
        <x:v>M21</x:v>
      </x:c>
      <x:c r="E285" s="88" t="str">
        <x:v>7 시작</x:v>
      </x:c>
      <x:c r="F285" s="96" t="n">
        <x:v>1124.24</x:v>
      </x:c>
      <x:c r="G285" s="89" t="str">
        <x:v>$2 최종 선택</x:v>
      </x:c>
      <x:c r="H285" s="89" t="n">
        <x:v>1124.24</x:v>
      </x:c>
      <x:c r="I285" s="103" t="n">
        <x:v>1135.3200000000002</x:v>
      </x:c>
      <x:c r="J285" s="103" t="n">
        <x:v>1109.664</x:v>
      </x:c>
      <x:c r="K285" s="88" t="str">
        <x:v>단일/없음</x:v>
      </x:c>
      <x:c r="L285" s="88" t="str"/>
    </x:row>
    <x:row r="286">
      <x:c r="A286" s="88" t="n">
        <x:v>14</x:v>
      </x:c>
      <x:c r="B286" s="88" t="str">
        <x:v>S14_MDO</x:v>
      </x:c>
      <x:c r="C286" s="88" t="n">
        <x:v>22</x:v>
      </x:c>
      <x:c r="D286" s="88" t="str">
        <x:v>M22</x:v>
      </x:c>
      <x:c r="E286" s="88" t="str">
        <x:v>7 종료</x:v>
      </x:c>
      <x:c r="F286" s="96" t="n">
        <x:v>1135.3200000000002</x:v>
      </x:c>
      <x:c r="G286" s="89" t="str">
        <x:v>$2 최종 선택</x:v>
      </x:c>
      <x:c r="H286" s="89" t="n">
        <x:v>1135.3200000000002</x:v>
      </x:c>
      <x:c r="I286" s="103" t="n">
        <x:v>1124.24</x:v>
      </x:c>
      <x:c r="J286" s="89"/>
      <x:c r="K286" s="88" t="str">
        <x:v>단일/없음</x:v>
      </x:c>
      <x:c r="L286" s="88" t="str"/>
    </x:row>
    <x:row r="287">
      <x:c r="A287" s="88" t="n">
        <x:v>15</x:v>
      </x:c>
      <x:c r="B287" s="88" t="str">
        <x:v>S15_JKH</x:v>
      </x:c>
      <x:c r="C287" s="88" t="n">
        <x:v>22</x:v>
      </x:c>
      <x:c r="D287" s="88" t="str">
        <x:v>M01</x:v>
      </x:c>
      <x:c r="E287" s="88" t="str">
        <x:v>1 시작</x:v>
      </x:c>
      <x:c r="F287" s="96" t="n">
        <x:v>5.524000000000086</x:v>
      </x:c>
      <x:c r="G287" s="89" t="str">
        <x:v>$2 최종 선택</x:v>
      </x:c>
      <x:c r="H287" s="89" t="n">
        <x:v>5.524000000000086</x:v>
      </x:c>
      <x:c r="I287" s="89"/>
      <x:c r="J287" s="89"/>
      <x:c r="K287" s="88" t="str">
        <x:v>단일/없음</x:v>
      </x:c>
      <x:c r="L287" s="88" t="str"/>
    </x:row>
    <x:row r="288">
      <x:c r="A288" s="88" t="n">
        <x:v>15</x:v>
      </x:c>
      <x:c r="B288" s="88" t="str">
        <x:v>S15_JKH</x:v>
      </x:c>
      <x:c r="C288" s="88" t="n">
        <x:v>22</x:v>
      </x:c>
      <x:c r="D288" s="88" t="str">
        <x:v>M02</x:v>
      </x:c>
      <x:c r="E288" s="88" t="str">
        <x:v>1 종료</x:v>
      </x:c>
      <x:c r="F288" s="96" t="n">
        <x:v>199.3360000000001</x:v>
      </x:c>
      <x:c r="G288" s="89" t="str">
        <x:v>$2 최종 선택</x:v>
      </x:c>
      <x:c r="H288" s="89" t="n">
        <x:v>199.3360000000001</x:v>
      </x:c>
      <x:c r="I288" s="103" t="n">
        <x:v>205.9240000000001</x:v>
      </x:c>
      <x:c r="J288" s="89"/>
      <x:c r="K288" s="88" t="str">
        <x:v>단일/없음</x:v>
      </x:c>
      <x:c r="L288" s="88" t="str"/>
    </x:row>
    <x:row r="289">
      <x:c r="A289" s="88" t="n">
        <x:v>15</x:v>
      </x:c>
      <x:c r="B289" s="88" t="str">
        <x:v>S15_JKH</x:v>
      </x:c>
      <x:c r="C289" s="88" t="n">
        <x:v>22</x:v>
      </x:c>
      <x:c r="D289" s="88" t="str">
        <x:v>M03</x:v>
      </x:c>
      <x:c r="E289" s="88" t="str">
        <x:v>2 시작</x:v>
      </x:c>
      <x:c r="F289" s="96" t="n">
        <x:v>234.2160000000001</x:v>
      </x:c>
      <x:c r="G289" s="89" t="str">
        <x:v>$2 최종 선택</x:v>
      </x:c>
      <x:c r="H289" s="89" t="n">
        <x:v>234.2160000000001</x:v>
      </x:c>
      <x:c r="I289" s="103" t="n">
        <x:v>225.82000000000008</x:v>
      </x:c>
      <x:c r="J289" s="89"/>
      <x:c r="K289" s="88" t="str">
        <x:v>단일/없음</x:v>
      </x:c>
      <x:c r="L289" s="88" t="str"/>
    </x:row>
    <x:row r="290">
      <x:c r="A290" s="88" t="n">
        <x:v>15</x:v>
      </x:c>
      <x:c r="B290" s="88" t="str">
        <x:v>S15_JKH</x:v>
      </x:c>
      <x:c r="C290" s="88" t="n">
        <x:v>22</x:v>
      </x:c>
      <x:c r="D290" s="88" t="str">
        <x:v>M04</x:v>
      </x:c>
      <x:c r="E290" s="88" t="str">
        <x:v>2 종료</x:v>
      </x:c>
      <x:c r="F290" s="96" t="n">
        <x:v>599.1800000000001</x:v>
      </x:c>
      <x:c r="G290" s="89" t="str">
        <x:v>$2 최종 선택</x:v>
      </x:c>
      <x:c r="H290" s="89" t="n">
        <x:v>599.1800000000001</x:v>
      </x:c>
      <x:c r="I290" s="103" t="n">
        <x:v>603.3520000000001</x:v>
      </x:c>
      <x:c r="J290" s="103" t="n">
        <x:v>608.1880000000001</x:v>
      </x:c>
      <x:c r="K290" s="98" t="str">
        <x:v>애매</x:v>
      </x:c>
      <x:c r="L290" s="88" t="str"/>
    </x:row>
    <x:row r="291">
      <x:c r="A291" s="88" t="n">
        <x:v>15</x:v>
      </x:c>
      <x:c r="B291" s="88" t="str">
        <x:v>S15_JKH</x:v>
      </x:c>
      <x:c r="C291" s="88" t="n">
        <x:v>22</x:v>
      </x:c>
      <x:c r="D291" s="88" t="str">
        <x:v>M05</x:v>
      </x:c>
      <x:c r="E291" s="88" t="str">
        <x:v>3-1 시작</x:v>
      </x:c>
      <x:c r="F291" s="96" t="n">
        <x:v>631.4640000000002</x:v>
      </x:c>
      <x:c r="G291" s="89" t="str">
        <x:v>$2 최종 선택</x:v>
      </x:c>
      <x:c r="H291" s="89" t="n">
        <x:v>631.4640000000002</x:v>
      </x:c>
      <x:c r="I291" s="103" t="n">
        <x:v>642.4000000000001</x:v>
      </x:c>
      <x:c r="J291" s="89"/>
      <x:c r="K291" s="88" t="str">
        <x:v>단일/없음</x:v>
      </x:c>
      <x:c r="L291" s="88" t="str"/>
    </x:row>
    <x:row r="292">
      <x:c r="A292" s="88" t="n">
        <x:v>15</x:v>
      </x:c>
      <x:c r="B292" s="88" t="str">
        <x:v>S15_JKH</x:v>
      </x:c>
      <x:c r="C292" s="88" t="n">
        <x:v>22</x:v>
      </x:c>
      <x:c r="D292" s="88" t="str">
        <x:v>M06</x:v>
      </x:c>
      <x:c r="E292" s="88" t="str">
        <x:v>3-1 종료</x:v>
      </x:c>
      <x:c r="F292" s="96" t="n">
        <x:v>642.4000000000001</x:v>
      </x:c>
      <x:c r="G292" s="89" t="str">
        <x:v>$2 최종 선택</x:v>
      </x:c>
      <x:c r="H292" s="89" t="n">
        <x:v>642.4000000000001</x:v>
      </x:c>
      <x:c r="I292" s="103" t="n">
        <x:v>631.4640000000002</x:v>
      </x:c>
      <x:c r="J292" s="89"/>
      <x:c r="K292" s="88" t="str">
        <x:v>단일/없음</x:v>
      </x:c>
      <x:c r="L292" s="88" t="str"/>
    </x:row>
    <x:row r="293">
      <x:c r="A293" s="88" t="n">
        <x:v>15</x:v>
      </x:c>
      <x:c r="B293" s="88" t="str">
        <x:v>S15_JKH</x:v>
      </x:c>
      <x:c r="C293" s="88" t="n">
        <x:v>22</x:v>
      </x:c>
      <x:c r="D293" s="88" t="str">
        <x:v>M07</x:v>
      </x:c>
      <x:c r="E293" s="88" t="str">
        <x:v>3-2 시작</x:v>
      </x:c>
      <x:c r="F293" s="96" t="n">
        <x:v>657.8480000000001</x:v>
      </x:c>
      <x:c r="G293" s="89" t="str">
        <x:v>$2 최종 선택</x:v>
      </x:c>
      <x:c r="H293" s="89" t="n">
        <x:v>657.8480000000001</x:v>
      </x:c>
      <x:c r="I293" s="89"/>
      <x:c r="J293" s="89"/>
      <x:c r="K293" s="88" t="str">
        <x:v>단일/없음</x:v>
      </x:c>
      <x:c r="L293" s="88" t="str"/>
    </x:row>
    <x:row r="294">
      <x:c r="A294" s="88" t="n">
        <x:v>15</x:v>
      </x:c>
      <x:c r="B294" s="88" t="str">
        <x:v>S15_JKH</x:v>
      </x:c>
      <x:c r="C294" s="88" t="n">
        <x:v>22</x:v>
      </x:c>
      <x:c r="D294" s="88" t="str">
        <x:v>M08</x:v>
      </x:c>
      <x:c r="E294" s="88" t="str">
        <x:v>3-2 종료</x:v>
      </x:c>
      <x:c r="F294" s="96" t="n">
        <x:v>673.8000000000001</x:v>
      </x:c>
      <x:c r="G294" s="89" t="str">
        <x:v>$2 최종 선택</x:v>
      </x:c>
      <x:c r="H294" s="89" t="n">
        <x:v>673.8000000000001</x:v>
      </x:c>
      <x:c r="I294" s="89"/>
      <x:c r="J294" s="89"/>
      <x:c r="K294" s="88" t="str">
        <x:v>단일/없음</x:v>
      </x:c>
      <x:c r="L294" s="88" t="str"/>
    </x:row>
    <x:row r="295">
      <x:c r="A295" s="88" t="n">
        <x:v>15</x:v>
      </x:c>
      <x:c r="B295" s="88" t="str">
        <x:v>S15_JKH</x:v>
      </x:c>
      <x:c r="C295" s="88" t="n">
        <x:v>22</x:v>
      </x:c>
      <x:c r="D295" s="88" t="str">
        <x:v>M09</x:v>
      </x:c>
      <x:c r="E295" s="88" t="str">
        <x:v>4-1 시작</x:v>
      </x:c>
      <x:c r="F295" s="96" t="n">
        <x:v>708.3960000000001</x:v>
      </x:c>
      <x:c r="G295" s="89" t="str">
        <x:v>$2 최종 선택</x:v>
      </x:c>
      <x:c r="H295" s="89" t="n">
        <x:v>708.3960000000001</x:v>
      </x:c>
      <x:c r="I295" s="89"/>
      <x:c r="J295" s="89"/>
      <x:c r="K295" s="88" t="str">
        <x:v>단일/없음</x:v>
      </x:c>
      <x:c r="L295" s="88" t="str"/>
    </x:row>
    <x:row r="296">
      <x:c r="A296" s="88" t="n">
        <x:v>15</x:v>
      </x:c>
      <x:c r="B296" s="88" t="str">
        <x:v>S15_JKH</x:v>
      </x:c>
      <x:c r="C296" s="88" t="n">
        <x:v>22</x:v>
      </x:c>
      <x:c r="D296" s="88" t="str">
        <x:v>M10</x:v>
      </x:c>
      <x:c r="E296" s="88" t="str">
        <x:v>4-1 종료</x:v>
      </x:c>
      <x:c r="F296" s="96" t="n">
        <x:v>724.7840000000001</x:v>
      </x:c>
      <x:c r="G296" s="89" t="str">
        <x:v>$2 최종 선택</x:v>
      </x:c>
      <x:c r="H296" s="89" t="n">
        <x:v>724.7840000000001</x:v>
      </x:c>
      <x:c r="I296" s="103" t="n">
        <x:v>732.8800000000001</x:v>
      </x:c>
      <x:c r="J296" s="89"/>
      <x:c r="K296" s="88" t="str">
        <x:v>단일/없음</x:v>
      </x:c>
      <x:c r="L296" s="88" t="str"/>
    </x:row>
    <x:row r="297">
      <x:c r="A297" s="88" t="n">
        <x:v>15</x:v>
      </x:c>
      <x:c r="B297" s="88" t="str">
        <x:v>S15_JKH</x:v>
      </x:c>
      <x:c r="C297" s="88" t="n">
        <x:v>22</x:v>
      </x:c>
      <x:c r="D297" s="88" t="str">
        <x:v>M11</x:v>
      </x:c>
      <x:c r="E297" s="88" t="str">
        <x:v>4-2 시작</x:v>
      </x:c>
      <x:c r="F297" s="96" t="n">
        <x:v>732.8800000000001</x:v>
      </x:c>
      <x:c r="G297" s="89" t="str">
        <x:v>$2 최종 선택</x:v>
      </x:c>
      <x:c r="H297" s="89" t="n">
        <x:v>732.8800000000001</x:v>
      </x:c>
      <x:c r="I297" s="103" t="n">
        <x:v>724.7840000000001</x:v>
      </x:c>
      <x:c r="J297" s="89"/>
      <x:c r="K297" s="88" t="str">
        <x:v>단일/없음</x:v>
      </x:c>
      <x:c r="L297" s="88" t="str"/>
    </x:row>
    <x:row r="298">
      <x:c r="A298" s="88" t="n">
        <x:v>15</x:v>
      </x:c>
      <x:c r="B298" s="88" t="str">
        <x:v>S15_JKH</x:v>
      </x:c>
      <x:c r="C298" s="88" t="n">
        <x:v>22</x:v>
      </x:c>
      <x:c r="D298" s="88" t="str">
        <x:v>M12</x:v>
      </x:c>
      <x:c r="E298" s="88" t="str">
        <x:v>4-2 종료</x:v>
      </x:c>
      <x:c r="F298" s="96" t="n">
        <x:v>782.1360000000001</x:v>
      </x:c>
      <x:c r="G298" s="89" t="str">
        <x:v>$2 최종 선택</x:v>
      </x:c>
      <x:c r="H298" s="89" t="n">
        <x:v>782.1360000000001</x:v>
      </x:c>
      <x:c r="I298" s="103" t="n">
        <x:v>790.7320000000001</x:v>
      </x:c>
      <x:c r="J298" s="103" t="n">
        <x:v>795.7840000000001</x:v>
      </x:c>
      <x:c r="K298" s="88" t="str">
        <x:v>단일/없음</x:v>
      </x:c>
      <x:c r="L298" s="88" t="str"/>
    </x:row>
    <x:row r="299">
      <x:c r="A299" s="88" t="n">
        <x:v>15</x:v>
      </x:c>
      <x:c r="B299" s="88" t="str">
        <x:v>S15_JKH</x:v>
      </x:c>
      <x:c r="C299" s="88" t="n">
        <x:v>22</x:v>
      </x:c>
      <x:c r="D299" s="88" t="str">
        <x:v>M13</x:v>
      </x:c>
      <x:c r="E299" s="88" t="str">
        <x:v>4-3 시작</x:v>
      </x:c>
      <x:c r="F299" s="96" t="n">
        <x:v>790.7320000000001</x:v>
      </x:c>
      <x:c r="G299" s="89" t="str">
        <x:v>$2 최종 선택</x:v>
      </x:c>
      <x:c r="H299" s="89" t="n">
        <x:v>790.7320000000001</x:v>
      </x:c>
      <x:c r="I299" s="103" t="n">
        <x:v>795.7840000000001</x:v>
      </x:c>
      <x:c r="J299" s="103" t="n">
        <x:v>782.1360000000001</x:v>
      </x:c>
      <x:c r="K299" s="88" t="str">
        <x:v>단일/없음</x:v>
      </x:c>
      <x:c r="L299" s="88" t="str"/>
    </x:row>
    <x:row r="300">
      <x:c r="A300" s="88" t="n">
        <x:v>15</x:v>
      </x:c>
      <x:c r="B300" s="88" t="str">
        <x:v>S15_JKH</x:v>
      </x:c>
      <x:c r="C300" s="88" t="n">
        <x:v>22</x:v>
      </x:c>
      <x:c r="D300" s="88" t="str">
        <x:v>M14</x:v>
      </x:c>
      <x:c r="E300" s="88" t="str">
        <x:v>4-3 종료</x:v>
      </x:c>
      <x:c r="F300" s="96" t="n">
        <x:v>836.4340000000001</x:v>
      </x:c>
      <x:c r="G300" s="89" t="str">
        <x:v>$2 최종 선택</x:v>
      </x:c>
      <x:c r="H300" s="89" t="n">
        <x:v>836.4340000000001</x:v>
      </x:c>
      <x:c r="I300" s="103" t="n">
        <x:v>849.2120000000001</x:v>
      </x:c>
      <x:c r="J300" s="89"/>
      <x:c r="K300" s="88" t="str">
        <x:v>단일/없음</x:v>
      </x:c>
      <x:c r="L300" s="88" t="str"/>
    </x:row>
    <x:row r="301">
      <x:c r="A301" s="88" t="n">
        <x:v>15</x:v>
      </x:c>
      <x:c r="B301" s="88" t="str">
        <x:v>S15_JKH</x:v>
      </x:c>
      <x:c r="C301" s="88" t="n">
        <x:v>22</x:v>
      </x:c>
      <x:c r="D301" s="88" t="str">
        <x:v>M15</x:v>
      </x:c>
      <x:c r="E301" s="88" t="str">
        <x:v>4-4 시작</x:v>
      </x:c>
      <x:c r="F301" s="96" t="n">
        <x:v>849.2120000000001</x:v>
      </x:c>
      <x:c r="G301" s="89" t="str">
        <x:v>$2 최종 선택</x:v>
      </x:c>
      <x:c r="H301" s="89" t="n">
        <x:v>849.2120000000001</x:v>
      </x:c>
      <x:c r="I301" s="103" t="n">
        <x:v>855.3240000000002</x:v>
      </x:c>
      <x:c r="J301" s="103" t="n">
        <x:v>836.4340000000001</x:v>
      </x:c>
      <x:c r="K301" s="88" t="str">
        <x:v>단일/없음</x:v>
      </x:c>
      <x:c r="L301" s="88" t="str"/>
    </x:row>
    <x:row r="302">
      <x:c r="A302" s="88" t="n">
        <x:v>15</x:v>
      </x:c>
      <x:c r="B302" s="88" t="str">
        <x:v>S15_JKH</x:v>
      </x:c>
      <x:c r="C302" s="88" t="n">
        <x:v>22</x:v>
      </x:c>
      <x:c r="D302" s="88" t="str">
        <x:v>M16</x:v>
      </x:c>
      <x:c r="E302" s="88" t="str">
        <x:v>4-4 종료</x:v>
      </x:c>
      <x:c r="F302" s="96" t="n">
        <x:v>871.4640000000002</x:v>
      </x:c>
      <x:c r="G302" s="89" t="str">
        <x:v>$2 최종 선택</x:v>
      </x:c>
      <x:c r="H302" s="89" t="n">
        <x:v>871.4640000000002</x:v>
      </x:c>
      <x:c r="I302" s="103" t="n">
        <x:v>866.9480000000001</x:v>
      </x:c>
      <x:c r="J302" s="89"/>
      <x:c r="K302" s="98" t="str">
        <x:v>애매</x:v>
      </x:c>
      <x:c r="L302" s="88" t="str"/>
    </x:row>
    <x:row r="303">
      <x:c r="A303" s="88" t="n">
        <x:v>15</x:v>
      </x:c>
      <x:c r="B303" s="88" t="str">
        <x:v>S15_JKH</x:v>
      </x:c>
      <x:c r="C303" s="88" t="n">
        <x:v>22</x:v>
      </x:c>
      <x:c r="D303" s="88" t="str">
        <x:v>M17</x:v>
      </x:c>
      <x:c r="E303" s="88" t="str">
        <x:v>5 시작</x:v>
      </x:c>
      <x:c r="F303" s="96" t="n">
        <x:v>889.3600000000001</x:v>
      </x:c>
      <x:c r="G303" s="89" t="str">
        <x:v>$2 최종 선택</x:v>
      </x:c>
      <x:c r="H303" s="89" t="n">
        <x:v>889.3600000000001</x:v>
      </x:c>
      <x:c r="I303" s="89"/>
      <x:c r="J303" s="89"/>
      <x:c r="K303" s="88" t="str">
        <x:v>단일/없음</x:v>
      </x:c>
      <x:c r="L303" s="88" t="str"/>
    </x:row>
    <x:row r="304">
      <x:c r="A304" s="88" t="n">
        <x:v>15</x:v>
      </x:c>
      <x:c r="B304" s="88" t="str">
        <x:v>S15_JKH</x:v>
      </x:c>
      <x:c r="C304" s="88" t="n">
        <x:v>22</x:v>
      </x:c>
      <x:c r="D304" s="88" t="str">
        <x:v>M18</x:v>
      </x:c>
      <x:c r="E304" s="88" t="str">
        <x:v>5 종료</x:v>
      </x:c>
      <x:c r="F304" s="96" t="n">
        <x:v>1077.292</x:v>
      </x:c>
      <x:c r="G304" s="89" t="str">
        <x:v>$2 최종 선택</x:v>
      </x:c>
      <x:c r="H304" s="89" t="n">
        <x:v>1077.292</x:v>
      </x:c>
      <x:c r="I304" s="89"/>
      <x:c r="J304" s="89"/>
      <x:c r="K304" s="88" t="str">
        <x:v>단일/없음</x:v>
      </x:c>
      <x:c r="L304" s="88" t="str"/>
    </x:row>
    <x:row r="305">
      <x:c r="A305" s="88" t="n">
        <x:v>15</x:v>
      </x:c>
      <x:c r="B305" s="88" t="str">
        <x:v>S15_JKH</x:v>
      </x:c>
      <x:c r="C305" s="88" t="n">
        <x:v>22</x:v>
      </x:c>
      <x:c r="D305" s="88" t="str">
        <x:v>M19</x:v>
      </x:c>
      <x:c r="E305" s="88" t="str">
        <x:v>6 시작</x:v>
      </x:c>
      <x:c r="F305" s="96" t="n">
        <x:v>1094.244</x:v>
      </x:c>
      <x:c r="G305" s="89" t="str">
        <x:v>$2 최종 선택</x:v>
      </x:c>
      <x:c r="H305" s="89" t="n">
        <x:v>1094.244</x:v>
      </x:c>
      <x:c r="I305" s="89"/>
      <x:c r="J305" s="89"/>
      <x:c r="K305" s="88" t="str">
        <x:v>단일/없음</x:v>
      </x:c>
      <x:c r="L305" s="88" t="str"/>
    </x:row>
    <x:row r="306">
      <x:c r="A306" s="88" t="n">
        <x:v>15</x:v>
      </x:c>
      <x:c r="B306" s="88" t="str">
        <x:v>S15_JKH</x:v>
      </x:c>
      <x:c r="C306" s="88" t="n">
        <x:v>22</x:v>
      </x:c>
      <x:c r="D306" s="88" t="str">
        <x:v>M20</x:v>
      </x:c>
      <x:c r="E306" s="88" t="str">
        <x:v>6 종료</x:v>
      </x:c>
      <x:c r="F306" s="96" t="n">
        <x:v>1120.156</x:v>
      </x:c>
      <x:c r="G306" s="89" t="str">
        <x:v>$2 최종 선택</x:v>
      </x:c>
      <x:c r="H306" s="89" t="n">
        <x:v>1120.156</x:v>
      </x:c>
      <x:c r="I306" s="103" t="n">
        <x:v>1134.564</x:v>
      </x:c>
      <x:c r="J306" s="89"/>
      <x:c r="K306" s="88" t="str">
        <x:v>단일/없음</x:v>
      </x:c>
      <x:c r="L306" s="88" t="str"/>
    </x:row>
    <x:row r="307">
      <x:c r="A307" s="88" t="n">
        <x:v>15</x:v>
      </x:c>
      <x:c r="B307" s="88" t="str">
        <x:v>S15_JKH</x:v>
      </x:c>
      <x:c r="C307" s="88" t="n">
        <x:v>22</x:v>
      </x:c>
      <x:c r="D307" s="88" t="str">
        <x:v>M21</x:v>
      </x:c>
      <x:c r="E307" s="88" t="str">
        <x:v>7 시작</x:v>
      </x:c>
      <x:c r="F307" s="96" t="n">
        <x:v>1134.564</x:v>
      </x:c>
      <x:c r="G307" s="89" t="str">
        <x:v>$2 최종 선택</x:v>
      </x:c>
      <x:c r="H307" s="89" t="n">
        <x:v>1134.564</x:v>
      </x:c>
      <x:c r="I307" s="103" t="n">
        <x:v>1147.924</x:v>
      </x:c>
      <x:c r="J307" s="103" t="n">
        <x:v>1120.156</x:v>
      </x:c>
      <x:c r="K307" s="88" t="str">
        <x:v>단일/없음</x:v>
      </x:c>
      <x:c r="L307" s="88" t="str"/>
    </x:row>
    <x:row r="308">
      <x:c r="A308" s="88" t="n">
        <x:v>15</x:v>
      </x:c>
      <x:c r="B308" s="88" t="str">
        <x:v>S15_JKH</x:v>
      </x:c>
      <x:c r="C308" s="88" t="n">
        <x:v>22</x:v>
      </x:c>
      <x:c r="D308" s="88" t="str">
        <x:v>M22</x:v>
      </x:c>
      <x:c r="E308" s="88" t="str">
        <x:v>7 종료</x:v>
      </x:c>
      <x:c r="F308" s="96" t="n">
        <x:v>1147.924</x:v>
      </x:c>
      <x:c r="G308" s="89" t="str">
        <x:v>$2 최종 선택</x:v>
      </x:c>
      <x:c r="H308" s="89" t="n">
        <x:v>1147.924</x:v>
      </x:c>
      <x:c r="I308" s="103" t="n">
        <x:v>1134.564</x:v>
      </x:c>
      <x:c r="J308" s="89"/>
      <x:c r="K308" s="88" t="str">
        <x:v>단일/없음</x:v>
      </x:c>
      <x:c r="L308" s="88" t="str"/>
    </x:row>
    <x:row r="309">
      <x:c r="A309" s="88" t="n">
        <x:v>16</x:v>
      </x:c>
      <x:c r="B309" s="88" t="str">
        <x:v>S16_LJH</x:v>
      </x:c>
      <x:c r="C309" s="88" t="n">
        <x:v>22</x:v>
      </x:c>
      <x:c r="D309" s="88" t="str">
        <x:v>M01</x:v>
      </x:c>
      <x:c r="E309" s="88" t="str">
        <x:v>1 시작</x:v>
      </x:c>
      <x:c r="F309" s="96" t="n">
        <x:v>12.91600000000005</x:v>
      </x:c>
      <x:c r="G309" s="89" t="str">
        <x:v>$2 최종 선택</x:v>
      </x:c>
      <x:c r="H309" s="89" t="n">
        <x:v>12.91600000000005</x:v>
      </x:c>
      <x:c r="I309" s="103" t="n">
        <x:v>18.72000000000005</x:v>
      </x:c>
      <x:c r="J309" s="89"/>
      <x:c r="K309" s="88" t="str">
        <x:v>단일/없음</x:v>
      </x:c>
      <x:c r="L309" s="88" t="str"/>
    </x:row>
    <x:row r="310">
      <x:c r="A310" s="88" t="n">
        <x:v>16</x:v>
      </x:c>
      <x:c r="B310" s="88" t="str">
        <x:v>S16_LJH</x:v>
      </x:c>
      <x:c r="C310" s="88" t="n">
        <x:v>22</x:v>
      </x:c>
      <x:c r="D310" s="88" t="str">
        <x:v>M02</x:v>
      </x:c>
      <x:c r="E310" s="88" t="str">
        <x:v>1 종료</x:v>
      </x:c>
      <x:c r="F310" s="96" t="n">
        <x:v>206.04400000000004</x:v>
      </x:c>
      <x:c r="G310" s="89" t="str">
        <x:v>$2 최종 선택</x:v>
      </x:c>
      <x:c r="H310" s="89" t="n">
        <x:v>206.04400000000004</x:v>
      </x:c>
      <x:c r="I310" s="89"/>
      <x:c r="J310" s="89"/>
      <x:c r="K310" s="88" t="str">
        <x:v>단일/없음</x:v>
      </x:c>
      <x:c r="L310" s="88" t="str"/>
    </x:row>
    <x:row r="311">
      <x:c r="A311" s="88" t="n">
        <x:v>16</x:v>
      </x:c>
      <x:c r="B311" s="88" t="str">
        <x:v>S16_LJH</x:v>
      </x:c>
      <x:c r="C311" s="88" t="n">
        <x:v>22</x:v>
      </x:c>
      <x:c r="D311" s="88" t="str">
        <x:v>M03</x:v>
      </x:c>
      <x:c r="E311" s="88" t="str">
        <x:v>2 시작</x:v>
      </x:c>
      <x:c r="F311" s="96" t="n">
        <x:v>282.012</x:v>
      </x:c>
      <x:c r="G311" s="89" t="str">
        <x:v>$2 최종 선택</x:v>
      </x:c>
      <x:c r="H311" s="89" t="n">
        <x:v>282.012</x:v>
      </x:c>
      <x:c r="I311" s="89"/>
      <x:c r="J311" s="89"/>
      <x:c r="K311" s="88" t="str">
        <x:v>단일/없음</x:v>
      </x:c>
      <x:c r="L311" s="88" t="str"/>
    </x:row>
    <x:row r="312">
      <x:c r="A312" s="88" t="n">
        <x:v>16</x:v>
      </x:c>
      <x:c r="B312" s="88" t="str">
        <x:v>S16_LJH</x:v>
      </x:c>
      <x:c r="C312" s="88" t="n">
        <x:v>22</x:v>
      </x:c>
      <x:c r="D312" s="88" t="str">
        <x:v>M04</x:v>
      </x:c>
      <x:c r="E312" s="88" t="str">
        <x:v>2 종료</x:v>
      </x:c>
      <x:c r="F312" s="96" t="n">
        <x:v>759.14</x:v>
      </x:c>
      <x:c r="G312" s="89" t="str">
        <x:v>$2 최종 선택</x:v>
      </x:c>
      <x:c r="H312" s="89" t="n">
        <x:v>759.14</x:v>
      </x:c>
      <x:c r="I312" s="103" t="n">
        <x:v>771.148</x:v>
      </x:c>
      <x:c r="J312" s="89"/>
      <x:c r="K312" s="88" t="str">
        <x:v>단일/없음</x:v>
      </x:c>
      <x:c r="L312" s="88" t="str"/>
    </x:row>
    <x:row r="313">
      <x:c r="A313" s="88" t="n">
        <x:v>16</x:v>
      </x:c>
      <x:c r="B313" s="88" t="str">
        <x:v>S16_LJH</x:v>
      </x:c>
      <x:c r="C313" s="88" t="n">
        <x:v>22</x:v>
      </x:c>
      <x:c r="D313" s="88" t="str">
        <x:v>M05</x:v>
      </x:c>
      <x:c r="E313" s="88" t="str">
        <x:v>3-1 시작</x:v>
      </x:c>
      <x:c r="F313" s="96" t="n">
        <x:v>771.148</x:v>
      </x:c>
      <x:c r="G313" s="89" t="str">
        <x:v>$2 최종 선택</x:v>
      </x:c>
      <x:c r="H313" s="89" t="n">
        <x:v>771.148</x:v>
      </x:c>
      <x:c r="I313" s="103" t="n">
        <x:v>780.772</x:v>
      </x:c>
      <x:c r="J313" s="103" t="n">
        <x:v>759.14</x:v>
      </x:c>
      <x:c r="K313" s="88" t="str">
        <x:v>단일/없음</x:v>
      </x:c>
      <x:c r="L313" s="88" t="str"/>
    </x:row>
    <x:row r="314">
      <x:c r="A314" s="88" t="n">
        <x:v>16</x:v>
      </x:c>
      <x:c r="B314" s="88" t="str">
        <x:v>S16_LJH</x:v>
      </x:c>
      <x:c r="C314" s="88" t="n">
        <x:v>22</x:v>
      </x:c>
      <x:c r="D314" s="88" t="str">
        <x:v>M06</x:v>
      </x:c>
      <x:c r="E314" s="88" t="str">
        <x:v>3-1 종료</x:v>
      </x:c>
      <x:c r="F314" s="96" t="n">
        <x:v>780.772</x:v>
      </x:c>
      <x:c r="G314" s="89" t="str">
        <x:v>$2 최종 선택</x:v>
      </x:c>
      <x:c r="H314" s="89" t="n">
        <x:v>780.772</x:v>
      </x:c>
      <x:c r="I314" s="103" t="n">
        <x:v>771.148</x:v>
      </x:c>
      <x:c r="J314" s="89"/>
      <x:c r="K314" s="88" t="str">
        <x:v>단일/없음</x:v>
      </x:c>
      <x:c r="L314" s="88" t="str"/>
    </x:row>
    <x:row r="315">
      <x:c r="A315" s="88" t="n">
        <x:v>16</x:v>
      </x:c>
      <x:c r="B315" s="88" t="str">
        <x:v>S16_LJH</x:v>
      </x:c>
      <x:c r="C315" s="88" t="n">
        <x:v>22</x:v>
      </x:c>
      <x:c r="D315" s="88" t="str">
        <x:v>M07</x:v>
      </x:c>
      <x:c r="E315" s="88" t="str">
        <x:v>3-2 시작</x:v>
      </x:c>
      <x:c r="F315" s="96" t="n">
        <x:v>800.294</x:v>
      </x:c>
      <x:c r="G315" s="89" t="str">
        <x:v>$2 최종 선택</x:v>
      </x:c>
      <x:c r="H315" s="89" t="n">
        <x:v>800.294</x:v>
      </x:c>
      <x:c r="I315" s="103" t="n">
        <x:v>814.0880000000001</x:v>
      </x:c>
      <x:c r="J315" s="89"/>
      <x:c r="K315" s="88" t="str">
        <x:v>단일/없음</x:v>
      </x:c>
      <x:c r="L315" s="88" t="str"/>
    </x:row>
    <x:row r="316">
      <x:c r="A316" s="88" t="n">
        <x:v>16</x:v>
      </x:c>
      <x:c r="B316" s="88" t="str">
        <x:v>S16_LJH</x:v>
      </x:c>
      <x:c r="C316" s="88" t="n">
        <x:v>22</x:v>
      </x:c>
      <x:c r="D316" s="88" t="str">
        <x:v>M08</x:v>
      </x:c>
      <x:c r="E316" s="88" t="str">
        <x:v>3-2 종료</x:v>
      </x:c>
      <x:c r="F316" s="96" t="n">
        <x:v>814.0880000000001</x:v>
      </x:c>
      <x:c r="G316" s="89" t="str">
        <x:v>$2 최종 선택</x:v>
      </x:c>
      <x:c r="H316" s="89" t="n">
        <x:v>814.0880000000001</x:v>
      </x:c>
      <x:c r="I316" s="103" t="n">
        <x:v>800.294</x:v>
      </x:c>
      <x:c r="J316" s="89"/>
      <x:c r="K316" s="88" t="str">
        <x:v>단일/없음</x:v>
      </x:c>
      <x:c r="L316" s="88" t="str"/>
    </x:row>
    <x:row r="317">
      <x:c r="A317" s="88" t="n">
        <x:v>16</x:v>
      </x:c>
      <x:c r="B317" s="88" t="str">
        <x:v>S16_LJH</x:v>
      </x:c>
      <x:c r="C317" s="88" t="n">
        <x:v>22</x:v>
      </x:c>
      <x:c r="D317" s="88" t="str">
        <x:v>M09</x:v>
      </x:c>
      <x:c r="E317" s="88" t="str">
        <x:v>4-1 시작</x:v>
      </x:c>
      <x:c r="F317" s="96" t="n">
        <x:v>928.9680000000001</x:v>
      </x:c>
      <x:c r="G317" s="89" t="str">
        <x:v>$2 최종 선택</x:v>
      </x:c>
      <x:c r="H317" s="89" t="n">
        <x:v>928.9680000000001</x:v>
      </x:c>
      <x:c r="I317" s="89"/>
      <x:c r="J317" s="89"/>
      <x:c r="K317" s="88" t="str">
        <x:v>단일/없음</x:v>
      </x:c>
      <x:c r="L317" s="88" t="str"/>
    </x:row>
    <x:row r="318">
      <x:c r="A318" s="88" t="n">
        <x:v>16</x:v>
      </x:c>
      <x:c r="B318" s="88" t="str">
        <x:v>S16_LJH</x:v>
      </x:c>
      <x:c r="C318" s="88" t="n">
        <x:v>22</x:v>
      </x:c>
      <x:c r="D318" s="88" t="str">
        <x:v>M10</x:v>
      </x:c>
      <x:c r="E318" s="88" t="str">
        <x:v>4-1 종료</x:v>
      </x:c>
      <x:c r="F318" s="96" t="n">
        <x:v>945.196</x:v>
      </x:c>
      <x:c r="G318" s="89" t="str">
        <x:v>$2 최종 선택</x:v>
      </x:c>
      <x:c r="H318" s="89" t="n">
        <x:v>945.196</x:v>
      </x:c>
      <x:c r="I318" s="103" t="n">
        <x:v>956.196</x:v>
      </x:c>
      <x:c r="J318" s="89"/>
      <x:c r="K318" s="88" t="str">
        <x:v>단일/없음</x:v>
      </x:c>
      <x:c r="L318" s="88" t="str"/>
    </x:row>
    <x:row r="319">
      <x:c r="A319" s="88" t="n">
        <x:v>16</x:v>
      </x:c>
      <x:c r="B319" s="88" t="str">
        <x:v>S16_LJH</x:v>
      </x:c>
      <x:c r="C319" s="88" t="n">
        <x:v>22</x:v>
      </x:c>
      <x:c r="D319" s="88" t="str">
        <x:v>M11</x:v>
      </x:c>
      <x:c r="E319" s="88" t="str">
        <x:v>4-2 시작</x:v>
      </x:c>
      <x:c r="F319" s="96" t="n">
        <x:v>956.196</x:v>
      </x:c>
      <x:c r="G319" s="89" t="str">
        <x:v>$2 최종 선택</x:v>
      </x:c>
      <x:c r="H319" s="89" t="n">
        <x:v>956.196</x:v>
      </x:c>
      <x:c r="I319" s="103" t="n">
        <x:v>945.196</x:v>
      </x:c>
      <x:c r="J319" s="89"/>
      <x:c r="K319" s="88" t="str">
        <x:v>단일/없음</x:v>
      </x:c>
      <x:c r="L319" s="88" t="str"/>
    </x:row>
    <x:row r="320">
      <x:c r="A320" s="88" t="n">
        <x:v>16</x:v>
      </x:c>
      <x:c r="B320" s="88" t="str">
        <x:v>S16_LJH</x:v>
      </x:c>
      <x:c r="C320" s="88" t="n">
        <x:v>22</x:v>
      </x:c>
      <x:c r="D320" s="88" t="str">
        <x:v>M12</x:v>
      </x:c>
      <x:c r="E320" s="88" t="str">
        <x:v>4-2 종료</x:v>
      </x:c>
      <x:c r="F320" s="96" t="n">
        <x:v>1004.2180000000001</x:v>
      </x:c>
      <x:c r="G320" s="89" t="str">
        <x:v>$2 최종 선택</x:v>
      </x:c>
      <x:c r="H320" s="89" t="n">
        <x:v>1004.218</x:v>
      </x:c>
      <x:c r="I320" s="103" t="n">
        <x:v>1016.964</x:v>
      </x:c>
      <x:c r="J320" s="89"/>
      <x:c r="K320" s="88" t="str">
        <x:v>단일/없음</x:v>
      </x:c>
      <x:c r="L320" s="88" t="str"/>
    </x:row>
    <x:row r="321">
      <x:c r="A321" s="88" t="n">
        <x:v>16</x:v>
      </x:c>
      <x:c r="B321" s="88" t="str">
        <x:v>S16_LJH</x:v>
      </x:c>
      <x:c r="C321" s="88" t="n">
        <x:v>22</x:v>
      </x:c>
      <x:c r="D321" s="88" t="str">
        <x:v>M13</x:v>
      </x:c>
      <x:c r="E321" s="88" t="str">
        <x:v>4-3 시작</x:v>
      </x:c>
      <x:c r="F321" s="96" t="n">
        <x:v>1016.964</x:v>
      </x:c>
      <x:c r="G321" s="89" t="str">
        <x:v>$2 최종 선택</x:v>
      </x:c>
      <x:c r="H321" s="89" t="n">
        <x:v>1016.964</x:v>
      </x:c>
      <x:c r="I321" s="103" t="n">
        <x:v>1004.218</x:v>
      </x:c>
      <x:c r="J321" s="89"/>
      <x:c r="K321" s="88" t="str">
        <x:v>단일/없음</x:v>
      </x:c>
      <x:c r="L321" s="88" t="str"/>
    </x:row>
    <x:row r="322">
      <x:c r="A322" s="88" t="n">
        <x:v>16</x:v>
      </x:c>
      <x:c r="B322" s="88" t="str">
        <x:v>S16_LJH</x:v>
      </x:c>
      <x:c r="C322" s="88" t="n">
        <x:v>22</x:v>
      </x:c>
      <x:c r="D322" s="88" t="str">
        <x:v>M14</x:v>
      </x:c>
      <x:c r="E322" s="88" t="str">
        <x:v>4-3 종료</x:v>
      </x:c>
      <x:c r="F322" s="96" t="n">
        <x:v>1062.2600000000002</x:v>
      </x:c>
      <x:c r="G322" s="89" t="str">
        <x:v>$2 최종 선택</x:v>
      </x:c>
      <x:c r="H322" s="89" t="n">
        <x:v>1062.2600000000002</x:v>
      </x:c>
      <x:c r="I322" s="89"/>
      <x:c r="J322" s="89"/>
      <x:c r="K322" s="88" t="str">
        <x:v>단일/없음</x:v>
      </x:c>
      <x:c r="L322" s="88" t="str"/>
    </x:row>
    <x:row r="323">
      <x:c r="A323" s="88" t="n">
        <x:v>16</x:v>
      </x:c>
      <x:c r="B323" s="88" t="str">
        <x:v>S16_LJH</x:v>
      </x:c>
      <x:c r="C323" s="88" t="n">
        <x:v>22</x:v>
      </x:c>
      <x:c r="D323" s="88" t="str">
        <x:v>M15</x:v>
      </x:c>
      <x:c r="E323" s="88" t="str">
        <x:v>4-4 시작</x:v>
      </x:c>
      <x:c r="F323" s="96" t="n">
        <x:v>1077.6160000000002</x:v>
      </x:c>
      <x:c r="G323" s="89" t="str">
        <x:v>$2 최종 선택</x:v>
      </x:c>
      <x:c r="H323" s="89" t="n">
        <x:v>1077.6160000000002</x:v>
      </x:c>
      <x:c r="I323" s="103" t="n">
        <x:v>1088.9560000000001</x:v>
      </x:c>
      <x:c r="J323" s="89"/>
      <x:c r="K323" s="88" t="str">
        <x:v>단일/없음</x:v>
      </x:c>
      <x:c r="L323" s="88" t="str"/>
    </x:row>
    <x:row r="324">
      <x:c r="A324" s="88" t="n">
        <x:v>16</x:v>
      </x:c>
      <x:c r="B324" s="88" t="str">
        <x:v>S16_LJH</x:v>
      </x:c>
      <x:c r="C324" s="88" t="n">
        <x:v>22</x:v>
      </x:c>
      <x:c r="D324" s="88" t="str">
        <x:v>M16</x:v>
      </x:c>
      <x:c r="E324" s="88" t="str">
        <x:v>4-4 종료</x:v>
      </x:c>
      <x:c r="F324" s="96" t="n">
        <x:v>1088.9560000000001</x:v>
      </x:c>
      <x:c r="G324" s="89" t="str">
        <x:v>$2 최종 선택</x:v>
      </x:c>
      <x:c r="H324" s="89" t="n">
        <x:v>1088.9560000000001</x:v>
      </x:c>
      <x:c r="I324" s="103" t="n">
        <x:v>1077.6160000000002</x:v>
      </x:c>
      <x:c r="J324" s="89"/>
      <x:c r="K324" s="88" t="str">
        <x:v>단일/없음</x:v>
      </x:c>
      <x:c r="L324" s="88" t="str"/>
    </x:row>
    <x:row r="325">
      <x:c r="A325" s="88" t="n">
        <x:v>16</x:v>
      </x:c>
      <x:c r="B325" s="88" t="str">
        <x:v>S16_LJH</x:v>
      </x:c>
      <x:c r="C325" s="88" t="n">
        <x:v>22</x:v>
      </x:c>
      <x:c r="D325" s="88" t="str">
        <x:v>M17</x:v>
      </x:c>
      <x:c r="E325" s="88" t="str">
        <x:v>5 시작</x:v>
      </x:c>
      <x:c r="F325" s="96" t="n">
        <x:v>1179.3480000000002</x:v>
      </x:c>
      <x:c r="G325" s="89" t="str">
        <x:v>$2 최종 선택</x:v>
      </x:c>
      <x:c r="H325" s="89" t="n">
        <x:v>1179.3480000000002</x:v>
      </x:c>
      <x:c r="I325" s="89"/>
      <x:c r="J325" s="89"/>
      <x:c r="K325" s="88" t="str">
        <x:v>단일/없음</x:v>
      </x:c>
      <x:c r="L325" s="88" t="str"/>
    </x:row>
    <x:row r="326">
      <x:c r="A326" s="88" t="n">
        <x:v>16</x:v>
      </x:c>
      <x:c r="B326" s="88" t="str">
        <x:v>S16_LJH</x:v>
      </x:c>
      <x:c r="C326" s="88" t="n">
        <x:v>22</x:v>
      </x:c>
      <x:c r="D326" s="88" t="str">
        <x:v>M18</x:v>
      </x:c>
      <x:c r="E326" s="88" t="str">
        <x:v>5 종료</x:v>
      </x:c>
      <x:c r="F326" s="96" t="n">
        <x:v>1372.268</x:v>
      </x:c>
      <x:c r="G326" s="89" t="str">
        <x:v>$2 최종 선택</x:v>
      </x:c>
      <x:c r="H326" s="89" t="n">
        <x:v>1372.268</x:v>
      </x:c>
      <x:c r="I326" s="89"/>
      <x:c r="J326" s="89"/>
      <x:c r="K326" s="88" t="str">
        <x:v>단일/없음</x:v>
      </x:c>
      <x:c r="L326" s="88" t="str"/>
    </x:row>
    <x:row r="327">
      <x:c r="A327" s="88" t="n">
        <x:v>16</x:v>
      </x:c>
      <x:c r="B327" s="88" t="str">
        <x:v>S16_LJH</x:v>
      </x:c>
      <x:c r="C327" s="88" t="n">
        <x:v>22</x:v>
      </x:c>
      <x:c r="D327" s="88" t="str">
        <x:v>M19</x:v>
      </x:c>
      <x:c r="E327" s="88" t="str">
        <x:v>6 시작</x:v>
      </x:c>
      <x:c r="F327" s="96" t="n">
        <x:v>1424.5800000000002</x:v>
      </x:c>
      <x:c r="G327" s="89" t="str">
        <x:v>$2 최종 선택</x:v>
      </x:c>
      <x:c r="H327" s="89" t="n">
        <x:v>1424.5800000000002</x:v>
      </x:c>
      <x:c r="I327" s="89"/>
      <x:c r="J327" s="89"/>
      <x:c r="K327" s="88" t="str">
        <x:v>단일/없음</x:v>
      </x:c>
      <x:c r="L327" s="88" t="str"/>
    </x:row>
    <x:row r="328">
      <x:c r="A328" s="88" t="n">
        <x:v>16</x:v>
      </x:c>
      <x:c r="B328" s="88" t="str">
        <x:v>S16_LJH</x:v>
      </x:c>
      <x:c r="C328" s="88" t="n">
        <x:v>22</x:v>
      </x:c>
      <x:c r="D328" s="88" t="str">
        <x:v>M20</x:v>
      </x:c>
      <x:c r="E328" s="88" t="str">
        <x:v>6 종료</x:v>
      </x:c>
      <x:c r="F328" s="96" t="n">
        <x:v>1455.8080000000002</x:v>
      </x:c>
      <x:c r="G328" s="89" t="str">
        <x:v>$2 최종 선택</x:v>
      </x:c>
      <x:c r="H328" s="89" t="n">
        <x:v>1455.8080000000002</x:v>
      </x:c>
      <x:c r="I328" s="89"/>
      <x:c r="J328" s="89"/>
      <x:c r="K328" s="88" t="str">
        <x:v>단일/없음</x:v>
      </x:c>
      <x:c r="L328" s="88" t="str"/>
    </x:row>
    <x:row r="329">
      <x:c r="A329" s="88" t="n">
        <x:v>16</x:v>
      </x:c>
      <x:c r="B329" s="88" t="str">
        <x:v>S16_LJH</x:v>
      </x:c>
      <x:c r="C329" s="88" t="n">
        <x:v>22</x:v>
      </x:c>
      <x:c r="D329" s="88" t="str">
        <x:v>M21</x:v>
      </x:c>
      <x:c r="E329" s="88" t="str">
        <x:v>7 시작</x:v>
      </x:c>
      <x:c r="F329" s="96" t="n">
        <x:v>1486.3120000000001</x:v>
      </x:c>
      <x:c r="G329" s="89" t="str">
        <x:v>$2 최종 선택</x:v>
      </x:c>
      <x:c r="H329" s="89" t="n">
        <x:v>1486.3120000000001</x:v>
      </x:c>
      <x:c r="I329" s="89"/>
      <x:c r="J329" s="89"/>
      <x:c r="K329" s="88" t="str">
        <x:v>단일/없음</x:v>
      </x:c>
      <x:c r="L329" s="88" t="str"/>
    </x:row>
    <x:row r="330">
      <x:c r="A330" s="88" t="n">
        <x:v>16</x:v>
      </x:c>
      <x:c r="B330" s="88" t="str">
        <x:v>S16_LJH</x:v>
      </x:c>
      <x:c r="C330" s="88" t="n">
        <x:v>22</x:v>
      </x:c>
      <x:c r="D330" s="88" t="str">
        <x:v>M22</x:v>
      </x:c>
      <x:c r="E330" s="88" t="str">
        <x:v>7 종료</x:v>
      </x:c>
      <x:c r="F330" s="96" t="n">
        <x:v>1506.3560000000002</x:v>
      </x:c>
      <x:c r="G330" s="89" t="str">
        <x:v>$2 최종 선택</x:v>
      </x:c>
      <x:c r="H330" s="89" t="n">
        <x:v>1506.3560000000002</x:v>
      </x:c>
      <x:c r="I330" s="89"/>
      <x:c r="J330" s="89"/>
      <x:c r="K330" s="88" t="str">
        <x:v>단일/없음</x:v>
      </x:c>
      <x:c r="L330" s="88" t="str"/>
    </x:row>
    <x:row r="331">
      <x:c r="A331" s="88" t="n">
        <x:v>17</x:v>
      </x:c>
      <x:c r="B331" s="88" t="str">
        <x:v>S17_RJS</x:v>
      </x:c>
      <x:c r="C331" s="88" t="n">
        <x:v>22</x:v>
      </x:c>
      <x:c r="D331" s="88" t="str">
        <x:v>M01</x:v>
      </x:c>
      <x:c r="E331" s="88" t="str">
        <x:v>1 시작</x:v>
      </x:c>
      <x:c r="F331" s="96" t="n">
        <x:v>15.872500000000063</x:v>
      </x:c>
      <x:c r="G331" s="89" t="str">
        <x:v>$2 최종 선택</x:v>
      </x:c>
      <x:c r="H331" s="89" t="n">
        <x:v>15.872500000000063</x:v>
      </x:c>
      <x:c r="I331" s="89"/>
      <x:c r="J331" s="89"/>
      <x:c r="K331" s="88" t="str">
        <x:v>단일/없음</x:v>
      </x:c>
      <x:c r="L331" s="88" t="str"/>
    </x:row>
    <x:row r="332">
      <x:c r="A332" s="88" t="n">
        <x:v>17</x:v>
      </x:c>
      <x:c r="B332" s="88" t="str">
        <x:v>S17_RJS</x:v>
      </x:c>
      <x:c r="C332" s="88" t="n">
        <x:v>22</x:v>
      </x:c>
      <x:c r="D332" s="88" t="str">
        <x:v>M02</x:v>
      </x:c>
      <x:c r="E332" s="88" t="str">
        <x:v>1 종료</x:v>
      </x:c>
      <x:c r="F332" s="96" t="n">
        <x:v>209.80933300000004</x:v>
      </x:c>
      <x:c r="G332" s="89" t="str">
        <x:v>$2 최종 선택</x:v>
      </x:c>
      <x:c r="H332" s="89" t="n">
        <x:v>209.8093333333334</x:v>
      </x:c>
      <x:c r="I332" s="89"/>
      <x:c r="J332" s="89"/>
      <x:c r="K332" s="88" t="str">
        <x:v>단일/없음</x:v>
      </x:c>
      <x:c r="L332" s="88" t="str"/>
    </x:row>
    <x:row r="333">
      <x:c r="A333" s="88" t="n">
        <x:v>17</x:v>
      </x:c>
      <x:c r="B333" s="88" t="str">
        <x:v>S17_RJS</x:v>
      </x:c>
      <x:c r="C333" s="88" t="n">
        <x:v>22</x:v>
      </x:c>
      <x:c r="D333" s="88" t="str">
        <x:v>M03</x:v>
      </x:c>
      <x:c r="E333" s="88" t="str">
        <x:v>2 시작</x:v>
      </x:c>
      <x:c r="F333" s="96" t="n">
        <x:v>232.94600000000005</x:v>
      </x:c>
      <x:c r="G333" s="89" t="str">
        <x:v>$2 최종 선택</x:v>
      </x:c>
      <x:c r="H333" s="89" t="n">
        <x:v>232.94600000000005</x:v>
      </x:c>
      <x:c r="I333" s="103" t="n">
        <x:v>227.92400000000006</x:v>
      </x:c>
      <x:c r="J333" s="89"/>
      <x:c r="K333" s="88" t="str">
        <x:v>단일/없음</x:v>
      </x:c>
      <x:c r="L333" s="88" t="str"/>
    </x:row>
    <x:row r="334">
      <x:c r="A334" s="88" t="n">
        <x:v>17</x:v>
      </x:c>
      <x:c r="B334" s="88" t="str">
        <x:v>S17_RJS</x:v>
      </x:c>
      <x:c r="C334" s="88" t="n">
        <x:v>22</x:v>
      </x:c>
      <x:c r="D334" s="88" t="str">
        <x:v>M04</x:v>
      </x:c>
      <x:c r="E334" s="88" t="str">
        <x:v>2 종료</x:v>
      </x:c>
      <x:c r="F334" s="96" t="n">
        <x:v>604.3144</x:v>
      </x:c>
      <x:c r="G334" s="89" t="str">
        <x:v>$2 최종 선택</x:v>
      </x:c>
      <x:c r="H334" s="89" t="n">
        <x:v>604.3144000000001</x:v>
      </x:c>
      <x:c r="I334" s="89"/>
      <x:c r="J334" s="89"/>
      <x:c r="K334" s="88" t="str">
        <x:v>단일/없음</x:v>
      </x:c>
      <x:c r="L334" s="88" t="str"/>
    </x:row>
    <x:row r="335">
      <x:c r="A335" s="88" t="n">
        <x:v>17</x:v>
      </x:c>
      <x:c r="B335" s="88" t="str">
        <x:v>S17_RJS</x:v>
      </x:c>
      <x:c r="C335" s="88" t="n">
        <x:v>22</x:v>
      </x:c>
      <x:c r="D335" s="88" t="str">
        <x:v>M05</x:v>
      </x:c>
      <x:c r="E335" s="88" t="str">
        <x:v>3-1 시작</x:v>
      </x:c>
      <x:c r="F335" s="96" t="n">
        <x:v>663.212</x:v>
      </x:c>
      <x:c r="G335" s="89" t="str">
        <x:v>$2 최종 선택</x:v>
      </x:c>
      <x:c r="H335" s="89" t="n">
        <x:v>663.2120000000001</x:v>
      </x:c>
      <x:c r="I335" s="103" t="n">
        <x:v>676.8386666666668</x:v>
      </x:c>
      <x:c r="J335" s="89"/>
      <x:c r="K335" s="88" t="str">
        <x:v>단일/없음</x:v>
      </x:c>
      <x:c r="L335" s="88" t="str"/>
    </x:row>
    <x:row r="336">
      <x:c r="A336" s="88" t="n">
        <x:v>17</x:v>
      </x:c>
      <x:c r="B336" s="88" t="str">
        <x:v>S17_RJS</x:v>
      </x:c>
      <x:c r="C336" s="88" t="n">
        <x:v>22</x:v>
      </x:c>
      <x:c r="D336" s="88" t="str">
        <x:v>M06</x:v>
      </x:c>
      <x:c r="E336" s="88" t="str">
        <x:v>3-1 종료</x:v>
      </x:c>
      <x:c r="F336" s="96" t="n">
        <x:v>676.838667</x:v>
      </x:c>
      <x:c r="G336" s="89" t="str">
        <x:v>$2 최종 선택</x:v>
      </x:c>
      <x:c r="H336" s="89" t="n">
        <x:v>676.8386666666668</x:v>
      </x:c>
      <x:c r="I336" s="103" t="n">
        <x:v>663.2120000000001</x:v>
      </x:c>
      <x:c r="J336" s="89"/>
      <x:c r="K336" s="88" t="str">
        <x:v>단일/없음</x:v>
      </x:c>
      <x:c r="L336" s="88" t="str"/>
    </x:row>
    <x:row r="337">
      <x:c r="A337" s="88" t="n">
        <x:v>17</x:v>
      </x:c>
      <x:c r="B337" s="88" t="str">
        <x:v>S17_RJS</x:v>
      </x:c>
      <x:c r="C337" s="88" t="n">
        <x:v>22</x:v>
      </x:c>
      <x:c r="D337" s="88" t="str">
        <x:v>M07</x:v>
      </x:c>
      <x:c r="E337" s="88" t="str">
        <x:v>3-2 시작</x:v>
      </x:c>
      <x:c r="F337" s="96" t="n">
        <x:v>692.6408</x:v>
      </x:c>
      <x:c r="G337" s="89" t="str">
        <x:v>$2 최종 선택</x:v>
      </x:c>
      <x:c r="H337" s="89" t="n">
        <x:v>692.6408</x:v>
      </x:c>
      <x:c r="I337" s="103" t="n">
        <x:v>705.4159999999999</x:v>
      </x:c>
      <x:c r="J337" s="89"/>
      <x:c r="K337" s="88" t="str">
        <x:v>단일/없음</x:v>
      </x:c>
      <x:c r="L337" s="88" t="str"/>
    </x:row>
    <x:row r="338">
      <x:c r="A338" s="88" t="n">
        <x:v>17</x:v>
      </x:c>
      <x:c r="B338" s="88" t="str">
        <x:v>S17_RJS</x:v>
      </x:c>
      <x:c r="C338" s="88" t="n">
        <x:v>22</x:v>
      </x:c>
      <x:c r="D338" s="88" t="str">
        <x:v>M08</x:v>
      </x:c>
      <x:c r="E338" s="88" t="str">
        <x:v>3-2 종료</x:v>
      </x:c>
      <x:c r="F338" s="96" t="n">
        <x:v>705.416</x:v>
      </x:c>
      <x:c r="G338" s="89" t="str">
        <x:v>$2 최종 선택</x:v>
      </x:c>
      <x:c r="H338" s="89" t="n">
        <x:v>705.4159999999999</x:v>
      </x:c>
      <x:c r="I338" s="103" t="n">
        <x:v>692.6408</x:v>
      </x:c>
      <x:c r="J338" s="89"/>
      <x:c r="K338" s="88" t="str">
        <x:v>단일/없음</x:v>
      </x:c>
      <x:c r="L338" s="88" t="str"/>
    </x:row>
    <x:row r="339">
      <x:c r="A339" s="88" t="n">
        <x:v>17</x:v>
      </x:c>
      <x:c r="B339" s="88" t="str">
        <x:v>S17_RJS</x:v>
      </x:c>
      <x:c r="C339" s="88" t="n">
        <x:v>22</x:v>
      </x:c>
      <x:c r="D339" s="88" t="str">
        <x:v>M09</x:v>
      </x:c>
      <x:c r="E339" s="88" t="str">
        <x:v>4-1 시작</x:v>
      </x:c>
      <x:c r="F339" s="96" t="n">
        <x:v>756.346667</x:v>
      </x:c>
      <x:c r="G339" s="89" t="str">
        <x:v>$2 최종 선택</x:v>
      </x:c>
      <x:c r="H339" s="89" t="n">
        <x:v>756.3466666666666</x:v>
      </x:c>
      <x:c r="I339" s="103" t="n">
        <x:v>770.6166666666668</x:v>
      </x:c>
      <x:c r="J339" s="89"/>
      <x:c r="K339" s="88" t="str">
        <x:v>단일/없음</x:v>
      </x:c>
      <x:c r="L339" s="88" t="str"/>
    </x:row>
    <x:row r="340">
      <x:c r="A340" s="88" t="n">
        <x:v>17</x:v>
      </x:c>
      <x:c r="B340" s="88" t="str">
        <x:v>S17_RJS</x:v>
      </x:c>
      <x:c r="C340" s="88" t="n">
        <x:v>22</x:v>
      </x:c>
      <x:c r="D340" s="88" t="str">
        <x:v>M10</x:v>
      </x:c>
      <x:c r="E340" s="88" t="str">
        <x:v>4-1 종료</x:v>
      </x:c>
      <x:c r="F340" s="96" t="n">
        <x:v>770.616667</x:v>
      </x:c>
      <x:c r="G340" s="89" t="str">
        <x:v>$2 최종 선택</x:v>
      </x:c>
      <x:c r="H340" s="89" t="n">
        <x:v>770.6166666666668</x:v>
      </x:c>
      <x:c r="I340" s="103" t="n">
        <x:v>782.38</x:v>
      </x:c>
      <x:c r="J340" s="103" t="n">
        <x:v>756.3466666666666</x:v>
      </x:c>
      <x:c r="K340" s="88" t="str">
        <x:v>단일/없음</x:v>
      </x:c>
      <x:c r="L340" s="88" t="str"/>
    </x:row>
    <x:row r="341">
      <x:c r="A341" s="88" t="n">
        <x:v>17</x:v>
      </x:c>
      <x:c r="B341" s="88" t="str">
        <x:v>S17_RJS</x:v>
      </x:c>
      <x:c r="C341" s="88" t="n">
        <x:v>22</x:v>
      </x:c>
      <x:c r="D341" s="88" t="str">
        <x:v>M11</x:v>
      </x:c>
      <x:c r="E341" s="88" t="str">
        <x:v>4-2 시작</x:v>
      </x:c>
      <x:c r="F341" s="96" t="n">
        <x:v>782.38</x:v>
      </x:c>
      <x:c r="G341" s="89" t="str">
        <x:v>$2 최종 선택</x:v>
      </x:c>
      <x:c r="H341" s="89" t="n">
        <x:v>782.38</x:v>
      </x:c>
      <x:c r="I341" s="103" t="n">
        <x:v>770.6166666666668</x:v>
      </x:c>
      <x:c r="J341" s="89"/>
      <x:c r="K341" s="88" t="str">
        <x:v>단일/없음</x:v>
      </x:c>
      <x:c r="L341" s="88" t="str"/>
    </x:row>
    <x:row r="342">
      <x:c r="A342" s="88" t="n">
        <x:v>17</x:v>
      </x:c>
      <x:c r="B342" s="88" t="str">
        <x:v>S17_RJS</x:v>
      </x:c>
      <x:c r="C342" s="88" t="n">
        <x:v>22</x:v>
      </x:c>
      <x:c r="D342" s="88" t="str">
        <x:v>M12</x:v>
      </x:c>
      <x:c r="E342" s="88" t="str">
        <x:v>4-2 종료</x:v>
      </x:c>
      <x:c r="F342" s="96" t="n">
        <x:v>828.0905</x:v>
      </x:c>
      <x:c r="G342" s="89" t="str">
        <x:v>$2 최종 선택</x:v>
      </x:c>
      <x:c r="H342" s="89" t="n">
        <x:v>828.0905000000001</x:v>
      </x:c>
      <x:c r="I342" s="103" t="n">
        <x:v>842.6628571428572</x:v>
      </x:c>
      <x:c r="J342" s="89"/>
      <x:c r="K342" s="88" t="str">
        <x:v>단일/없음</x:v>
      </x:c>
      <x:c r="L342" s="88" t="str"/>
    </x:row>
    <x:row r="343">
      <x:c r="A343" s="88" t="n">
        <x:v>17</x:v>
      </x:c>
      <x:c r="B343" s="88" t="str">
        <x:v>S17_RJS</x:v>
      </x:c>
      <x:c r="C343" s="88" t="n">
        <x:v>22</x:v>
      </x:c>
      <x:c r="D343" s="88" t="str">
        <x:v>M13</x:v>
      </x:c>
      <x:c r="E343" s="88" t="str">
        <x:v>4-3 시작</x:v>
      </x:c>
      <x:c r="F343" s="96" t="n">
        <x:v>842.662857</x:v>
      </x:c>
      <x:c r="G343" s="89" t="str">
        <x:v>$2 최종 선택</x:v>
      </x:c>
      <x:c r="H343" s="89" t="n">
        <x:v>842.6628571428572</x:v>
      </x:c>
      <x:c r="I343" s="103" t="n">
        <x:v>828.0905000000001</x:v>
      </x:c>
      <x:c r="J343" s="89"/>
      <x:c r="K343" s="88" t="str">
        <x:v>단일/없음</x:v>
      </x:c>
      <x:c r="L343" s="88" t="str"/>
    </x:row>
    <x:row r="344">
      <x:c r="A344" s="88" t="n">
        <x:v>17</x:v>
      </x:c>
      <x:c r="B344" s="88" t="str">
        <x:v>S17_RJS</x:v>
      </x:c>
      <x:c r="C344" s="88" t="n">
        <x:v>22</x:v>
      </x:c>
      <x:c r="D344" s="88" t="str">
        <x:v>M14</x:v>
      </x:c>
      <x:c r="E344" s="88" t="str">
        <x:v>4-3 종료</x:v>
      </x:c>
      <x:c r="F344" s="96" t="n">
        <x:v>892.4200000000001</x:v>
      </x:c>
      <x:c r="G344" s="89" t="str">
        <x:v>$2 최종 선택</x:v>
      </x:c>
      <x:c r="H344" s="89" t="n">
        <x:v>892.4200000000001</x:v>
      </x:c>
      <x:c r="I344" s="89"/>
      <x:c r="J344" s="89"/>
      <x:c r="K344" s="88" t="str">
        <x:v>단일/없음</x:v>
      </x:c>
      <x:c r="L344" s="88" t="str"/>
    </x:row>
    <x:row r="345">
      <x:c r="A345" s="88" t="n">
        <x:v>17</x:v>
      </x:c>
      <x:c r="B345" s="88" t="str">
        <x:v>S17_RJS</x:v>
      </x:c>
      <x:c r="C345" s="88" t="n">
        <x:v>22</x:v>
      </x:c>
      <x:c r="D345" s="88" t="str">
        <x:v>M15</x:v>
      </x:c>
      <x:c r="E345" s="88" t="str">
        <x:v>4-4 시작</x:v>
      </x:c>
      <x:c r="F345" s="96" t="n">
        <x:v>910.9165</x:v>
      </x:c>
      <x:c r="G345" s="89" t="str">
        <x:v>$2 최종 선택</x:v>
      </x:c>
      <x:c r="H345" s="89" t="n">
        <x:v>910.9164999999999</x:v>
      </x:c>
      <x:c r="I345" s="103" t="n">
        <x:v>923.9386666666667</x:v>
      </x:c>
      <x:c r="J345" s="89"/>
      <x:c r="K345" s="88" t="str">
        <x:v>단일/없음</x:v>
      </x:c>
      <x:c r="L345" s="88" t="str"/>
    </x:row>
    <x:row r="346">
      <x:c r="A346" s="88" t="n">
        <x:v>17</x:v>
      </x:c>
      <x:c r="B346" s="88" t="str">
        <x:v>S17_RJS</x:v>
      </x:c>
      <x:c r="C346" s="88" t="n">
        <x:v>22</x:v>
      </x:c>
      <x:c r="D346" s="88" t="str">
        <x:v>M16</x:v>
      </x:c>
      <x:c r="E346" s="88" t="str">
        <x:v>4-4 종료</x:v>
      </x:c>
      <x:c r="F346" s="96" t="n">
        <x:v>923.938667</x:v>
      </x:c>
      <x:c r="G346" s="89" t="str">
        <x:v>$2 최종 선택</x:v>
      </x:c>
      <x:c r="H346" s="89" t="n">
        <x:v>923.9386666666667</x:v>
      </x:c>
      <x:c r="I346" s="103" t="n">
        <x:v>910.9164999999999</x:v>
      </x:c>
      <x:c r="J346" s="89"/>
      <x:c r="K346" s="88" t="str">
        <x:v>단일/없음</x:v>
      </x:c>
      <x:c r="L346" s="88" t="str"/>
    </x:row>
    <x:row r="347">
      <x:c r="A347" s="88" t="n">
        <x:v>17</x:v>
      </x:c>
      <x:c r="B347" s="88" t="str">
        <x:v>S17_RJS</x:v>
      </x:c>
      <x:c r="C347" s="88" t="n">
        <x:v>22</x:v>
      </x:c>
      <x:c r="D347" s="88" t="str">
        <x:v>M17</x:v>
      </x:c>
      <x:c r="E347" s="88" t="str">
        <x:v>5 시작</x:v>
      </x:c>
      <x:c r="F347" s="96" t="n">
        <x:v>960.7520000000001</x:v>
      </x:c>
      <x:c r="G347" s="89" t="str">
        <x:v>$2 최종 선택</x:v>
      </x:c>
      <x:c r="H347" s="89" t="n">
        <x:v>960.7520000000001</x:v>
      </x:c>
      <x:c r="I347" s="89"/>
      <x:c r="J347" s="89"/>
      <x:c r="K347" s="88" t="str">
        <x:v>단일/없음</x:v>
      </x:c>
      <x:c r="L347" s="88" t="str"/>
    </x:row>
    <x:row r="348">
      <x:c r="A348" s="88" t="n">
        <x:v>17</x:v>
      </x:c>
      <x:c r="B348" s="88" t="str">
        <x:v>S17_RJS</x:v>
      </x:c>
      <x:c r="C348" s="88" t="n">
        <x:v>22</x:v>
      </x:c>
      <x:c r="D348" s="88" t="str">
        <x:v>M18</x:v>
      </x:c>
      <x:c r="E348" s="88" t="str">
        <x:v>5 종료</x:v>
      </x:c>
      <x:c r="F348" s="96" t="n">
        <x:v>1148.8215000000002</x:v>
      </x:c>
      <x:c r="G348" s="89" t="str">
        <x:v>$2 최종 선택</x:v>
      </x:c>
      <x:c r="H348" s="89" t="n">
        <x:v>1148.8215000000002</x:v>
      </x:c>
      <x:c r="I348" s="89"/>
      <x:c r="J348" s="89"/>
      <x:c r="K348" s="88" t="str">
        <x:v>단일/없음</x:v>
      </x:c>
      <x:c r="L348" s="88" t="str"/>
    </x:row>
    <x:row r="349">
      <x:c r="A349" s="88" t="n">
        <x:v>17</x:v>
      </x:c>
      <x:c r="B349" s="88" t="str">
        <x:v>S17_RJS</x:v>
      </x:c>
      <x:c r="C349" s="88" t="n">
        <x:v>22</x:v>
      </x:c>
      <x:c r="D349" s="88" t="str">
        <x:v>M19</x:v>
      </x:c>
      <x:c r="E349" s="88" t="str">
        <x:v>6 시작</x:v>
      </x:c>
      <x:c r="F349" s="96" t="n">
        <x:v>1189.3660000000002</x:v>
      </x:c>
      <x:c r="G349" s="89" t="str">
        <x:v>$2 최종 선택</x:v>
      </x:c>
      <x:c r="H349" s="89" t="n">
        <x:v>1189.366</x:v>
      </x:c>
      <x:c r="I349" s="89"/>
      <x:c r="J349" s="89"/>
      <x:c r="K349" s="88" t="str">
        <x:v>단일/없음</x:v>
      </x:c>
      <x:c r="L349" s="88" t="str"/>
    </x:row>
    <x:row r="350">
      <x:c r="A350" s="88" t="n">
        <x:v>17</x:v>
      </x:c>
      <x:c r="B350" s="88" t="str">
        <x:v>S17_RJS</x:v>
      </x:c>
      <x:c r="C350" s="88" t="n">
        <x:v>22</x:v>
      </x:c>
      <x:c r="D350" s="88" t="str">
        <x:v>M20</x:v>
      </x:c>
      <x:c r="E350" s="88" t="str">
        <x:v>6 종료</x:v>
      </x:c>
      <x:c r="F350" s="96" t="n">
        <x:v>1214.3860000000002</x:v>
      </x:c>
      <x:c r="G350" s="89" t="str">
        <x:v>$2 최종 선택</x:v>
      </x:c>
      <x:c r="H350" s="89" t="n">
        <x:v>1214.386</x:v>
      </x:c>
      <x:c r="I350" s="89"/>
      <x:c r="J350" s="89"/>
      <x:c r="K350" s="88" t="str">
        <x:v>단일/없음</x:v>
      </x:c>
      <x:c r="L350" s="88" t="str"/>
    </x:row>
    <x:row r="351">
      <x:c r="A351" s="88" t="n">
        <x:v>17</x:v>
      </x:c>
      <x:c r="B351" s="88" t="str">
        <x:v>S17_RJS</x:v>
      </x:c>
      <x:c r="C351" s="88" t="n">
        <x:v>22</x:v>
      </x:c>
      <x:c r="D351" s="88" t="str">
        <x:v>M21</x:v>
      </x:c>
      <x:c r="E351" s="88" t="str">
        <x:v>7 시작</x:v>
      </x:c>
      <x:c r="F351" s="96" t="n">
        <x:v>1240.4320000000002</x:v>
      </x:c>
      <x:c r="G351" s="89" t="str">
        <x:v>$2 최종 선택</x:v>
      </x:c>
      <x:c r="H351" s="89" t="n">
        <x:v>1240.432</x:v>
      </x:c>
      <x:c r="I351" s="103" t="n">
        <x:v>1253.5580000000002</x:v>
      </x:c>
      <x:c r="J351" s="89"/>
      <x:c r="K351" s="88" t="str">
        <x:v>단일/없음</x:v>
      </x:c>
      <x:c r="L351" s="88" t="str"/>
    </x:row>
    <x:row r="352">
      <x:c r="A352" s="88" t="n">
        <x:v>17</x:v>
      </x:c>
      <x:c r="B352" s="88" t="str">
        <x:v>S17_RJS</x:v>
      </x:c>
      <x:c r="C352" s="88" t="n">
        <x:v>22</x:v>
      </x:c>
      <x:c r="D352" s="88" t="str">
        <x:v>M22</x:v>
      </x:c>
      <x:c r="E352" s="88" t="str">
        <x:v>7 종료</x:v>
      </x:c>
      <x:c r="F352" s="96" t="n">
        <x:v>1253.5580000000002</x:v>
      </x:c>
      <x:c r="G352" s="89" t="str">
        <x:v>$2 최종 선택</x:v>
      </x:c>
      <x:c r="H352" s="89" t="n">
        <x:v>1253.5580000000002</x:v>
      </x:c>
      <x:c r="I352" s="103" t="n">
        <x:v>1240.432</x:v>
      </x:c>
      <x:c r="J352" s="89"/>
      <x:c r="K352" s="88" t="str">
        <x:v>단일/없음</x:v>
      </x:c>
      <x:c r="L352" s="88" t="str"/>
    </x:row>
    <x:row r="353">
      <x:c r="A353" s="88" t="n">
        <x:v>18</x:v>
      </x:c>
      <x:c r="B353" s="88" t="str">
        <x:v>S18_LJH</x:v>
      </x:c>
      <x:c r="C353" s="88" t="n">
        <x:v>22</x:v>
      </x:c>
      <x:c r="D353" s="88" t="str">
        <x:v>M01</x:v>
      </x:c>
      <x:c r="E353" s="88" t="str">
        <x:v>1 시작</x:v>
      </x:c>
      <x:c r="F353" s="96" t="n">
        <x:v>15.296000000000042</x:v>
      </x:c>
      <x:c r="G353" s="89" t="str">
        <x:v>$2 최종 선택</x:v>
      </x:c>
      <x:c r="H353" s="89" t="n">
        <x:v>15.296000000000042</x:v>
      </x:c>
      <x:c r="I353" s="89"/>
      <x:c r="J353" s="89"/>
      <x:c r="K353" s="88" t="str">
        <x:v>단일/없음</x:v>
      </x:c>
      <x:c r="L353" s="88" t="str"/>
    </x:row>
    <x:row r="354">
      <x:c r="A354" s="88" t="n">
        <x:v>18</x:v>
      </x:c>
      <x:c r="B354" s="88" t="str">
        <x:v>S18_LJH</x:v>
      </x:c>
      <x:c r="C354" s="88" t="n">
        <x:v>22</x:v>
      </x:c>
      <x:c r="D354" s="88" t="str">
        <x:v>M02</x:v>
      </x:c>
      <x:c r="E354" s="88" t="str">
        <x:v>1 종료</x:v>
      </x:c>
      <x:c r="F354" s="96" t="n">
        <x:v>211.68000000000004</x:v>
      </x:c>
      <x:c r="G354" s="89" t="str">
        <x:v>$2 최종 선택</x:v>
      </x:c>
      <x:c r="H354" s="89" t="n">
        <x:v>211.68000000000004</x:v>
      </x:c>
      <x:c r="I354" s="89"/>
      <x:c r="J354" s="89"/>
      <x:c r="K354" s="88" t="str">
        <x:v>단일/없음</x:v>
      </x:c>
      <x:c r="L354" s="88" t="str"/>
    </x:row>
    <x:row r="355">
      <x:c r="A355" s="88" t="n">
        <x:v>18</x:v>
      </x:c>
      <x:c r="B355" s="88" t="str">
        <x:v>S18_LJH</x:v>
      </x:c>
      <x:c r="C355" s="88" t="n">
        <x:v>22</x:v>
      </x:c>
      <x:c r="D355" s="88" t="str">
        <x:v>M03</x:v>
      </x:c>
      <x:c r="E355" s="88" t="str">
        <x:v>2 시작</x:v>
      </x:c>
      <x:c r="F355" s="96" t="n">
        <x:v>231.17600000000004</x:v>
      </x:c>
      <x:c r="G355" s="89" t="str">
        <x:v>$2 최종 선택</x:v>
      </x:c>
      <x:c r="H355" s="89" t="n">
        <x:v>231.17600000000004</x:v>
      </x:c>
      <x:c r="I355" s="89"/>
      <x:c r="J355" s="89"/>
      <x:c r="K355" s="88" t="str">
        <x:v>단일/없음</x:v>
      </x:c>
      <x:c r="L355" s="88" t="str"/>
    </x:row>
    <x:row r="356">
      <x:c r="A356" s="88" t="n">
        <x:v>18</x:v>
      </x:c>
      <x:c r="B356" s="88" t="str">
        <x:v>S18_LJH</x:v>
      </x:c>
      <x:c r="C356" s="88" t="n">
        <x:v>22</x:v>
      </x:c>
      <x:c r="D356" s="88" t="str">
        <x:v>M04</x:v>
      </x:c>
      <x:c r="E356" s="88" t="str">
        <x:v>2 종료</x:v>
      </x:c>
      <x:c r="F356" s="96" t="n">
        <x:v>603.692</x:v>
      </x:c>
      <x:c r="G356" s="89" t="str">
        <x:v>$2 최종 선택</x:v>
      </x:c>
      <x:c r="H356" s="89" t="n">
        <x:v>603.692</x:v>
      </x:c>
      <x:c r="I356" s="89"/>
      <x:c r="J356" s="89"/>
      <x:c r="K356" s="88" t="str">
        <x:v>단일/없음</x:v>
      </x:c>
      <x:c r="L356" s="88" t="str"/>
    </x:row>
    <x:row r="357">
      <x:c r="A357" s="88" t="n">
        <x:v>18</x:v>
      </x:c>
      <x:c r="B357" s="88" t="str">
        <x:v>S18_LJH</x:v>
      </x:c>
      <x:c r="C357" s="88" t="n">
        <x:v>22</x:v>
      </x:c>
      <x:c r="D357" s="88" t="str">
        <x:v>M05</x:v>
      </x:c>
      <x:c r="E357" s="88" t="str">
        <x:v>3-1 시작</x:v>
      </x:c>
      <x:c r="F357" s="96" t="n">
        <x:v>637.644</x:v>
      </x:c>
      <x:c r="G357" s="89" t="str">
        <x:v>$2 최종 선택</x:v>
      </x:c>
      <x:c r="H357" s="89" t="n">
        <x:v>637.644</x:v>
      </x:c>
      <x:c r="I357" s="89"/>
      <x:c r="J357" s="89"/>
      <x:c r="K357" s="88" t="str">
        <x:v>단일/없음</x:v>
      </x:c>
      <x:c r="L357" s="88" t="str"/>
    </x:row>
    <x:row r="358">
      <x:c r="A358" s="88" t="n">
        <x:v>18</x:v>
      </x:c>
      <x:c r="B358" s="88" t="str">
        <x:v>S18_LJH</x:v>
      </x:c>
      <x:c r="C358" s="88" t="n">
        <x:v>22</x:v>
      </x:c>
      <x:c r="D358" s="88" t="str">
        <x:v>M06</x:v>
      </x:c>
      <x:c r="E358" s="88" t="str">
        <x:v>3-1 종료</x:v>
      </x:c>
      <x:c r="F358" s="96" t="n">
        <x:v>652.888</x:v>
      </x:c>
      <x:c r="G358" s="89" t="str">
        <x:v>$2 최종 선택</x:v>
      </x:c>
      <x:c r="H358" s="89" t="n">
        <x:v>652.888</x:v>
      </x:c>
      <x:c r="I358" s="89"/>
      <x:c r="J358" s="89"/>
      <x:c r="K358" s="88" t="str">
        <x:v>단일/없음</x:v>
      </x:c>
      <x:c r="L358" s="88" t="str"/>
    </x:row>
    <x:row r="359">
      <x:c r="A359" s="88" t="n">
        <x:v>18</x:v>
      </x:c>
      <x:c r="B359" s="88" t="str">
        <x:v>S18_LJH</x:v>
      </x:c>
      <x:c r="C359" s="88" t="n">
        <x:v>22</x:v>
      </x:c>
      <x:c r="D359" s="88" t="str">
        <x:v>M07</x:v>
      </x:c>
      <x:c r="E359" s="88" t="str">
        <x:v>3-2 시작</x:v>
      </x:c>
      <x:c r="F359" s="96" t="n">
        <x:v>669.5400000000001</x:v>
      </x:c>
      <x:c r="G359" s="89" t="str">
        <x:v>$2 최종 선택</x:v>
      </x:c>
      <x:c r="H359" s="89" t="n">
        <x:v>669.5400000000001</x:v>
      </x:c>
      <x:c r="I359" s="103" t="n">
        <x:v>681.076</x:v>
      </x:c>
      <x:c r="J359" s="89"/>
      <x:c r="K359" s="88" t="str">
        <x:v>단일/없음</x:v>
      </x:c>
      <x:c r="L359" s="88" t="str"/>
    </x:row>
    <x:row r="360">
      <x:c r="A360" s="88" t="n">
        <x:v>18</x:v>
      </x:c>
      <x:c r="B360" s="88" t="str">
        <x:v>S18_LJH</x:v>
      </x:c>
      <x:c r="C360" s="88" t="n">
        <x:v>22</x:v>
      </x:c>
      <x:c r="D360" s="88" t="str">
        <x:v>M08</x:v>
      </x:c>
      <x:c r="E360" s="88" t="str">
        <x:v>3-2 종료</x:v>
      </x:c>
      <x:c r="F360" s="96" t="n">
        <x:v>681.076</x:v>
      </x:c>
      <x:c r="G360" s="89" t="str">
        <x:v>$2 최종 선택</x:v>
      </x:c>
      <x:c r="H360" s="89" t="n">
        <x:v>681.076</x:v>
      </x:c>
      <x:c r="I360" s="103" t="n">
        <x:v>669.5400000000001</x:v>
      </x:c>
      <x:c r="J360" s="89"/>
      <x:c r="K360" s="88" t="str">
        <x:v>단일/없음</x:v>
      </x:c>
      <x:c r="L360" s="88" t="str"/>
    </x:row>
    <x:row r="361">
      <x:c r="A361" s="88" t="n">
        <x:v>18</x:v>
      </x:c>
      <x:c r="B361" s="88" t="str">
        <x:v>S18_LJH</x:v>
      </x:c>
      <x:c r="C361" s="88" t="n">
        <x:v>22</x:v>
      </x:c>
      <x:c r="D361" s="88" t="str">
        <x:v>M09</x:v>
      </x:c>
      <x:c r="E361" s="88" t="str">
        <x:v>4-1 시작</x:v>
      </x:c>
      <x:c r="F361" s="96" t="n">
        <x:v>723.024</x:v>
      </x:c>
      <x:c r="G361" s="89" t="str">
        <x:v>$2 최종 선택</x:v>
      </x:c>
      <x:c r="H361" s="89" t="n">
        <x:v>723.024</x:v>
      </x:c>
      <x:c r="I361" s="103" t="n">
        <x:v>737.3000000000001</x:v>
      </x:c>
      <x:c r="J361" s="89"/>
      <x:c r="K361" s="88" t="str">
        <x:v>단일/없음</x:v>
      </x:c>
      <x:c r="L361" s="88" t="str"/>
    </x:row>
    <x:row r="362">
      <x:c r="A362" s="88" t="n">
        <x:v>18</x:v>
      </x:c>
      <x:c r="B362" s="88" t="str">
        <x:v>S18_LJH</x:v>
      </x:c>
      <x:c r="C362" s="88" t="n">
        <x:v>22</x:v>
      </x:c>
      <x:c r="D362" s="88" t="str">
        <x:v>M10</x:v>
      </x:c>
      <x:c r="E362" s="88" t="str">
        <x:v>4-1 종료</x:v>
      </x:c>
      <x:c r="F362" s="96" t="n">
        <x:v>737.3000000000001</x:v>
      </x:c>
      <x:c r="G362" s="89" t="str">
        <x:v>$2 최종 선택</x:v>
      </x:c>
      <x:c r="H362" s="89" t="n">
        <x:v>737.3000000000001</x:v>
      </x:c>
      <x:c r="I362" s="103" t="n">
        <x:v>746.856</x:v>
      </x:c>
      <x:c r="J362" s="103" t="n">
        <x:v>723.024</x:v>
      </x:c>
      <x:c r="K362" s="88" t="str">
        <x:v>단일/없음</x:v>
      </x:c>
      <x:c r="L362" s="88" t="str"/>
    </x:row>
    <x:row r="363">
      <x:c r="A363" s="88" t="n">
        <x:v>18</x:v>
      </x:c>
      <x:c r="B363" s="88" t="str">
        <x:v>S18_LJH</x:v>
      </x:c>
      <x:c r="C363" s="88" t="n">
        <x:v>22</x:v>
      </x:c>
      <x:c r="D363" s="88" t="str">
        <x:v>M11</x:v>
      </x:c>
      <x:c r="E363" s="88" t="str">
        <x:v>4-2 시작</x:v>
      </x:c>
      <x:c r="F363" s="96" t="n">
        <x:v>746.856</x:v>
      </x:c>
      <x:c r="G363" s="89" t="str">
        <x:v>$2 최종 선택</x:v>
      </x:c>
      <x:c r="H363" s="89" t="n">
        <x:v>746.856</x:v>
      </x:c>
      <x:c r="I363" s="103" t="n">
        <x:v>737.3000000000001</x:v>
      </x:c>
      <x:c r="J363" s="89"/>
      <x:c r="K363" s="88" t="str">
        <x:v>단일/없음</x:v>
      </x:c>
      <x:c r="L363" s="88" t="str"/>
    </x:row>
    <x:row r="364">
      <x:c r="A364" s="88" t="n">
        <x:v>18</x:v>
      </x:c>
      <x:c r="B364" s="88" t="str">
        <x:v>S18_LJH</x:v>
      </x:c>
      <x:c r="C364" s="88" t="n">
        <x:v>22</x:v>
      </x:c>
      <x:c r="D364" s="88" t="str">
        <x:v>M12</x:v>
      </x:c>
      <x:c r="E364" s="88" t="str">
        <x:v>4-2 종료</x:v>
      </x:c>
      <x:c r="F364" s="96" t="n">
        <x:v>792.1840000000001</x:v>
      </x:c>
      <x:c r="G364" s="89" t="str">
        <x:v>$2 최종 선택</x:v>
      </x:c>
      <x:c r="H364" s="89" t="n">
        <x:v>792.1840000000001</x:v>
      </x:c>
      <x:c r="I364" s="103" t="n">
        <x:v>802.32</x:v>
      </x:c>
      <x:c r="J364" s="89"/>
      <x:c r="K364" s="88" t="str">
        <x:v>단일/없음</x:v>
      </x:c>
      <x:c r="L364" s="88" t="str"/>
    </x:row>
    <x:row r="365">
      <x:c r="A365" s="88" t="n">
        <x:v>18</x:v>
      </x:c>
      <x:c r="B365" s="88" t="str">
        <x:v>S18_LJH</x:v>
      </x:c>
      <x:c r="C365" s="88" t="n">
        <x:v>22</x:v>
      </x:c>
      <x:c r="D365" s="88" t="str">
        <x:v>M13</x:v>
      </x:c>
      <x:c r="E365" s="88" t="str">
        <x:v>4-3 시작</x:v>
      </x:c>
      <x:c r="F365" s="96" t="n">
        <x:v>802.32</x:v>
      </x:c>
      <x:c r="G365" s="89" t="str">
        <x:v>$2 최종 선택</x:v>
      </x:c>
      <x:c r="H365" s="89" t="n">
        <x:v>802.32</x:v>
      </x:c>
      <x:c r="I365" s="103" t="n">
        <x:v>792.1840000000001</x:v>
      </x:c>
      <x:c r="J365" s="89"/>
      <x:c r="K365" s="88" t="str">
        <x:v>단일/없음</x:v>
      </x:c>
      <x:c r="L365" s="88" t="str"/>
    </x:row>
    <x:row r="366">
      <x:c r="A366" s="88" t="n">
        <x:v>18</x:v>
      </x:c>
      <x:c r="B366" s="88" t="str">
        <x:v>S18_LJH</x:v>
      </x:c>
      <x:c r="C366" s="88" t="n">
        <x:v>22</x:v>
      </x:c>
      <x:c r="D366" s="88" t="str">
        <x:v>M14</x:v>
      </x:c>
      <x:c r="E366" s="88" t="str">
        <x:v>4-3 종료</x:v>
      </x:c>
      <x:c r="F366" s="96" t="n">
        <x:v>848.24</x:v>
      </x:c>
      <x:c r="G366" s="89" t="str">
        <x:v>$2 최종 선택</x:v>
      </x:c>
      <x:c r="H366" s="89" t="n">
        <x:v>848.24</x:v>
      </x:c>
      <x:c r="I366" s="89"/>
      <x:c r="J366" s="89"/>
      <x:c r="K366" s="88" t="str">
        <x:v>단일/없음</x:v>
      </x:c>
      <x:c r="L366" s="88" t="str"/>
    </x:row>
    <x:row r="367">
      <x:c r="A367" s="88" t="n">
        <x:v>18</x:v>
      </x:c>
      <x:c r="B367" s="88" t="str">
        <x:v>S18_LJH</x:v>
      </x:c>
      <x:c r="C367" s="88" t="n">
        <x:v>22</x:v>
      </x:c>
      <x:c r="D367" s="88" t="str">
        <x:v>M15</x:v>
      </x:c>
      <x:c r="E367" s="88" t="str">
        <x:v>4-4 시작</x:v>
      </x:c>
      <x:c r="F367" s="96" t="n">
        <x:v>863.268</x:v>
      </x:c>
      <x:c r="G367" s="89" t="str">
        <x:v>$2 최종 선택</x:v>
      </x:c>
      <x:c r="H367" s="89" t="n">
        <x:v>863.268</x:v>
      </x:c>
      <x:c r="I367" s="103" t="n">
        <x:v>874.356</x:v>
      </x:c>
      <x:c r="J367" s="89"/>
      <x:c r="K367" s="88" t="str">
        <x:v>단일/없음</x:v>
      </x:c>
      <x:c r="L367" s="88" t="str"/>
    </x:row>
    <x:row r="368">
      <x:c r="A368" s="88" t="n">
        <x:v>18</x:v>
      </x:c>
      <x:c r="B368" s="88" t="str">
        <x:v>S18_LJH</x:v>
      </x:c>
      <x:c r="C368" s="88" t="n">
        <x:v>22</x:v>
      </x:c>
      <x:c r="D368" s="88" t="str">
        <x:v>M16</x:v>
      </x:c>
      <x:c r="E368" s="88" t="str">
        <x:v>4-4 종료</x:v>
      </x:c>
      <x:c r="F368" s="96" t="n">
        <x:v>874.356</x:v>
      </x:c>
      <x:c r="G368" s="89" t="str">
        <x:v>$2 최종 선택</x:v>
      </x:c>
      <x:c r="H368" s="89" t="n">
        <x:v>874.356</x:v>
      </x:c>
      <x:c r="I368" s="103" t="n">
        <x:v>863.268</x:v>
      </x:c>
      <x:c r="J368" s="89"/>
      <x:c r="K368" s="88" t="str">
        <x:v>단일/없음</x:v>
      </x:c>
      <x:c r="L368" s="88" t="str"/>
    </x:row>
    <x:row r="369">
      <x:c r="A369" s="88" t="n">
        <x:v>18</x:v>
      </x:c>
      <x:c r="B369" s="88" t="str">
        <x:v>S18_LJH</x:v>
      </x:c>
      <x:c r="C369" s="88" t="n">
        <x:v>22</x:v>
      </x:c>
      <x:c r="D369" s="88" t="str">
        <x:v>M17</x:v>
      </x:c>
      <x:c r="E369" s="88" t="str">
        <x:v>5 시작</x:v>
      </x:c>
      <x:c r="F369" s="96" t="n">
        <x:v>901.676</x:v>
      </x:c>
      <x:c r="G369" s="89" t="str">
        <x:v>$2 최종 선택</x:v>
      </x:c>
      <x:c r="H369" s="89" t="n">
        <x:v>901.676</x:v>
      </x:c>
      <x:c r="I369" s="89"/>
      <x:c r="J369" s="89"/>
      <x:c r="K369" s="88" t="str">
        <x:v>단일/없음</x:v>
      </x:c>
      <x:c r="L369" s="88" t="str"/>
    </x:row>
    <x:row r="370">
      <x:c r="A370" s="88" t="n">
        <x:v>18</x:v>
      </x:c>
      <x:c r="B370" s="88" t="str">
        <x:v>S18_LJH</x:v>
      </x:c>
      <x:c r="C370" s="88" t="n">
        <x:v>22</x:v>
      </x:c>
      <x:c r="D370" s="88" t="str">
        <x:v>M18</x:v>
      </x:c>
      <x:c r="E370" s="88" t="str">
        <x:v>5 종료</x:v>
      </x:c>
      <x:c r="F370" s="96" t="n">
        <x:v>1085.964</x:v>
      </x:c>
      <x:c r="G370" s="89" t="str">
        <x:v>$2 최종 선택</x:v>
      </x:c>
      <x:c r="H370" s="89" t="n">
        <x:v>1085.964</x:v>
      </x:c>
      <x:c r="I370" s="89"/>
      <x:c r="J370" s="89"/>
      <x:c r="K370" s="88" t="str">
        <x:v>단일/없음</x:v>
      </x:c>
      <x:c r="L370" s="88" t="str"/>
    </x:row>
    <x:row r="371">
      <x:c r="A371" s="88" t="n">
        <x:v>18</x:v>
      </x:c>
      <x:c r="B371" s="88" t="str">
        <x:v>S18_LJH</x:v>
      </x:c>
      <x:c r="C371" s="88" t="n">
        <x:v>22</x:v>
      </x:c>
      <x:c r="D371" s="88" t="str">
        <x:v>M19</x:v>
      </x:c>
      <x:c r="E371" s="88" t="str">
        <x:v>6 시작</x:v>
      </x:c>
      <x:c r="F371" s="96" t="n">
        <x:v>1103.384</x:v>
      </x:c>
      <x:c r="G371" s="89" t="str">
        <x:v>$2 최종 선택</x:v>
      </x:c>
      <x:c r="H371" s="89" t="n">
        <x:v>1103.384</x:v>
      </x:c>
      <x:c r="I371" s="89"/>
      <x:c r="J371" s="89"/>
      <x:c r="K371" s="88" t="str">
        <x:v>단일/없음</x:v>
      </x:c>
      <x:c r="L371" s="88" t="str"/>
    </x:row>
    <x:row r="372">
      <x:c r="A372" s="88" t="n">
        <x:v>18</x:v>
      </x:c>
      <x:c r="B372" s="88" t="str">
        <x:v>S18_LJH</x:v>
      </x:c>
      <x:c r="C372" s="88" t="n">
        <x:v>22</x:v>
      </x:c>
      <x:c r="D372" s="88" t="str">
        <x:v>M20</x:v>
      </x:c>
      <x:c r="E372" s="88" t="str">
        <x:v>6 종료</x:v>
      </x:c>
      <x:c r="F372" s="96" t="n">
        <x:v>1127.688</x:v>
      </x:c>
      <x:c r="G372" s="89" t="str">
        <x:v>$2 최종 선택</x:v>
      </x:c>
      <x:c r="H372" s="89" t="n">
        <x:v>1127.688</x:v>
      </x:c>
      <x:c r="I372" s="103" t="n">
        <x:v>1139.876</x:v>
      </x:c>
      <x:c r="J372" s="89"/>
      <x:c r="K372" s="88" t="str">
        <x:v>단일/없음</x:v>
      </x:c>
      <x:c r="L372" s="88" t="str"/>
    </x:row>
    <x:row r="373">
      <x:c r="A373" s="88" t="n">
        <x:v>18</x:v>
      </x:c>
      <x:c r="B373" s="88" t="str">
        <x:v>S18_LJH</x:v>
      </x:c>
      <x:c r="C373" s="88" t="n">
        <x:v>22</x:v>
      </x:c>
      <x:c r="D373" s="88" t="str">
        <x:v>M21</x:v>
      </x:c>
      <x:c r="E373" s="88" t="str">
        <x:v>7 시작</x:v>
      </x:c>
      <x:c r="F373" s="96" t="n">
        <x:v>1139.876</x:v>
      </x:c>
      <x:c r="G373" s="89" t="str">
        <x:v>$2 최종 선택</x:v>
      </x:c>
      <x:c r="H373" s="89" t="n">
        <x:v>1139.876</x:v>
      </x:c>
      <x:c r="I373" s="103" t="n">
        <x:v>1151.364</x:v>
      </x:c>
      <x:c r="J373" s="103" t="n">
        <x:v>1127.688</x:v>
      </x:c>
      <x:c r="K373" s="88" t="str">
        <x:v>단일/없음</x:v>
      </x:c>
      <x:c r="L373" s="88" t="str"/>
    </x:row>
    <x:row r="374">
      <x:c r="A374" s="88" t="n">
        <x:v>18</x:v>
      </x:c>
      <x:c r="B374" s="88" t="str">
        <x:v>S18_LJH</x:v>
      </x:c>
      <x:c r="C374" s="88" t="n">
        <x:v>22</x:v>
      </x:c>
      <x:c r="D374" s="88" t="str">
        <x:v>M22</x:v>
      </x:c>
      <x:c r="E374" s="88" t="str">
        <x:v>7 종료</x:v>
      </x:c>
      <x:c r="F374" s="96" t="n">
        <x:v>1151.364</x:v>
      </x:c>
      <x:c r="G374" s="89" t="str">
        <x:v>$2 최종 선택</x:v>
      </x:c>
      <x:c r="H374" s="89" t="n">
        <x:v>1151.364</x:v>
      </x:c>
      <x:c r="I374" s="103" t="n">
        <x:v>1139.876</x:v>
      </x:c>
      <x:c r="J374" s="89"/>
      <x:c r="K374" s="88" t="str">
        <x:v>단일/없음</x:v>
      </x:c>
      <x:c r="L374" s="88" t="str"/>
    </x:row>
    <x:row r="375">
      <x:c r="A375" s="88" t="n">
        <x:v>19</x:v>
      </x:c>
      <x:c r="B375" s="88" t="str">
        <x:v>S19_CHW</x:v>
      </x:c>
      <x:c r="C375" s="88" t="n">
        <x:v>22</x:v>
      </x:c>
      <x:c r="D375" s="88" t="str">
        <x:v>M01</x:v>
      </x:c>
      <x:c r="E375" s="88" t="str">
        <x:v>1 시작</x:v>
      </x:c>
      <x:c r="F375" s="96" t="n">
        <x:v>19.82800000000003</x:v>
      </x:c>
      <x:c r="G375" s="89" t="str">
        <x:v>$2 최종 선택</x:v>
      </x:c>
      <x:c r="H375" s="89" t="n">
        <x:v>19.82800000000003</x:v>
      </x:c>
      <x:c r="I375" s="89"/>
      <x:c r="J375" s="89"/>
      <x:c r="K375" s="88" t="str">
        <x:v>단일/없음</x:v>
      </x:c>
      <x:c r="L375" s="88" t="str"/>
    </x:row>
    <x:row r="376">
      <x:c r="A376" s="88" t="n">
        <x:v>19</x:v>
      </x:c>
      <x:c r="B376" s="88" t="str">
        <x:v>S19_CHW</x:v>
      </x:c>
      <x:c r="C376" s="88" t="n">
        <x:v>22</x:v>
      </x:c>
      <x:c r="D376" s="88" t="str">
        <x:v>M02</x:v>
      </x:c>
      <x:c r="E376" s="88" t="str">
        <x:v>1 종료</x:v>
      </x:c>
      <x:c r="F376" s="96" t="n">
        <x:v>215.90000000000003</x:v>
      </x:c>
      <x:c r="G376" s="89" t="str">
        <x:v>$2 최종 선택</x:v>
      </x:c>
      <x:c r="H376" s="89" t="n">
        <x:v>215.90000000000003</x:v>
      </x:c>
      <x:c r="I376" s="89"/>
      <x:c r="J376" s="89"/>
      <x:c r="K376" s="88" t="str">
        <x:v>단일/없음</x:v>
      </x:c>
      <x:c r="L376" s="88" t="str"/>
    </x:row>
    <x:row r="377">
      <x:c r="A377" s="88" t="n">
        <x:v>19</x:v>
      </x:c>
      <x:c r="B377" s="88" t="str">
        <x:v>S19_CHW</x:v>
      </x:c>
      <x:c r="C377" s="88" t="n">
        <x:v>22</x:v>
      </x:c>
      <x:c r="D377" s="88" t="str">
        <x:v>M03</x:v>
      </x:c>
      <x:c r="E377" s="88" t="str">
        <x:v>2 시작</x:v>
      </x:c>
      <x:c r="F377" s="96" t="n">
        <x:v>272.07200000000006</x:v>
      </x:c>
      <x:c r="G377" s="89" t="str">
        <x:v>$2 최종 선택</x:v>
      </x:c>
      <x:c r="H377" s="89" t="n">
        <x:v>272.07200000000006</x:v>
      </x:c>
      <x:c r="I377" s="89"/>
      <x:c r="J377" s="89"/>
      <x:c r="K377" s="88" t="str">
        <x:v>단일/없음</x:v>
      </x:c>
      <x:c r="L377" s="88" t="str"/>
    </x:row>
    <x:row r="378">
      <x:c r="A378" s="88" t="n">
        <x:v>19</x:v>
      </x:c>
      <x:c r="B378" s="88" t="str">
        <x:v>S19_CHW</x:v>
      </x:c>
      <x:c r="C378" s="88" t="n">
        <x:v>22</x:v>
      </x:c>
      <x:c r="D378" s="88" t="str">
        <x:v>M04</x:v>
      </x:c>
      <x:c r="E378" s="88" t="str">
        <x:v>2 종료</x:v>
      </x:c>
      <x:c r="F378" s="96" t="n">
        <x:v>662.052</x:v>
      </x:c>
      <x:c r="G378" s="89" t="str">
        <x:v>$2 최종 선택</x:v>
      </x:c>
      <x:c r="H378" s="89" t="n">
        <x:v>662.052</x:v>
      </x:c>
      <x:c r="I378" s="103" t="n">
        <x:v>647.472</x:v>
      </x:c>
      <x:c r="J378" s="89"/>
      <x:c r="K378" s="88" t="str">
        <x:v>단일/없음</x:v>
      </x:c>
      <x:c r="L378" s="88" t="str"/>
    </x:row>
    <x:row r="379">
      <x:c r="A379" s="88" t="n">
        <x:v>19</x:v>
      </x:c>
      <x:c r="B379" s="88" t="str">
        <x:v>S19_CHW</x:v>
      </x:c>
      <x:c r="C379" s="88" t="n">
        <x:v>22</x:v>
      </x:c>
      <x:c r="D379" s="88" t="str">
        <x:v>M05</x:v>
      </x:c>
      <x:c r="E379" s="88" t="str">
        <x:v>3-1 시작</x:v>
      </x:c>
      <x:c r="F379" s="96" t="n">
        <x:v>763.568</x:v>
      </x:c>
      <x:c r="G379" s="89" t="str">
        <x:v>$2 최종 선택</x:v>
      </x:c>
      <x:c r="H379" s="89" t="n">
        <x:v>763.568</x:v>
      </x:c>
      <x:c r="I379" s="89"/>
      <x:c r="J379" s="89"/>
      <x:c r="K379" s="88" t="str">
        <x:v>단일/없음</x:v>
      </x:c>
      <x:c r="L379" s="88" t="str"/>
    </x:row>
    <x:row r="380">
      <x:c r="A380" s="88" t="n">
        <x:v>19</x:v>
      </x:c>
      <x:c r="B380" s="88" t="str">
        <x:v>S19_CHW</x:v>
      </x:c>
      <x:c r="C380" s="88" t="n">
        <x:v>22</x:v>
      </x:c>
      <x:c r="D380" s="88" t="str">
        <x:v>M06</x:v>
      </x:c>
      <x:c r="E380" s="88" t="str">
        <x:v>3-1 종료</x:v>
      </x:c>
      <x:c r="F380" s="96" t="n">
        <x:v>783.864</x:v>
      </x:c>
      <x:c r="G380" s="89" t="str">
        <x:v>$2 최종 선택</x:v>
      </x:c>
      <x:c r="H380" s="89" t="n">
        <x:v>783.8639999999999</x:v>
      </x:c>
      <x:c r="I380" s="89"/>
      <x:c r="J380" s="89"/>
      <x:c r="K380" s="88" t="str">
        <x:v>단일/없음</x:v>
      </x:c>
      <x:c r="L380" s="88" t="str"/>
    </x:row>
    <x:row r="381">
      <x:c r="A381" s="88" t="n">
        <x:v>19</x:v>
      </x:c>
      <x:c r="B381" s="88" t="str">
        <x:v>S19_CHW</x:v>
      </x:c>
      <x:c r="C381" s="88" t="n">
        <x:v>22</x:v>
      </x:c>
      <x:c r="D381" s="88" t="str">
        <x:v>M07</x:v>
      </x:c>
      <x:c r="E381" s="88" t="str">
        <x:v>3-2 시작</x:v>
      </x:c>
      <x:c r="F381" s="96" t="n">
        <x:v>799.476</x:v>
      </x:c>
      <x:c r="G381" s="89" t="str">
        <x:v>$2 최종 선택</x:v>
      </x:c>
      <x:c r="H381" s="89" t="n">
        <x:v>799.476</x:v>
      </x:c>
      <x:c r="I381" s="89"/>
      <x:c r="J381" s="89"/>
      <x:c r="K381" s="88" t="str">
        <x:v>단일/없음</x:v>
      </x:c>
      <x:c r="L381" s="88" t="str"/>
    </x:row>
    <x:row r="382">
      <x:c r="A382" s="88" t="n">
        <x:v>19</x:v>
      </x:c>
      <x:c r="B382" s="88" t="str">
        <x:v>S19_CHW</x:v>
      </x:c>
      <x:c r="C382" s="88" t="n">
        <x:v>22</x:v>
      </x:c>
      <x:c r="D382" s="88" t="str">
        <x:v>M08</x:v>
      </x:c>
      <x:c r="E382" s="88" t="str">
        <x:v>3-2 종료</x:v>
      </x:c>
      <x:c r="F382" s="96" t="n">
        <x:v>816.428</x:v>
      </x:c>
      <x:c r="G382" s="89" t="str">
        <x:v>$2 최종 선택</x:v>
      </x:c>
      <x:c r="H382" s="89" t="n">
        <x:v>816.428</x:v>
      </x:c>
      <x:c r="I382" s="89"/>
      <x:c r="J382" s="89"/>
      <x:c r="K382" s="88" t="str">
        <x:v>단일/없음</x:v>
      </x:c>
      <x:c r="L382" s="88" t="str"/>
    </x:row>
    <x:row r="383">
      <x:c r="A383" s="88" t="n">
        <x:v>19</x:v>
      </x:c>
      <x:c r="B383" s="88" t="str">
        <x:v>S19_CHW</x:v>
      </x:c>
      <x:c r="C383" s="88" t="n">
        <x:v>22</x:v>
      </x:c>
      <x:c r="D383" s="88" t="str">
        <x:v>M09</x:v>
      </x:c>
      <x:c r="E383" s="88" t="str">
        <x:v>4-1 시작</x:v>
      </x:c>
      <x:c r="F383" s="96" t="n">
        <x:v>926.766</x:v>
      </x:c>
      <x:c r="G383" s="89" t="str">
        <x:v>$2 최종 선택</x:v>
      </x:c>
      <x:c r="H383" s="89" t="n">
        <x:v>926.766</x:v>
      </x:c>
      <x:c r="I383" s="89"/>
      <x:c r="J383" s="89"/>
      <x:c r="K383" s="88" t="str">
        <x:v>단일/없음</x:v>
      </x:c>
      <x:c r="L383" s="88" t="str"/>
    </x:row>
    <x:row r="384">
      <x:c r="A384" s="88" t="n">
        <x:v>19</x:v>
      </x:c>
      <x:c r="B384" s="88" t="str">
        <x:v>S19_CHW</x:v>
      </x:c>
      <x:c r="C384" s="88" t="n">
        <x:v>22</x:v>
      </x:c>
      <x:c r="D384" s="88" t="str">
        <x:v>M10</x:v>
      </x:c>
      <x:c r="E384" s="88" t="str">
        <x:v>4-1 종료</x:v>
      </x:c>
      <x:c r="F384" s="96" t="n">
        <x:v>954.068</x:v>
      </x:c>
      <x:c r="G384" s="89" t="str">
        <x:v>$2 최종 선택</x:v>
      </x:c>
      <x:c r="H384" s="89" t="n">
        <x:v>954.068</x:v>
      </x:c>
      <x:c r="I384" s="103" t="n">
        <x:v>962.232</x:v>
      </x:c>
      <x:c r="J384" s="103" t="n">
        <x:v>944.12</x:v>
      </x:c>
      <x:c r="K384" s="88" t="str">
        <x:v>단일/없음</x:v>
      </x:c>
      <x:c r="L384" s="88" t="str"/>
    </x:row>
    <x:row r="385">
      <x:c r="A385" s="88" t="n">
        <x:v>19</x:v>
      </x:c>
      <x:c r="B385" s="88" t="str">
        <x:v>S19_CHW</x:v>
      </x:c>
      <x:c r="C385" s="88" t="n">
        <x:v>22</x:v>
      </x:c>
      <x:c r="D385" s="88" t="str">
        <x:v>M11</x:v>
      </x:c>
      <x:c r="E385" s="88" t="str">
        <x:v>4-2 시작</x:v>
      </x:c>
      <x:c r="F385" s="96" t="n">
        <x:v>962.232</x:v>
      </x:c>
      <x:c r="G385" s="89" t="str">
        <x:v>$2 최종 선택</x:v>
      </x:c>
      <x:c r="H385" s="89" t="n">
        <x:v>962.232</x:v>
      </x:c>
      <x:c r="I385" s="103" t="n">
        <x:v>954.068</x:v>
      </x:c>
      <x:c r="J385" s="89"/>
      <x:c r="K385" s="88" t="str">
        <x:v>단일/없음</x:v>
      </x:c>
      <x:c r="L385" s="88" t="str"/>
    </x:row>
    <x:row r="386">
      <x:c r="A386" s="88" t="n">
        <x:v>19</x:v>
      </x:c>
      <x:c r="B386" s="88" t="str">
        <x:v>S19_CHW</x:v>
      </x:c>
      <x:c r="C386" s="88" t="n">
        <x:v>22</x:v>
      </x:c>
      <x:c r="D386" s="88" t="str">
        <x:v>M12</x:v>
      </x:c>
      <x:c r="E386" s="88" t="str">
        <x:v>4-2 종료</x:v>
      </x:c>
      <x:c r="F386" s="96" t="n">
        <x:v>1009.592</x:v>
      </x:c>
      <x:c r="G386" s="89" t="str">
        <x:v>$2 최종 선택</x:v>
      </x:c>
      <x:c r="H386" s="89" t="n">
        <x:v>1009.592</x:v>
      </x:c>
      <x:c r="I386" s="103" t="n">
        <x:v>1024.328</x:v>
      </x:c>
      <x:c r="J386" s="89"/>
      <x:c r="K386" s="88" t="str">
        <x:v>단일/없음</x:v>
      </x:c>
      <x:c r="L386" s="88" t="str"/>
    </x:row>
    <x:row r="387">
      <x:c r="A387" s="88" t="n">
        <x:v>19</x:v>
      </x:c>
      <x:c r="B387" s="88" t="str">
        <x:v>S19_CHW</x:v>
      </x:c>
      <x:c r="C387" s="88" t="n">
        <x:v>22</x:v>
      </x:c>
      <x:c r="D387" s="88" t="str">
        <x:v>M13</x:v>
      </x:c>
      <x:c r="E387" s="88" t="str">
        <x:v>4-3 시작</x:v>
      </x:c>
      <x:c r="F387" s="96" t="n">
        <x:v>1024.328</x:v>
      </x:c>
      <x:c r="G387" s="89" t="str">
        <x:v>$2 최종 선택</x:v>
      </x:c>
      <x:c r="H387" s="89" t="n">
        <x:v>1024.328</x:v>
      </x:c>
      <x:c r="I387" s="103" t="n">
        <x:v>1009.592</x:v>
      </x:c>
      <x:c r="J387" s="89"/>
      <x:c r="K387" s="88" t="str">
        <x:v>단일/없음</x:v>
      </x:c>
      <x:c r="L387" s="88" t="str"/>
    </x:row>
    <x:row r="388">
      <x:c r="A388" s="88" t="n">
        <x:v>19</x:v>
      </x:c>
      <x:c r="B388" s="88" t="str">
        <x:v>S19_CHW</x:v>
      </x:c>
      <x:c r="C388" s="88" t="n">
        <x:v>22</x:v>
      </x:c>
      <x:c r="D388" s="88" t="str">
        <x:v>M14</x:v>
      </x:c>
      <x:c r="E388" s="88" t="str">
        <x:v>4-3 종료</x:v>
      </x:c>
      <x:c r="F388" s="96" t="n">
        <x:v>1076.0880000000002</x:v>
      </x:c>
      <x:c r="G388" s="89" t="str">
        <x:v>$2 최종 선택</x:v>
      </x:c>
      <x:c r="H388" s="89" t="n">
        <x:v>1076.0880000000002</x:v>
      </x:c>
      <x:c r="I388" s="89"/>
      <x:c r="J388" s="89"/>
      <x:c r="K388" s="88" t="str">
        <x:v>단일/없음</x:v>
      </x:c>
      <x:c r="L388" s="88" t="str"/>
    </x:row>
    <x:row r="389">
      <x:c r="A389" s="88" t="n">
        <x:v>19</x:v>
      </x:c>
      <x:c r="B389" s="88" t="str">
        <x:v>S19_CHW</x:v>
      </x:c>
      <x:c r="C389" s="88" t="n">
        <x:v>22</x:v>
      </x:c>
      <x:c r="D389" s="88" t="str">
        <x:v>M15</x:v>
      </x:c>
      <x:c r="E389" s="88" t="str">
        <x:v>4-4 시작</x:v>
      </x:c>
      <x:c r="F389" s="96" t="n">
        <x:v>1096.346</x:v>
      </x:c>
      <x:c r="G389" s="89" t="str">
        <x:v>$2 최종 선택</x:v>
      </x:c>
      <x:c r="H389" s="89" t="n">
        <x:v>1096.346</x:v>
      </x:c>
      <x:c r="I389" s="103" t="n">
        <x:v>1106.604</x:v>
      </x:c>
      <x:c r="J389" s="89"/>
      <x:c r="K389" s="88" t="str">
        <x:v>단일/없음</x:v>
      </x:c>
      <x:c r="L389" s="88" t="str"/>
    </x:row>
    <x:row r="390">
      <x:c r="A390" s="88" t="n">
        <x:v>19</x:v>
      </x:c>
      <x:c r="B390" s="88" t="str">
        <x:v>S19_CHW</x:v>
      </x:c>
      <x:c r="C390" s="88" t="n">
        <x:v>22</x:v>
      </x:c>
      <x:c r="D390" s="88" t="str">
        <x:v>M16</x:v>
      </x:c>
      <x:c r="E390" s="88" t="str">
        <x:v>4-4 종료</x:v>
      </x:c>
      <x:c r="F390" s="96" t="n">
        <x:v>1106.604</x:v>
      </x:c>
      <x:c r="G390" s="89" t="str">
        <x:v>$2 최종 선택</x:v>
      </x:c>
      <x:c r="H390" s="89" t="n">
        <x:v>1106.604</x:v>
      </x:c>
      <x:c r="I390" s="103" t="n">
        <x:v>1096.346</x:v>
      </x:c>
      <x:c r="J390" s="89"/>
      <x:c r="K390" s="88" t="str">
        <x:v>단일/없음</x:v>
      </x:c>
      <x:c r="L390" s="88" t="str"/>
    </x:row>
    <x:row r="391">
      <x:c r="A391" s="88" t="n">
        <x:v>19</x:v>
      </x:c>
      <x:c r="B391" s="88" t="str">
        <x:v>S19_CHW</x:v>
      </x:c>
      <x:c r="C391" s="88" t="n">
        <x:v>22</x:v>
      </x:c>
      <x:c r="D391" s="88" t="str">
        <x:v>M17</x:v>
      </x:c>
      <x:c r="E391" s="88" t="str">
        <x:v>5 시작</x:v>
      </x:c>
      <x:c r="F391" s="96" t="n">
        <x:v>1188.496</x:v>
      </x:c>
      <x:c r="G391" s="89" t="str">
        <x:v>$2 최종 선택</x:v>
      </x:c>
      <x:c r="H391" s="89" t="n">
        <x:v>1188.496</x:v>
      </x:c>
      <x:c r="I391" s="89"/>
      <x:c r="J391" s="89"/>
      <x:c r="K391" s="88" t="str">
        <x:v>단일/없음</x:v>
      </x:c>
      <x:c r="L391" s="88" t="str"/>
    </x:row>
    <x:row r="392">
      <x:c r="A392" s="88" t="n">
        <x:v>19</x:v>
      </x:c>
      <x:c r="B392" s="88" t="str">
        <x:v>S19_CHW</x:v>
      </x:c>
      <x:c r="C392" s="88" t="n">
        <x:v>22</x:v>
      </x:c>
      <x:c r="D392" s="88" t="str">
        <x:v>M18</x:v>
      </x:c>
      <x:c r="E392" s="88" t="str">
        <x:v>5 종료</x:v>
      </x:c>
      <x:c r="F392" s="96" t="n">
        <x:v>1372.364</x:v>
      </x:c>
      <x:c r="G392" s="89" t="str">
        <x:v>$2 최종 선택</x:v>
      </x:c>
      <x:c r="H392" s="89" t="n">
        <x:v>1372.364</x:v>
      </x:c>
      <x:c r="I392" s="89"/>
      <x:c r="J392" s="89"/>
      <x:c r="K392" s="88" t="str">
        <x:v>단일/없음</x:v>
      </x:c>
      <x:c r="L392" s="88" t="str"/>
    </x:row>
    <x:row r="393">
      <x:c r="A393" s="88" t="n">
        <x:v>19</x:v>
      </x:c>
      <x:c r="B393" s="88" t="str">
        <x:v>S19_CHW</x:v>
      </x:c>
      <x:c r="C393" s="88" t="n">
        <x:v>22</x:v>
      </x:c>
      <x:c r="D393" s="88" t="str">
        <x:v>M19</x:v>
      </x:c>
      <x:c r="E393" s="88" t="str">
        <x:v>6 시작</x:v>
      </x:c>
      <x:c r="F393" s="96" t="n">
        <x:v>1429.692</x:v>
      </x:c>
      <x:c r="G393" s="89" t="str">
        <x:v>$2 최종 선택</x:v>
      </x:c>
      <x:c r="H393" s="89" t="n">
        <x:v>1429.6920000000002</x:v>
      </x:c>
      <x:c r="I393" s="89"/>
      <x:c r="J393" s="89"/>
      <x:c r="K393" s="88" t="str">
        <x:v>단일/없음</x:v>
      </x:c>
      <x:c r="L393" s="88" t="str"/>
    </x:row>
    <x:row r="394">
      <x:c r="A394" s="88" t="n">
        <x:v>19</x:v>
      </x:c>
      <x:c r="B394" s="88" t="str">
        <x:v>S19_CHW</x:v>
      </x:c>
      <x:c r="C394" s="88" t="n">
        <x:v>22</x:v>
      </x:c>
      <x:c r="D394" s="88" t="str">
        <x:v>M20</x:v>
      </x:c>
      <x:c r="E394" s="88" t="str">
        <x:v>6 종료</x:v>
      </x:c>
      <x:c r="F394" s="96" t="n">
        <x:v>1454.9060000000002</x:v>
      </x:c>
      <x:c r="G394" s="89" t="str">
        <x:v>$2 최종 선택</x:v>
      </x:c>
      <x:c r="H394" s="89" t="n">
        <x:v>1454.906</x:v>
      </x:c>
      <x:c r="I394" s="89"/>
      <x:c r="J394" s="89"/>
      <x:c r="K394" s="88" t="str">
        <x:v>단일/없음</x:v>
      </x:c>
      <x:c r="L394" s="88" t="str"/>
    </x:row>
    <x:row r="395">
      <x:c r="A395" s="88" t="n">
        <x:v>19</x:v>
      </x:c>
      <x:c r="B395" s="88" t="str">
        <x:v>S19_CHW</x:v>
      </x:c>
      <x:c r="C395" s="88" t="n">
        <x:v>22</x:v>
      </x:c>
      <x:c r="D395" s="88" t="str">
        <x:v>M21</x:v>
      </x:c>
      <x:c r="E395" s="88" t="str">
        <x:v>7 시작</x:v>
      </x:c>
      <x:c r="F395" s="96" t="n">
        <x:v>1485.52</x:v>
      </x:c>
      <x:c r="G395" s="89" t="str">
        <x:v>$2 최종 선택</x:v>
      </x:c>
      <x:c r="H395" s="89" t="n">
        <x:v>1485.52</x:v>
      </x:c>
      <x:c r="I395" s="89"/>
      <x:c r="J395" s="89"/>
      <x:c r="K395" s="88" t="str">
        <x:v>단일/없음</x:v>
      </x:c>
      <x:c r="L395" s="88" t="str"/>
    </x:row>
    <x:row r="396">
      <x:c r="A396" s="88" t="n">
        <x:v>19</x:v>
      </x:c>
      <x:c r="B396" s="88" t="str">
        <x:v>S19_CHW</x:v>
      </x:c>
      <x:c r="C396" s="88" t="n">
        <x:v>22</x:v>
      </x:c>
      <x:c r="D396" s="88" t="str">
        <x:v>M22</x:v>
      </x:c>
      <x:c r="E396" s="88" t="str">
        <x:v>7 종료</x:v>
      </x:c>
      <x:c r="F396" s="96" t="n">
        <x:v>1507.4640000000002</x:v>
      </x:c>
      <x:c r="G396" s="89" t="str">
        <x:v>$2 최종 선택</x:v>
      </x:c>
      <x:c r="H396" s="89" t="n">
        <x:v>1507.4640000000002</x:v>
      </x:c>
      <x:c r="I396" s="89"/>
      <x:c r="J396" s="89"/>
      <x:c r="K396" s="88" t="str">
        <x:v>단일/없음</x:v>
      </x:c>
      <x:c r="L396" s="88" t="str"/>
    </x:row>
    <x:row r="397">
      <x:c r="A397" s="88" t="n">
        <x:v>20</x:v>
      </x:c>
      <x:c r="B397" s="88" t="str">
        <x:v>S20_YSE</x:v>
      </x:c>
      <x:c r="C397" s="88" t="n">
        <x:v>22</x:v>
      </x:c>
      <x:c r="D397" s="88" t="str">
        <x:v>M01</x:v>
      </x:c>
      <x:c r="E397" s="88" t="str">
        <x:v>1 시작</x:v>
      </x:c>
      <x:c r="F397" s="96" t="n">
        <x:v>11.204000000000049</x:v>
      </x:c>
      <x:c r="G397" s="89" t="str">
        <x:v>$2 최종 선택</x:v>
      </x:c>
      <x:c r="H397" s="89" t="n">
        <x:v>11.204000000000049</x:v>
      </x:c>
      <x:c r="I397" s="89"/>
      <x:c r="J397" s="89"/>
      <x:c r="K397" s="88" t="str">
        <x:v>단일/없음</x:v>
      </x:c>
      <x:c r="L397" s="88" t="str"/>
    </x:row>
    <x:row r="398">
      <x:c r="A398" s="88" t="n">
        <x:v>20</x:v>
      </x:c>
      <x:c r="B398" s="88" t="str">
        <x:v>S20_YSE</x:v>
      </x:c>
      <x:c r="C398" s="88" t="n">
        <x:v>22</x:v>
      </x:c>
      <x:c r="D398" s="88" t="str">
        <x:v>M02</x:v>
      </x:c>
      <x:c r="E398" s="88" t="str">
        <x:v>1 종료</x:v>
      </x:c>
      <x:c r="F398" s="96" t="n">
        <x:v>207.54800000000006</x:v>
      </x:c>
      <x:c r="G398" s="89" t="str">
        <x:v>$2 최종 선택</x:v>
      </x:c>
      <x:c r="H398" s="89" t="n">
        <x:v>207.54800000000006</x:v>
      </x:c>
      <x:c r="I398" s="89"/>
      <x:c r="J398" s="89"/>
      <x:c r="K398" s="88" t="str">
        <x:v>단일/없음</x:v>
      </x:c>
      <x:c r="L398" s="88" t="str"/>
    </x:row>
    <x:row r="399">
      <x:c r="A399" s="88" t="n">
        <x:v>20</x:v>
      </x:c>
      <x:c r="B399" s="88" t="str">
        <x:v>S20_YSE</x:v>
      </x:c>
      <x:c r="C399" s="88" t="n">
        <x:v>22</x:v>
      </x:c>
      <x:c r="D399" s="88" t="str">
        <x:v>M03</x:v>
      </x:c>
      <x:c r="E399" s="88" t="str">
        <x:v>2 시작</x:v>
      </x:c>
      <x:c r="F399" s="96" t="n">
        <x:v>229.71200000000005</x:v>
      </x:c>
      <x:c r="G399" s="89" t="str">
        <x:v>$2 최종 선택</x:v>
      </x:c>
      <x:c r="H399" s="89" t="n">
        <x:v>229.71200000000005</x:v>
      </x:c>
      <x:c r="I399" s="89"/>
      <x:c r="J399" s="89"/>
      <x:c r="K399" s="88" t="str">
        <x:v>단일/없음</x:v>
      </x:c>
      <x:c r="L399" s="88" t="str"/>
    </x:row>
    <x:row r="400">
      <x:c r="A400" s="88" t="n">
        <x:v>20</x:v>
      </x:c>
      <x:c r="B400" s="88" t="str">
        <x:v>S20_YSE</x:v>
      </x:c>
      <x:c r="C400" s="88" t="n">
        <x:v>22</x:v>
      </x:c>
      <x:c r="D400" s="88" t="str">
        <x:v>M04</x:v>
      </x:c>
      <x:c r="E400" s="88" t="str">
        <x:v>2 종료</x:v>
      </x:c>
      <x:c r="F400" s="96" t="n">
        <x:v>600.7440000000001</x:v>
      </x:c>
      <x:c r="G400" s="89" t="str">
        <x:v>$2 최종 선택</x:v>
      </x:c>
      <x:c r="H400" s="89" t="n">
        <x:v>600.7440000000001</x:v>
      </x:c>
      <x:c r="I400" s="89"/>
      <x:c r="J400" s="89"/>
      <x:c r="K400" s="88" t="str">
        <x:v>단일/없음</x:v>
      </x:c>
      <x:c r="L400" s="88" t="str"/>
    </x:row>
    <x:row r="401">
      <x:c r="A401" s="88" t="n">
        <x:v>20</x:v>
      </x:c>
      <x:c r="B401" s="88" t="str">
        <x:v>S20_YSE</x:v>
      </x:c>
      <x:c r="C401" s="88" t="n">
        <x:v>22</x:v>
      </x:c>
      <x:c r="D401" s="88" t="str">
        <x:v>M05</x:v>
      </x:c>
      <x:c r="E401" s="88" t="str">
        <x:v>3-1 시작</x:v>
      </x:c>
      <x:c r="F401" s="96" t="n">
        <x:v>648.9960000000001</x:v>
      </x:c>
      <x:c r="G401" s="89" t="str">
        <x:v>$2 최종 선택</x:v>
      </x:c>
      <x:c r="H401" s="89" t="n">
        <x:v>648.9960000000001</x:v>
      </x:c>
      <x:c r="I401" s="103" t="n">
        <x:v>661.7120000000001</x:v>
      </x:c>
      <x:c r="J401" s="89"/>
      <x:c r="K401" s="88" t="str">
        <x:v>단일/없음</x:v>
      </x:c>
      <x:c r="L401" s="88" t="str"/>
    </x:row>
    <x:row r="402">
      <x:c r="A402" s="88" t="n">
        <x:v>20</x:v>
      </x:c>
      <x:c r="B402" s="88" t="str">
        <x:v>S20_YSE</x:v>
      </x:c>
      <x:c r="C402" s="88" t="n">
        <x:v>22</x:v>
      </x:c>
      <x:c r="D402" s="88" t="str">
        <x:v>M06</x:v>
      </x:c>
      <x:c r="E402" s="88" t="str">
        <x:v>3-1 종료</x:v>
      </x:c>
      <x:c r="F402" s="96" t="n">
        <x:v>661.7120000000001</x:v>
      </x:c>
      <x:c r="G402" s="89" t="str">
        <x:v>$2 최종 선택</x:v>
      </x:c>
      <x:c r="H402" s="89" t="n">
        <x:v>661.7120000000001</x:v>
      </x:c>
      <x:c r="I402" s="103" t="n">
        <x:v>648.9960000000001</x:v>
      </x:c>
      <x:c r="J402" s="89"/>
      <x:c r="K402" s="88" t="str">
        <x:v>단일/없음</x:v>
      </x:c>
      <x:c r="L402" s="88" t="str"/>
    </x:row>
    <x:row r="403">
      <x:c r="A403" s="88" t="n">
        <x:v>20</x:v>
      </x:c>
      <x:c r="B403" s="88" t="str">
        <x:v>S20_YSE</x:v>
      </x:c>
      <x:c r="C403" s="88" t="n">
        <x:v>22</x:v>
      </x:c>
      <x:c r="D403" s="88" t="str">
        <x:v>M07</x:v>
      </x:c>
      <x:c r="E403" s="88" t="str">
        <x:v>3-2 시작</x:v>
      </x:c>
      <x:c r="F403" s="96" t="n">
        <x:v>681.0520000000001</x:v>
      </x:c>
      <x:c r="G403" s="89" t="str">
        <x:v>$2 최종 선택</x:v>
      </x:c>
      <x:c r="H403" s="89" t="n">
        <x:v>681.0520000000001</x:v>
      </x:c>
      <x:c r="I403" s="103" t="n">
        <x:v>693.2280000000001</x:v>
      </x:c>
      <x:c r="J403" s="89"/>
      <x:c r="K403" s="88" t="str">
        <x:v>단일/없음</x:v>
      </x:c>
      <x:c r="L403" s="88" t="str"/>
    </x:row>
    <x:row r="404">
      <x:c r="A404" s="88" t="n">
        <x:v>20</x:v>
      </x:c>
      <x:c r="B404" s="88" t="str">
        <x:v>S20_YSE</x:v>
      </x:c>
      <x:c r="C404" s="88" t="n">
        <x:v>22</x:v>
      </x:c>
      <x:c r="D404" s="88" t="str">
        <x:v>M08</x:v>
      </x:c>
      <x:c r="E404" s="88" t="str">
        <x:v>3-2 종료</x:v>
      </x:c>
      <x:c r="F404" s="96" t="n">
        <x:v>693.2280000000001</x:v>
      </x:c>
      <x:c r="G404" s="89" t="str">
        <x:v>$2 최종 선택</x:v>
      </x:c>
      <x:c r="H404" s="89" t="n">
        <x:v>693.2280000000001</x:v>
      </x:c>
      <x:c r="I404" s="103" t="n">
        <x:v>681.0520000000001</x:v>
      </x:c>
      <x:c r="J404" s="89"/>
      <x:c r="K404" s="88" t="str">
        <x:v>단일/없음</x:v>
      </x:c>
      <x:c r="L404" s="88" t="str"/>
    </x:row>
    <x:row r="405">
      <x:c r="A405" s="88" t="n">
        <x:v>20</x:v>
      </x:c>
      <x:c r="B405" s="88" t="str">
        <x:v>S20_YSE</x:v>
      </x:c>
      <x:c r="C405" s="88" t="n">
        <x:v>22</x:v>
      </x:c>
      <x:c r="D405" s="88" t="str">
        <x:v>M09</x:v>
      </x:c>
      <x:c r="E405" s="88" t="str">
        <x:v>4-1 시작</x:v>
      </x:c>
      <x:c r="F405" s="96" t="n">
        <x:v>756.1440000000001</x:v>
      </x:c>
      <x:c r="G405" s="89" t="str">
        <x:v>$2 최종 선택</x:v>
      </x:c>
      <x:c r="H405" s="89" t="n">
        <x:v>756.1440000000001</x:v>
      </x:c>
      <x:c r="I405" s="103" t="n">
        <x:v>766.3520000000001</x:v>
      </x:c>
      <x:c r="J405" s="103" t="n">
        <x:v>770.7160000000001</x:v>
      </x:c>
      <x:c r="K405" s="88" t="str">
        <x:v>단일/없음</x:v>
      </x:c>
      <x:c r="L405" s="88" t="str"/>
    </x:row>
    <x:row r="406">
      <x:c r="A406" s="88" t="n">
        <x:v>20</x:v>
      </x:c>
      <x:c r="B406" s="88" t="str">
        <x:v>S20_YSE</x:v>
      </x:c>
      <x:c r="C406" s="88" t="n">
        <x:v>22</x:v>
      </x:c>
      <x:c r="D406" s="88" t="str">
        <x:v>M10</x:v>
      </x:c>
      <x:c r="E406" s="88" t="str">
        <x:v>4-1 종료</x:v>
      </x:c>
      <x:c r="F406" s="96" t="n">
        <x:v>770.7160000000001</x:v>
      </x:c>
      <x:c r="G406" s="89" t="str">
        <x:v>$2 최종 선택</x:v>
      </x:c>
      <x:c r="H406" s="89" t="n">
        <x:v>770.7160000000001</x:v>
      </x:c>
      <x:c r="I406" s="103" t="n">
        <x:v>766.3520000000001</x:v>
      </x:c>
      <x:c r="J406" s="103" t="n">
        <x:v>756.1440000000001</x:v>
      </x:c>
      <x:c r="K406" s="98" t="str">
        <x:v>애매</x:v>
      </x:c>
      <x:c r="L406" s="88" t="str"/>
    </x:row>
    <x:row r="407">
      <x:c r="A407" s="88" t="n">
        <x:v>20</x:v>
      </x:c>
      <x:c r="B407" s="88" t="str">
        <x:v>S20_YSE</x:v>
      </x:c>
      <x:c r="C407" s="88" t="n">
        <x:v>22</x:v>
      </x:c>
      <x:c r="D407" s="88" t="str">
        <x:v>M11</x:v>
      </x:c>
      <x:c r="E407" s="88" t="str">
        <x:v>4-2 시작</x:v>
      </x:c>
      <x:c r="F407" s="96" t="n">
        <x:v>789.3400000000001</x:v>
      </x:c>
      <x:c r="G407" s="89" t="str">
        <x:v>$2 최종 선택</x:v>
      </x:c>
      <x:c r="H407" s="89" t="n">
        <x:v>789.3400000000001</x:v>
      </x:c>
      <x:c r="I407" s="89"/>
      <x:c r="J407" s="89"/>
      <x:c r="K407" s="88" t="str">
        <x:v>단일/없음</x:v>
      </x:c>
      <x:c r="L407" s="88" t="str"/>
    </x:row>
    <x:row r="408">
      <x:c r="A408" s="88" t="n">
        <x:v>20</x:v>
      </x:c>
      <x:c r="B408" s="88" t="str">
        <x:v>S20_YSE</x:v>
      </x:c>
      <x:c r="C408" s="88" t="n">
        <x:v>22</x:v>
      </x:c>
      <x:c r="D408" s="88" t="str">
        <x:v>M12</x:v>
      </x:c>
      <x:c r="E408" s="88" t="str">
        <x:v>4-2 종료</x:v>
      </x:c>
      <x:c r="F408" s="96" t="n">
        <x:v>836.5000000000001</x:v>
      </x:c>
      <x:c r="G408" s="89" t="str">
        <x:v>$2 최종 선택</x:v>
      </x:c>
      <x:c r="H408" s="89" t="n">
        <x:v>836.5000000000001</x:v>
      </x:c>
      <x:c r="I408" s="103" t="n">
        <x:v>847.8760000000001</x:v>
      </x:c>
      <x:c r="J408" s="89"/>
      <x:c r="K408" s="88" t="str">
        <x:v>단일/없음</x:v>
      </x:c>
      <x:c r="L408" s="88" t="str"/>
    </x:row>
    <x:row r="409">
      <x:c r="A409" s="88" t="n">
        <x:v>20</x:v>
      </x:c>
      <x:c r="B409" s="88" t="str">
        <x:v>S20_YSE</x:v>
      </x:c>
      <x:c r="C409" s="88" t="n">
        <x:v>22</x:v>
      </x:c>
      <x:c r="D409" s="88" t="str">
        <x:v>M13</x:v>
      </x:c>
      <x:c r="E409" s="88" t="str">
        <x:v>4-3 시작</x:v>
      </x:c>
      <x:c r="F409" s="96" t="n">
        <x:v>847.8760000000001</x:v>
      </x:c>
      <x:c r="G409" s="89" t="str">
        <x:v>$2 최종 선택</x:v>
      </x:c>
      <x:c r="H409" s="89" t="n">
        <x:v>847.8760000000001</x:v>
      </x:c>
      <x:c r="I409" s="103" t="n">
        <x:v>836.5000000000001</x:v>
      </x:c>
      <x:c r="J409" s="89"/>
      <x:c r="K409" s="88" t="str">
        <x:v>단일/없음</x:v>
      </x:c>
      <x:c r="L409" s="88" t="str"/>
    </x:row>
    <x:row r="410">
      <x:c r="A410" s="88" t="n">
        <x:v>20</x:v>
      </x:c>
      <x:c r="B410" s="88" t="str">
        <x:v>S20_YSE</x:v>
      </x:c>
      <x:c r="C410" s="88" t="n">
        <x:v>22</x:v>
      </x:c>
      <x:c r="D410" s="88" t="str">
        <x:v>M14</x:v>
      </x:c>
      <x:c r="E410" s="88" t="str">
        <x:v>4-3 종료</x:v>
      </x:c>
      <x:c r="F410" s="96" t="n">
        <x:v>890.6000000000001</x:v>
      </x:c>
      <x:c r="G410" s="89" t="str">
        <x:v>$2 최종 선택</x:v>
      </x:c>
      <x:c r="H410" s="89" t="n">
        <x:v>890.6000000000001</x:v>
      </x:c>
      <x:c r="I410" s="103" t="n">
        <x:v>894.6840000000001</x:v>
      </x:c>
      <x:c r="J410" s="89"/>
      <x:c r="K410" s="98" t="str">
        <x:v>애매</x:v>
      </x:c>
      <x:c r="L410" s="88" t="str"/>
    </x:row>
    <x:row r="411">
      <x:c r="A411" s="88" t="n">
        <x:v>20</x:v>
      </x:c>
      <x:c r="B411" s="88" t="str">
        <x:v>S20_YSE</x:v>
      </x:c>
      <x:c r="C411" s="88" t="n">
        <x:v>22</x:v>
      </x:c>
      <x:c r="D411" s="88" t="str">
        <x:v>M15</x:v>
      </x:c>
      <x:c r="E411" s="88" t="str">
        <x:v>4-4 시작</x:v>
      </x:c>
      <x:c r="F411" s="96" t="n">
        <x:v>894.6840000000001</x:v>
      </x:c>
      <x:c r="G411" s="89" t="str">
        <x:v>$2 최종 선택</x:v>
      </x:c>
      <x:c r="H411" s="89" t="n">
        <x:v>894.6840000000001</x:v>
      </x:c>
      <x:c r="I411" s="103" t="n">
        <x:v>890.6000000000001</x:v>
      </x:c>
      <x:c r="J411" s="89"/>
      <x:c r="K411" s="98" t="str">
        <x:v>애매</x:v>
      </x:c>
      <x:c r="L411" s="88" t="str"/>
    </x:row>
    <x:row r="412">
      <x:c r="A412" s="88" t="n">
        <x:v>20</x:v>
      </x:c>
      <x:c r="B412" s="88" t="str">
        <x:v>S20_YSE</x:v>
      </x:c>
      <x:c r="C412" s="88" t="n">
        <x:v>22</x:v>
      </x:c>
      <x:c r="D412" s="88" t="str">
        <x:v>M16</x:v>
      </x:c>
      <x:c r="E412" s="88" t="str">
        <x:v>4-4 종료</x:v>
      </x:c>
      <x:c r="F412" s="96" t="n">
        <x:v>927.4040000000001</x:v>
      </x:c>
      <x:c r="G412" s="89" t="str">
        <x:v>$2 최종 선택</x:v>
      </x:c>
      <x:c r="H412" s="89" t="n">
        <x:v>927.4040000000001</x:v>
      </x:c>
      <x:c r="I412" s="103" t="n">
        <x:v>916.3040000000001</x:v>
      </x:c>
      <x:c r="J412" s="89"/>
      <x:c r="K412" s="88" t="str">
        <x:v>단일/없음</x:v>
      </x:c>
      <x:c r="L412" s="88" t="str"/>
    </x:row>
    <x:row r="413">
      <x:c r="A413" s="88" t="n">
        <x:v>20</x:v>
      </x:c>
      <x:c r="B413" s="88" t="str">
        <x:v>S20_YSE</x:v>
      </x:c>
      <x:c r="C413" s="88" t="n">
        <x:v>22</x:v>
      </x:c>
      <x:c r="D413" s="88" t="str">
        <x:v>M17</x:v>
      </x:c>
      <x:c r="E413" s="88" t="str">
        <x:v>5 시작</x:v>
      </x:c>
      <x:c r="F413" s="96" t="n">
        <x:v>965.7680000000001</x:v>
      </x:c>
      <x:c r="G413" s="89" t="str">
        <x:v>$2 최종 선택</x:v>
      </x:c>
      <x:c r="H413" s="89" t="n">
        <x:v>965.7680000000001</x:v>
      </x:c>
      <x:c r="I413" s="89"/>
      <x:c r="J413" s="89"/>
      <x:c r="K413" s="88" t="str">
        <x:v>단일/없음</x:v>
      </x:c>
      <x:c r="L413" s="88" t="str"/>
    </x:row>
    <x:row r="414">
      <x:c r="A414" s="88" t="n">
        <x:v>20</x:v>
      </x:c>
      <x:c r="B414" s="88" t="str">
        <x:v>S20_YSE</x:v>
      </x:c>
      <x:c r="C414" s="88" t="n">
        <x:v>22</x:v>
      </x:c>
      <x:c r="D414" s="88" t="str">
        <x:v>M18</x:v>
      </x:c>
      <x:c r="E414" s="88" t="str">
        <x:v>5 종료</x:v>
      </x:c>
      <x:c r="F414" s="96" t="n">
        <x:v>1155.384</x:v>
      </x:c>
      <x:c r="G414" s="89" t="str">
        <x:v>$2 최종 선택</x:v>
      </x:c>
      <x:c r="H414" s="89" t="n">
        <x:v>1155.384</x:v>
      </x:c>
      <x:c r="I414" s="89"/>
      <x:c r="J414" s="89"/>
      <x:c r="K414" s="88" t="str">
        <x:v>단일/없음</x:v>
      </x:c>
      <x:c r="L414" s="88" t="str"/>
    </x:row>
    <x:row r="415">
      <x:c r="A415" s="88" t="n">
        <x:v>20</x:v>
      </x:c>
      <x:c r="B415" s="88" t="str">
        <x:v>S20_YSE</x:v>
      </x:c>
      <x:c r="C415" s="88" t="n">
        <x:v>22</x:v>
      </x:c>
      <x:c r="D415" s="88" t="str">
        <x:v>M19</x:v>
      </x:c>
      <x:c r="E415" s="88" t="str">
        <x:v>6 시작</x:v>
      </x:c>
      <x:c r="F415" s="96" t="n">
        <x:v>1178.794</x:v>
      </x:c>
      <x:c r="G415" s="89" t="str">
        <x:v>$2 최종 선택</x:v>
      </x:c>
      <x:c r="H415" s="89" t="n">
        <x:v>1178.794</x:v>
      </x:c>
      <x:c r="I415" s="89"/>
      <x:c r="J415" s="89"/>
      <x:c r="K415" s="88" t="str">
        <x:v>단일/없음</x:v>
      </x:c>
      <x:c r="L415" s="88" t="str"/>
    </x:row>
    <x:row r="416">
      <x:c r="A416" s="88" t="n">
        <x:v>20</x:v>
      </x:c>
      <x:c r="B416" s="88" t="str">
        <x:v>S20_YSE</x:v>
      </x:c>
      <x:c r="C416" s="88" t="n">
        <x:v>22</x:v>
      </x:c>
      <x:c r="D416" s="88" t="str">
        <x:v>M20</x:v>
      </x:c>
      <x:c r="E416" s="88" t="str">
        <x:v>6 종료</x:v>
      </x:c>
      <x:c r="F416" s="96" t="n">
        <x:v>1203.0320000000002</x:v>
      </x:c>
      <x:c r="G416" s="89" t="str">
        <x:v>$2 최종 선택</x:v>
      </x:c>
      <x:c r="H416" s="89" t="n">
        <x:v>1203.0320000000002</x:v>
      </x:c>
      <x:c r="I416" s="89"/>
      <x:c r="J416" s="89"/>
      <x:c r="K416" s="88" t="str">
        <x:v>단일/없음</x:v>
      </x:c>
      <x:c r="L416" s="88" t="str"/>
    </x:row>
    <x:row r="417">
      <x:c r="A417" s="88" t="n">
        <x:v>20</x:v>
      </x:c>
      <x:c r="B417" s="88" t="str">
        <x:v>S20_YSE</x:v>
      </x:c>
      <x:c r="C417" s="88" t="n">
        <x:v>22</x:v>
      </x:c>
      <x:c r="D417" s="88" t="str">
        <x:v>M21</x:v>
      </x:c>
      <x:c r="E417" s="88" t="str">
        <x:v>7 시작</x:v>
      </x:c>
      <x:c r="F417" s="96" t="n">
        <x:v>1225.256</x:v>
      </x:c>
      <x:c r="G417" s="89" t="str">
        <x:v>$2 최종 선택</x:v>
      </x:c>
      <x:c r="H417" s="89" t="n">
        <x:v>1225.256</x:v>
      </x:c>
      <x:c r="I417" s="103" t="n">
        <x:v>1234.496</x:v>
      </x:c>
      <x:c r="J417" s="89"/>
      <x:c r="K417" s="88" t="str">
        <x:v>단일/없음</x:v>
      </x:c>
      <x:c r="L417" s="88" t="str"/>
    </x:row>
    <x:row r="418">
      <x:c r="A418" s="88" t="n">
        <x:v>20</x:v>
      </x:c>
      <x:c r="B418" s="88" t="str">
        <x:v>S20_YSE</x:v>
      </x:c>
      <x:c r="C418" s="88" t="n">
        <x:v>22</x:v>
      </x:c>
      <x:c r="D418" s="88" t="str">
        <x:v>M22</x:v>
      </x:c>
      <x:c r="E418" s="88" t="str">
        <x:v>7 종료</x:v>
      </x:c>
      <x:c r="F418" s="96" t="n">
        <x:v>1234.496</x:v>
      </x:c>
      <x:c r="G418" s="89" t="str">
        <x:v>$2 최종 선택</x:v>
      </x:c>
      <x:c r="H418" s="89" t="n">
        <x:v>1234.496</x:v>
      </x:c>
      <x:c r="I418" s="103" t="n">
        <x:v>1225.256</x:v>
      </x:c>
      <x:c r="J418" s="89"/>
      <x:c r="K418" s="88" t="str">
        <x:v>단일/없음</x:v>
      </x:c>
      <x:c r="L418" s="88" t="str"/>
    </x:row>
    <x:row r="419">
      <x:c r="A419" s="88" t="n">
        <x:v>21</x:v>
      </x:c>
      <x:c r="B419" s="88" t="str">
        <x:v>S21_PSJ</x:v>
      </x:c>
      <x:c r="C419" s="88" t="n">
        <x:v>22</x:v>
      </x:c>
      <x:c r="D419" s="88" t="str">
        <x:v>M01</x:v>
      </x:c>
      <x:c r="E419" s="88" t="str">
        <x:v>1 시작</x:v>
      </x:c>
      <x:c r="F419" s="96" t="n">
        <x:v>19.952000000000034</x:v>
      </x:c>
      <x:c r="G419" s="89" t="str">
        <x:v>$2 최종 선택</x:v>
      </x:c>
      <x:c r="H419" s="89" t="n">
        <x:v>19.952000000000034</x:v>
      </x:c>
      <x:c r="I419" s="89"/>
      <x:c r="J419" s="89"/>
      <x:c r="K419" s="88" t="str">
        <x:v>단일/없음</x:v>
      </x:c>
      <x:c r="L419" s="88" t="str"/>
    </x:row>
    <x:row r="420">
      <x:c r="A420" s="88" t="n">
        <x:v>21</x:v>
      </x:c>
      <x:c r="B420" s="88" t="str">
        <x:v>S21_PSJ</x:v>
      </x:c>
      <x:c r="C420" s="88" t="n">
        <x:v>22</x:v>
      </x:c>
      <x:c r="D420" s="88" t="str">
        <x:v>M02</x:v>
      </x:c>
      <x:c r="E420" s="88" t="str">
        <x:v>1 종료</x:v>
      </x:c>
      <x:c r="F420" s="96" t="n">
        <x:v>214.06000000000003</x:v>
      </x:c>
      <x:c r="G420" s="89" t="str">
        <x:v>$2 최종 선택</x:v>
      </x:c>
      <x:c r="H420" s="89" t="n">
        <x:v>214.06000000000003</x:v>
      </x:c>
      <x:c r="I420" s="89"/>
      <x:c r="J420" s="89"/>
      <x:c r="K420" s="88" t="str">
        <x:v>단일/없음</x:v>
      </x:c>
      <x:c r="L420" s="88" t="str"/>
    </x:row>
    <x:row r="421">
      <x:c r="A421" s="88" t="n">
        <x:v>21</x:v>
      </x:c>
      <x:c r="B421" s="88" t="str">
        <x:v>S21_PSJ</x:v>
      </x:c>
      <x:c r="C421" s="88" t="n">
        <x:v>22</x:v>
      </x:c>
      <x:c r="D421" s="88" t="str">
        <x:v>M03</x:v>
      </x:c>
      <x:c r="E421" s="88" t="str">
        <x:v>2 시작</x:v>
      </x:c>
      <x:c r="F421" s="96" t="n">
        <x:v>235.40400000000005</x:v>
      </x:c>
      <x:c r="G421" s="89" t="str">
        <x:v>$2 최종 선택</x:v>
      </x:c>
      <x:c r="H421" s="89" t="n">
        <x:v>235.40400000000005</x:v>
      </x:c>
      <x:c r="I421" s="89"/>
      <x:c r="J421" s="89"/>
      <x:c r="K421" s="88" t="str">
        <x:v>단일/없음</x:v>
      </x:c>
      <x:c r="L421" s="88" t="str"/>
    </x:row>
    <x:row r="422">
      <x:c r="A422" s="88" t="n">
        <x:v>21</x:v>
      </x:c>
      <x:c r="B422" s="88" t="str">
        <x:v>S21_PSJ</x:v>
      </x:c>
      <x:c r="C422" s="88" t="n">
        <x:v>22</x:v>
      </x:c>
      <x:c r="D422" s="88" t="str">
        <x:v>M04</x:v>
      </x:c>
      <x:c r="E422" s="88" t="str">
        <x:v>2 종료</x:v>
      </x:c>
      <x:c r="F422" s="96" t="n">
        <x:v>612.2120000000001</x:v>
      </x:c>
      <x:c r="G422" s="89" t="str">
        <x:v>$2 최종 선택</x:v>
      </x:c>
      <x:c r="H422" s="89" t="n">
        <x:v>612.2120000000001</x:v>
      </x:c>
      <x:c r="I422" s="89"/>
      <x:c r="J422" s="89"/>
      <x:c r="K422" s="88" t="str">
        <x:v>단일/없음</x:v>
      </x:c>
      <x:c r="L422" s="88" t="str"/>
    </x:row>
    <x:row r="423">
      <x:c r="A423" s="88" t="n">
        <x:v>21</x:v>
      </x:c>
      <x:c r="B423" s="88" t="str">
        <x:v>S21_PSJ</x:v>
      </x:c>
      <x:c r="C423" s="88" t="n">
        <x:v>22</x:v>
      </x:c>
      <x:c r="D423" s="88" t="str">
        <x:v>M05</x:v>
      </x:c>
      <x:c r="E423" s="88" t="str">
        <x:v>3-1 시작</x:v>
      </x:c>
      <x:c r="F423" s="96" t="n">
        <x:v>654.908</x:v>
      </x:c>
      <x:c r="G423" s="89" t="str">
        <x:v>$2 최종 선택</x:v>
      </x:c>
      <x:c r="H423" s="89" t="n">
        <x:v>654.908</x:v>
      </x:c>
      <x:c r="I423" s="103" t="n">
        <x:v>668.36</x:v>
      </x:c>
      <x:c r="J423" s="89"/>
      <x:c r="K423" s="88" t="str">
        <x:v>단일/없음</x:v>
      </x:c>
      <x:c r="L423" s="88" t="str"/>
    </x:row>
    <x:row r="424">
      <x:c r="A424" s="88" t="n">
        <x:v>21</x:v>
      </x:c>
      <x:c r="B424" s="88" t="str">
        <x:v>S21_PSJ</x:v>
      </x:c>
      <x:c r="C424" s="88" t="n">
        <x:v>22</x:v>
      </x:c>
      <x:c r="D424" s="88" t="str">
        <x:v>M06</x:v>
      </x:c>
      <x:c r="E424" s="88" t="str">
        <x:v>3-1 종료</x:v>
      </x:c>
      <x:c r="F424" s="96" t="n">
        <x:v>668.36</x:v>
      </x:c>
      <x:c r="G424" s="89" t="str">
        <x:v>$2 최종 선택</x:v>
      </x:c>
      <x:c r="H424" s="89" t="n">
        <x:v>668.36</x:v>
      </x:c>
      <x:c r="I424" s="103" t="n">
        <x:v>654.908</x:v>
      </x:c>
      <x:c r="J424" s="89"/>
      <x:c r="K424" s="88" t="str">
        <x:v>단일/없음</x:v>
      </x:c>
      <x:c r="L424" s="88" t="str"/>
    </x:row>
    <x:row r="425">
      <x:c r="A425" s="88" t="n">
        <x:v>21</x:v>
      </x:c>
      <x:c r="B425" s="88" t="str">
        <x:v>S21_PSJ</x:v>
      </x:c>
      <x:c r="C425" s="88" t="n">
        <x:v>22</x:v>
      </x:c>
      <x:c r="D425" s="88" t="str">
        <x:v>M07</x:v>
      </x:c>
      <x:c r="E425" s="88" t="str">
        <x:v>3-2 시작</x:v>
      </x:c>
      <x:c r="F425" s="96" t="n">
        <x:v>688.34</x:v>
      </x:c>
      <x:c r="G425" s="89" t="str">
        <x:v>$2 최종 선택</x:v>
      </x:c>
      <x:c r="H425" s="89" t="n">
        <x:v>688.34</x:v>
      </x:c>
      <x:c r="I425" s="103" t="n">
        <x:v>698.5160000000001</x:v>
      </x:c>
      <x:c r="J425" s="89"/>
      <x:c r="K425" s="88" t="str">
        <x:v>단일/없음</x:v>
      </x:c>
      <x:c r="L425" s="88" t="str"/>
    </x:row>
    <x:row r="426">
      <x:c r="A426" s="88" t="n">
        <x:v>21</x:v>
      </x:c>
      <x:c r="B426" s="88" t="str">
        <x:v>S21_PSJ</x:v>
      </x:c>
      <x:c r="C426" s="88" t="n">
        <x:v>22</x:v>
      </x:c>
      <x:c r="D426" s="88" t="str">
        <x:v>M08</x:v>
      </x:c>
      <x:c r="E426" s="88" t="str">
        <x:v>3-2 종료</x:v>
      </x:c>
      <x:c r="F426" s="96" t="n">
        <x:v>698.5160000000001</x:v>
      </x:c>
      <x:c r="G426" s="89" t="str">
        <x:v>$2 최종 선택</x:v>
      </x:c>
      <x:c r="H426" s="89" t="n">
        <x:v>698.5160000000001</x:v>
      </x:c>
      <x:c r="I426" s="103" t="n">
        <x:v>688.34</x:v>
      </x:c>
      <x:c r="J426" s="89"/>
      <x:c r="K426" s="88" t="str">
        <x:v>단일/없음</x:v>
      </x:c>
      <x:c r="L426" s="88" t="str"/>
    </x:row>
    <x:row r="427">
      <x:c r="A427" s="88" t="n">
        <x:v>21</x:v>
      </x:c>
      <x:c r="B427" s="88" t="str">
        <x:v>S21_PSJ</x:v>
      </x:c>
      <x:c r="C427" s="88" t="n">
        <x:v>22</x:v>
      </x:c>
      <x:c r="D427" s="88" t="str">
        <x:v>M09</x:v>
      </x:c>
      <x:c r="E427" s="88" t="str">
        <x:v>4-1 시작</x:v>
      </x:c>
      <x:c r="F427" s="96" t="n">
        <x:v>793.5480000000001</x:v>
      </x:c>
      <x:c r="G427" s="89" t="str">
        <x:v>$2 최종 선택</x:v>
      </x:c>
      <x:c r="H427" s="89" t="n">
        <x:v>793.5480000000001</x:v>
      </x:c>
      <x:c r="I427" s="103" t="n">
        <x:v>807.974</x:v>
      </x:c>
      <x:c r="J427" s="89"/>
      <x:c r="K427" s="88" t="str">
        <x:v>단일/없음</x:v>
      </x:c>
      <x:c r="L427" s="88" t="str"/>
    </x:row>
    <x:row r="428">
      <x:c r="A428" s="88" t="n">
        <x:v>21</x:v>
      </x:c>
      <x:c r="B428" s="88" t="str">
        <x:v>S21_PSJ</x:v>
      </x:c>
      <x:c r="C428" s="88" t="n">
        <x:v>22</x:v>
      </x:c>
      <x:c r="D428" s="88" t="str">
        <x:v>M10</x:v>
      </x:c>
      <x:c r="E428" s="88" t="str">
        <x:v>4-1 종료</x:v>
      </x:c>
      <x:c r="F428" s="96" t="n">
        <x:v>807.974</x:v>
      </x:c>
      <x:c r="G428" s="89" t="str">
        <x:v>$2 최종 선택</x:v>
      </x:c>
      <x:c r="H428" s="89" t="n">
        <x:v>807.974</x:v>
      </x:c>
      <x:c r="I428" s="103" t="n">
        <x:v>816.4200000000001</x:v>
      </x:c>
      <x:c r="J428" s="103" t="n">
        <x:v>793.5480000000001</x:v>
      </x:c>
      <x:c r="K428" s="88" t="str">
        <x:v>단일/없음</x:v>
      </x:c>
      <x:c r="L428" s="88" t="str"/>
    </x:row>
    <x:row r="429">
      <x:c r="A429" s="88" t="n">
        <x:v>21</x:v>
      </x:c>
      <x:c r="B429" s="88" t="str">
        <x:v>S21_PSJ</x:v>
      </x:c>
      <x:c r="C429" s="88" t="n">
        <x:v>22</x:v>
      </x:c>
      <x:c r="D429" s="88" t="str">
        <x:v>M11</x:v>
      </x:c>
      <x:c r="E429" s="88" t="str">
        <x:v>4-2 시작</x:v>
      </x:c>
      <x:c r="F429" s="96" t="n">
        <x:v>816.4200000000001</x:v>
      </x:c>
      <x:c r="G429" s="89" t="str">
        <x:v>$2 최종 선택</x:v>
      </x:c>
      <x:c r="H429" s="89" t="n">
        <x:v>816.4200000000001</x:v>
      </x:c>
      <x:c r="I429" s="103" t="n">
        <x:v>807.974</x:v>
      </x:c>
      <x:c r="J429" s="89"/>
      <x:c r="K429" s="88" t="str">
        <x:v>단일/없음</x:v>
      </x:c>
      <x:c r="L429" s="88" t="str"/>
    </x:row>
    <x:row r="430">
      <x:c r="A430" s="88" t="n">
        <x:v>21</x:v>
      </x:c>
      <x:c r="B430" s="88" t="str">
        <x:v>S21_PSJ</x:v>
      </x:c>
      <x:c r="C430" s="88" t="n">
        <x:v>22</x:v>
      </x:c>
      <x:c r="D430" s="88" t="str">
        <x:v>M12</x:v>
      </x:c>
      <x:c r="E430" s="88" t="str">
        <x:v>4-2 종료</x:v>
      </x:c>
      <x:c r="F430" s="96" t="n">
        <x:v>862.9000000000001</x:v>
      </x:c>
      <x:c r="G430" s="89" t="str">
        <x:v>$2 최종 선택</x:v>
      </x:c>
      <x:c r="H430" s="89" t="n">
        <x:v>862.9000000000001</x:v>
      </x:c>
      <x:c r="I430" s="103" t="n">
        <x:v>875.248</x:v>
      </x:c>
      <x:c r="J430" s="89"/>
      <x:c r="K430" s="88" t="str">
        <x:v>단일/없음</x:v>
      </x:c>
      <x:c r="L430" s="88" t="str"/>
    </x:row>
    <x:row r="431">
      <x:c r="A431" s="88" t="n">
        <x:v>21</x:v>
      </x:c>
      <x:c r="B431" s="88" t="str">
        <x:v>S21_PSJ</x:v>
      </x:c>
      <x:c r="C431" s="88" t="n">
        <x:v>22</x:v>
      </x:c>
      <x:c r="D431" s="88" t="str">
        <x:v>M13</x:v>
      </x:c>
      <x:c r="E431" s="88" t="str">
        <x:v>4-3 시작</x:v>
      </x:c>
      <x:c r="F431" s="96" t="n">
        <x:v>875.248</x:v>
      </x:c>
      <x:c r="G431" s="89" t="str">
        <x:v>$2 최종 선택</x:v>
      </x:c>
      <x:c r="H431" s="89" t="n">
        <x:v>875.248</x:v>
      </x:c>
      <x:c r="I431" s="103" t="n">
        <x:v>862.9000000000001</x:v>
      </x:c>
      <x:c r="J431" s="89"/>
      <x:c r="K431" s="88" t="str">
        <x:v>단일/없음</x:v>
      </x:c>
      <x:c r="L431" s="88" t="str"/>
    </x:row>
    <x:row r="432">
      <x:c r="A432" s="88" t="n">
        <x:v>21</x:v>
      </x:c>
      <x:c r="B432" s="88" t="str">
        <x:v>S21_PSJ</x:v>
      </x:c>
      <x:c r="C432" s="88" t="n">
        <x:v>22</x:v>
      </x:c>
      <x:c r="D432" s="88" t="str">
        <x:v>M14</x:v>
      </x:c>
      <x:c r="E432" s="88" t="str">
        <x:v>4-3 종료</x:v>
      </x:c>
      <x:c r="F432" s="96" t="n">
        <x:v>921.344</x:v>
      </x:c>
      <x:c r="G432" s="89" t="str">
        <x:v>$2 최종 선택</x:v>
      </x:c>
      <x:c r="H432" s="89" t="n">
        <x:v>921.344</x:v>
      </x:c>
      <x:c r="I432" s="89"/>
      <x:c r="J432" s="89"/>
      <x:c r="K432" s="88" t="str">
        <x:v>단일/없음</x:v>
      </x:c>
      <x:c r="L432" s="88" t="str"/>
    </x:row>
    <x:row r="433">
      <x:c r="A433" s="88" t="n">
        <x:v>21</x:v>
      </x:c>
      <x:c r="B433" s="88" t="str">
        <x:v>S21_PSJ</x:v>
      </x:c>
      <x:c r="C433" s="88" t="n">
        <x:v>22</x:v>
      </x:c>
      <x:c r="D433" s="88" t="str">
        <x:v>M15</x:v>
      </x:c>
      <x:c r="E433" s="88" t="str">
        <x:v>4-4 시작</x:v>
      </x:c>
      <x:c r="F433" s="96" t="n">
        <x:v>937.5920000000001</x:v>
      </x:c>
      <x:c r="G433" s="89" t="str">
        <x:v>$2 최종 선택</x:v>
      </x:c>
      <x:c r="H433" s="89" t="n">
        <x:v>937.5920000000001</x:v>
      </x:c>
      <x:c r="I433" s="89"/>
      <x:c r="J433" s="89"/>
      <x:c r="K433" s="88" t="str">
        <x:v>단일/없음</x:v>
      </x:c>
      <x:c r="L433" s="88" t="str"/>
    </x:row>
    <x:row r="434">
      <x:c r="A434" s="88" t="n">
        <x:v>21</x:v>
      </x:c>
      <x:c r="B434" s="88" t="str">
        <x:v>S21_PSJ</x:v>
      </x:c>
      <x:c r="C434" s="88" t="n">
        <x:v>22</x:v>
      </x:c>
      <x:c r="D434" s="88" t="str">
        <x:v>M16</x:v>
      </x:c>
      <x:c r="E434" s="88" t="str">
        <x:v>4-4 종료</x:v>
      </x:c>
      <x:c r="F434" s="96" t="n">
        <x:v>970.58</x:v>
      </x:c>
      <x:c r="G434" s="89" t="str">
        <x:v>$2 최종 선택</x:v>
      </x:c>
      <x:c r="H434" s="89" t="n">
        <x:v>970.58</x:v>
      </x:c>
      <x:c r="I434" s="103" t="n">
        <x:v>958.3520000000001</x:v>
      </x:c>
      <x:c r="J434" s="89"/>
      <x:c r="K434" s="88" t="str">
        <x:v>단일/없음</x:v>
      </x:c>
      <x:c r="L434" s="88" t="str"/>
    </x:row>
    <x:row r="435">
      <x:c r="A435" s="88" t="n">
        <x:v>21</x:v>
      </x:c>
      <x:c r="B435" s="88" t="str">
        <x:v>S21_PSJ</x:v>
      </x:c>
      <x:c r="C435" s="88" t="n">
        <x:v>22</x:v>
      </x:c>
      <x:c r="D435" s="88" t="str">
        <x:v>M17</x:v>
      </x:c>
      <x:c r="E435" s="88" t="str">
        <x:v>5 시작</x:v>
      </x:c>
      <x:c r="F435" s="96" t="n">
        <x:v>1012.864</x:v>
      </x:c>
      <x:c r="G435" s="89" t="str">
        <x:v>$2 최종 선택</x:v>
      </x:c>
      <x:c r="H435" s="89" t="n">
        <x:v>1012.864</x:v>
      </x:c>
      <x:c r="I435" s="103" t="n">
        <x:v>1020.416</x:v>
      </x:c>
      <x:c r="J435" s="89"/>
      <x:c r="K435" s="88" t="str">
        <x:v>단일/없음</x:v>
      </x:c>
      <x:c r="L435" s="88" t="str"/>
    </x:row>
    <x:row r="436">
      <x:c r="A436" s="88" t="n">
        <x:v>21</x:v>
      </x:c>
      <x:c r="B436" s="88" t="str">
        <x:v>S21_PSJ</x:v>
      </x:c>
      <x:c r="C436" s="88" t="n">
        <x:v>22</x:v>
      </x:c>
      <x:c r="D436" s="88" t="str">
        <x:v>M18</x:v>
      </x:c>
      <x:c r="E436" s="88" t="str">
        <x:v>5 종료</x:v>
      </x:c>
      <x:c r="F436" s="96" t="n">
        <x:v>1208.9679999999998</x:v>
      </x:c>
      <x:c r="G436" s="89" t="str">
        <x:v>$2 최종 선택</x:v>
      </x:c>
      <x:c r="H436" s="89" t="n">
        <x:v>1208.9679999999998</x:v>
      </x:c>
      <x:c r="I436" s="89"/>
      <x:c r="J436" s="89"/>
      <x:c r="K436" s="88" t="str">
        <x:v>단일/없음</x:v>
      </x:c>
      <x:c r="L436" s="88" t="str"/>
    </x:row>
    <x:row r="437">
      <x:c r="A437" s="88" t="n">
        <x:v>21</x:v>
      </x:c>
      <x:c r="B437" s="88" t="str">
        <x:v>S21_PSJ</x:v>
      </x:c>
      <x:c r="C437" s="88" t="n">
        <x:v>22</x:v>
      </x:c>
      <x:c r="D437" s="88" t="str">
        <x:v>M19</x:v>
      </x:c>
      <x:c r="E437" s="88" t="str">
        <x:v>6 시작</x:v>
      </x:c>
      <x:c r="F437" s="96" t="n">
        <x:v>1248.0639999999999</x:v>
      </x:c>
      <x:c r="G437" s="89" t="str">
        <x:v>$2 최종 선택</x:v>
      </x:c>
      <x:c r="H437" s="89" t="n">
        <x:v>1248.0639999999999</x:v>
      </x:c>
      <x:c r="I437" s="89"/>
      <x:c r="J437" s="89"/>
      <x:c r="K437" s="88" t="str">
        <x:v>단일/없음</x:v>
      </x:c>
      <x:c r="L437" s="88" t="str"/>
    </x:row>
    <x:row r="438">
      <x:c r="A438" s="88" t="n">
        <x:v>21</x:v>
      </x:c>
      <x:c r="B438" s="88" t="str">
        <x:v>S21_PSJ</x:v>
      </x:c>
      <x:c r="C438" s="88" t="n">
        <x:v>22</x:v>
      </x:c>
      <x:c r="D438" s="88" t="str">
        <x:v>M20</x:v>
      </x:c>
      <x:c r="E438" s="88" t="str">
        <x:v>6 종료</x:v>
      </x:c>
      <x:c r="F438" s="96" t="n">
        <x:v>1270.892</x:v>
      </x:c>
      <x:c r="G438" s="89" t="str">
        <x:v>$2 최종 선택</x:v>
      </x:c>
      <x:c r="H438" s="89" t="n">
        <x:v>1270.892</x:v>
      </x:c>
      <x:c r="I438" s="89"/>
      <x:c r="J438" s="89"/>
      <x:c r="K438" s="88" t="str">
        <x:v>단일/없음</x:v>
      </x:c>
      <x:c r="L438" s="88" t="str"/>
    </x:row>
    <x:row r="439">
      <x:c r="A439" s="88" t="n">
        <x:v>21</x:v>
      </x:c>
      <x:c r="B439" s="88" t="str">
        <x:v>S21_PSJ</x:v>
      </x:c>
      <x:c r="C439" s="88" t="n">
        <x:v>22</x:v>
      </x:c>
      <x:c r="D439" s="88" t="str">
        <x:v>M21</x:v>
      </x:c>
      <x:c r="E439" s="88" t="str">
        <x:v>7 시작</x:v>
      </x:c>
      <x:c r="F439" s="96" t="n">
        <x:v>1306.696</x:v>
      </x:c>
      <x:c r="G439" s="89" t="str">
        <x:v>$2 최종 선택</x:v>
      </x:c>
      <x:c r="H439" s="89" t="n">
        <x:v>1306.696</x:v>
      </x:c>
      <x:c r="I439" s="103" t="n">
        <x:v>1317.132</x:v>
      </x:c>
      <x:c r="J439" s="89"/>
      <x:c r="K439" s="88" t="str">
        <x:v>단일/없음</x:v>
      </x:c>
      <x:c r="L439" s="88" t="str"/>
    </x:row>
    <x:row r="440">
      <x:c r="A440" s="88" t="n">
        <x:v>21</x:v>
      </x:c>
      <x:c r="B440" s="88" t="str">
        <x:v>S21_PSJ</x:v>
      </x:c>
      <x:c r="C440" s="88" t="n">
        <x:v>22</x:v>
      </x:c>
      <x:c r="D440" s="88" t="str">
        <x:v>M22</x:v>
      </x:c>
      <x:c r="E440" s="88" t="str">
        <x:v>7 종료</x:v>
      </x:c>
      <x:c r="F440" s="96" t="n">
        <x:v>1317.132</x:v>
      </x:c>
      <x:c r="G440" s="89" t="str">
        <x:v>$2 최종 선택</x:v>
      </x:c>
      <x:c r="H440" s="89" t="n">
        <x:v>1317.132</x:v>
      </x:c>
      <x:c r="I440" s="103" t="n">
        <x:v>1306.696</x:v>
      </x:c>
      <x:c r="J440" s="89"/>
      <x:c r="K440" s="88" t="str">
        <x:v>단일/없음</x:v>
      </x:c>
      <x:c r="L440" s="88" t="str"/>
    </x:row>
    <x:row r="441">
      <x:c r="A441" s="88" t="n">
        <x:v>22</x:v>
      </x:c>
      <x:c r="B441" s="88" t="str">
        <x:v>S22_KJH</x:v>
      </x:c>
      <x:c r="C441" s="88" t="n">
        <x:v>22</x:v>
      </x:c>
      <x:c r="D441" s="88" t="str">
        <x:v>M01</x:v>
      </x:c>
      <x:c r="E441" s="88" t="str">
        <x:v>1 시작</x:v>
      </x:c>
      <x:c r="F441" s="104" t="n">
        <x:v>222.04000000000005</x:v>
      </x:c>
      <x:c r="G441" s="89" t="str">
        <x:v>시간패턴 추천(미확정)</x:v>
      </x:c>
      <x:c r="H441" s="89" t="n">
        <x:v>222.04000000000005</x:v>
      </x:c>
      <x:c r="I441" s="89"/>
      <x:c r="J441" s="89"/>
      <x:c r="K441" s="88" t="str">
        <x:v>단일/없음</x:v>
      </x:c>
      <x:c r="L441" s="88" t="str"/>
    </x:row>
    <x:row r="442">
      <x:c r="A442" s="88" t="n">
        <x:v>22</x:v>
      </x:c>
      <x:c r="B442" s="88" t="str">
        <x:v>S22_KJH</x:v>
      </x:c>
      <x:c r="C442" s="88" t="n">
        <x:v>22</x:v>
      </x:c>
      <x:c r="D442" s="88" t="str">
        <x:v>M02</x:v>
      </x:c>
      <x:c r="E442" s="88" t="str">
        <x:v>1 종료</x:v>
      </x:c>
      <x:c r="F442" s="104" t="n">
        <x:v>304.812</x:v>
      </x:c>
      <x:c r="G442" s="89" t="str">
        <x:v>시간패턴 추천(미확정)</x:v>
      </x:c>
      <x:c r="H442" s="89" t="n">
        <x:v>304.812</x:v>
      </x:c>
      <x:c r="I442" s="103" t="n">
        <x:v>314.732</x:v>
      </x:c>
      <x:c r="J442" s="89"/>
      <x:c r="K442" s="88" t="str">
        <x:v>단일/없음</x:v>
      </x:c>
      <x:c r="L442" s="88" t="str"/>
    </x:row>
    <x:row r="443">
      <x:c r="A443" s="88" t="n">
        <x:v>22</x:v>
      </x:c>
      <x:c r="B443" s="88" t="str">
        <x:v>S22_KJH</x:v>
      </x:c>
      <x:c r="C443" s="88" t="n">
        <x:v>22</x:v>
      </x:c>
      <x:c r="D443" s="88" t="str">
        <x:v>M03</x:v>
      </x:c>
      <x:c r="E443" s="88" t="str">
        <x:v>2 시작</x:v>
      </x:c>
      <x:c r="F443" s="104" t="n">
        <x:v>314.732</x:v>
      </x:c>
      <x:c r="G443" s="89" t="str">
        <x:v>시간패턴 추천(미확정)</x:v>
      </x:c>
      <x:c r="H443" s="89" t="n">
        <x:v>314.732</x:v>
      </x:c>
      <x:c r="I443" s="103" t="n">
        <x:v>304.812</x:v>
      </x:c>
      <x:c r="J443" s="89"/>
      <x:c r="K443" s="88" t="str">
        <x:v>단일/없음</x:v>
      </x:c>
      <x:c r="L443" s="88" t="str"/>
    </x:row>
    <x:row r="444">
      <x:c r="A444" s="88" t="n">
        <x:v>22</x:v>
      </x:c>
      <x:c r="B444" s="88" t="str">
        <x:v>S22_KJH</x:v>
      </x:c>
      <x:c r="C444" s="88" t="n">
        <x:v>22</x:v>
      </x:c>
      <x:c r="D444" s="88" t="str">
        <x:v>M04</x:v>
      </x:c>
      <x:c r="E444" s="88" t="str">
        <x:v>2 종료</x:v>
      </x:c>
      <x:c r="F444" s="104" t="n">
        <x:v>681.412</x:v>
      </x:c>
      <x:c r="G444" s="89" t="str">
        <x:v>시간패턴 추천(미확정)</x:v>
      </x:c>
      <x:c r="H444" s="89" t="n">
        <x:v>681.412</x:v>
      </x:c>
      <x:c r="I444" s="89"/>
      <x:c r="J444" s="89"/>
      <x:c r="K444" s="88" t="str">
        <x:v>단일/없음</x:v>
      </x:c>
      <x:c r="L444" s="88" t="str"/>
    </x:row>
    <x:row r="445">
      <x:c r="A445" s="88" t="n">
        <x:v>22</x:v>
      </x:c>
      <x:c r="B445" s="88" t="str">
        <x:v>S22_KJH</x:v>
      </x:c>
      <x:c r="C445" s="88" t="n">
        <x:v>22</x:v>
      </x:c>
      <x:c r="D445" s="88" t="str">
        <x:v>M05</x:v>
      </x:c>
      <x:c r="E445" s="88" t="str">
        <x:v>3-1 시작</x:v>
      </x:c>
      <x:c r="F445" s="104" t="n">
        <x:v>698.652</x:v>
      </x:c>
      <x:c r="G445" s="89" t="str">
        <x:v>시간패턴 추천(미확정)</x:v>
      </x:c>
      <x:c r="H445" s="89" t="n">
        <x:v>698.652</x:v>
      </x:c>
      <x:c r="I445" s="89"/>
      <x:c r="J445" s="89"/>
      <x:c r="K445" s="88" t="str">
        <x:v>단일/없음</x:v>
      </x:c>
      <x:c r="L445" s="88" t="str"/>
    </x:row>
    <x:row r="446">
      <x:c r="A446" s="88" t="n">
        <x:v>22</x:v>
      </x:c>
      <x:c r="B446" s="88" t="str">
        <x:v>S22_KJH</x:v>
      </x:c>
      <x:c r="C446" s="88" t="n">
        <x:v>22</x:v>
      </x:c>
      <x:c r="D446" s="88" t="str">
        <x:v>M06</x:v>
      </x:c>
      <x:c r="E446" s="88" t="str">
        <x:v>3-1 종료</x:v>
      </x:c>
      <x:c r="F446" s="104" t="n">
        <x:v>715.7880000000001</x:v>
      </x:c>
      <x:c r="G446" s="89" t="str">
        <x:v>시간패턴 추천(미확정)</x:v>
      </x:c>
      <x:c r="H446" s="89" t="n">
        <x:v>715.7880000000001</x:v>
      </x:c>
      <x:c r="I446" s="89"/>
      <x:c r="J446" s="89"/>
      <x:c r="K446" s="88" t="str">
        <x:v>단일/없음</x:v>
      </x:c>
      <x:c r="L446" s="88" t="str"/>
    </x:row>
    <x:row r="447">
      <x:c r="A447" s="88" t="n">
        <x:v>22</x:v>
      </x:c>
      <x:c r="B447" s="88" t="str">
        <x:v>S22_KJH</x:v>
      </x:c>
      <x:c r="C447" s="88" t="n">
        <x:v>22</x:v>
      </x:c>
      <x:c r="D447" s="88" t="str">
        <x:v>M07</x:v>
      </x:c>
      <x:c r="E447" s="88" t="str">
        <x:v>3-2 시작</x:v>
      </x:c>
      <x:c r="F447" s="104" t="n">
        <x:v>733.628</x:v>
      </x:c>
      <x:c r="G447" s="89" t="str">
        <x:v>시간패턴 추천(미확정)</x:v>
      </x:c>
      <x:c r="H447" s="89" t="n">
        <x:v>733.628</x:v>
      </x:c>
      <x:c r="I447" s="89"/>
      <x:c r="J447" s="89"/>
      <x:c r="K447" s="88" t="str">
        <x:v>단일/없음</x:v>
      </x:c>
      <x:c r="L447" s="88" t="str"/>
    </x:row>
    <x:row r="448">
      <x:c r="A448" s="88" t="n">
        <x:v>22</x:v>
      </x:c>
      <x:c r="B448" s="88" t="str">
        <x:v>S22_KJH</x:v>
      </x:c>
      <x:c r="C448" s="88" t="n">
        <x:v>22</x:v>
      </x:c>
      <x:c r="D448" s="88" t="str">
        <x:v>M08</x:v>
      </x:c>
      <x:c r="E448" s="88" t="str">
        <x:v>3-2 종료</x:v>
      </x:c>
      <x:c r="F448" s="104" t="n">
        <x:v>813.892</x:v>
      </x:c>
      <x:c r="G448" s="89" t="str">
        <x:v>시간패턴 추천(미확정)</x:v>
      </x:c>
      <x:c r="H448" s="89" t="n">
        <x:v>813.892</x:v>
      </x:c>
      <x:c r="I448" s="89"/>
      <x:c r="J448" s="89"/>
      <x:c r="K448" s="88" t="str">
        <x:v>단일/없음</x:v>
      </x:c>
      <x:c r="L448" s="88" t="str"/>
    </x:row>
    <x:row r="449">
      <x:c r="A449" s="88" t="n">
        <x:v>22</x:v>
      </x:c>
      <x:c r="B449" s="88" t="str">
        <x:v>S22_KJH</x:v>
      </x:c>
      <x:c r="C449" s="88" t="n">
        <x:v>22</x:v>
      </x:c>
      <x:c r="D449" s="88" t="str">
        <x:v>M09</x:v>
      </x:c>
      <x:c r="E449" s="88" t="str">
        <x:v>4-1 시작</x:v>
      </x:c>
      <x:c r="F449" s="104" t="n">
        <x:v>830.1160000000001</x:v>
      </x:c>
      <x:c r="G449" s="89" t="str">
        <x:v>시간패턴 추천(미확정)</x:v>
      </x:c>
      <x:c r="H449" s="89" t="n">
        <x:v>830.1160000000001</x:v>
      </x:c>
      <x:c r="I449" s="103" t="n">
        <x:v>834.9520000000001</x:v>
      </x:c>
      <x:c r="J449" s="89"/>
      <x:c r="K449" s="98" t="str">
        <x:v>애매</x:v>
      </x:c>
      <x:c r="L449" s="88" t="str"/>
    </x:row>
    <x:row r="450">
      <x:c r="A450" s="88" t="n">
        <x:v>22</x:v>
      </x:c>
      <x:c r="B450" s="88" t="str">
        <x:v>S22_KJH</x:v>
      </x:c>
      <x:c r="C450" s="88" t="n">
        <x:v>22</x:v>
      </x:c>
      <x:c r="D450" s="88" t="str">
        <x:v>M10</x:v>
      </x:c>
      <x:c r="E450" s="88" t="str">
        <x:v>4-1 종료</x:v>
      </x:c>
      <x:c r="F450" s="104" t="n">
        <x:v>834.9520000000001</x:v>
      </x:c>
      <x:c r="G450" s="89" t="str">
        <x:v>시간패턴 추천(미확정)</x:v>
      </x:c>
      <x:c r="H450" s="89" t="n">
        <x:v>834.9520000000001</x:v>
      </x:c>
      <x:c r="I450" s="103" t="n">
        <x:v>830.1160000000001</x:v>
      </x:c>
      <x:c r="J450" s="103" t="n">
        <x:v>847.676</x:v>
      </x:c>
      <x:c r="K450" s="98" t="str">
        <x:v>애매</x:v>
      </x:c>
      <x:c r="L450" s="88" t="str"/>
    </x:row>
    <x:row r="451">
      <x:c r="A451" s="88" t="n">
        <x:v>22</x:v>
      </x:c>
      <x:c r="B451" s="88" t="str">
        <x:v>S22_KJH</x:v>
      </x:c>
      <x:c r="C451" s="88" t="n">
        <x:v>22</x:v>
      </x:c>
      <x:c r="D451" s="88" t="str">
        <x:v>M11</x:v>
      </x:c>
      <x:c r="E451" s="88" t="str">
        <x:v>4-2 시작</x:v>
      </x:c>
      <x:c r="F451" s="104" t="n">
        <x:v>847.676</x:v>
      </x:c>
      <x:c r="G451" s="89" t="str">
        <x:v>시간패턴 추천(미확정)</x:v>
      </x:c>
      <x:c r="H451" s="89" t="n">
        <x:v>847.676</x:v>
      </x:c>
      <x:c r="I451" s="103" t="n">
        <x:v>834.9520000000001</x:v>
      </x:c>
      <x:c r="J451" s="89"/>
      <x:c r="K451" s="88" t="str">
        <x:v>단일/없음</x:v>
      </x:c>
      <x:c r="L451" s="88" t="str"/>
    </x:row>
    <x:row r="452">
      <x:c r="A452" s="88" t="n">
        <x:v>22</x:v>
      </x:c>
      <x:c r="B452" s="88" t="str">
        <x:v>S22_KJH</x:v>
      </x:c>
      <x:c r="C452" s="88" t="n">
        <x:v>22</x:v>
      </x:c>
      <x:c r="D452" s="88" t="str">
        <x:v>M12</x:v>
      </x:c>
      <x:c r="E452" s="88" t="str">
        <x:v>4-2 종료</x:v>
      </x:c>
      <x:c r="F452" s="104" t="n">
        <x:v>894.5480000000001</x:v>
      </x:c>
      <x:c r="G452" s="89" t="str">
        <x:v>시간패턴 추천(미확정)</x:v>
      </x:c>
      <x:c r="H452" s="89" t="n">
        <x:v>894.5480000000001</x:v>
      </x:c>
      <x:c r="I452" s="103" t="n">
        <x:v>903.916</x:v>
      </x:c>
      <x:c r="J452" s="89"/>
      <x:c r="K452" s="88" t="str">
        <x:v>단일/없음</x:v>
      </x:c>
      <x:c r="L452" s="88" t="str"/>
    </x:row>
    <x:row r="453">
      <x:c r="A453" s="88" t="n">
        <x:v>22</x:v>
      </x:c>
      <x:c r="B453" s="88" t="str">
        <x:v>S22_KJH</x:v>
      </x:c>
      <x:c r="C453" s="88" t="n">
        <x:v>22</x:v>
      </x:c>
      <x:c r="D453" s="88" t="str">
        <x:v>M13</x:v>
      </x:c>
      <x:c r="E453" s="88" t="str">
        <x:v>4-3 시작</x:v>
      </x:c>
      <x:c r="F453" s="104" t="n">
        <x:v>912.0200000000001</x:v>
      </x:c>
      <x:c r="G453" s="89" t="str">
        <x:v>시간패턴 추천(미확정)</x:v>
      </x:c>
      <x:c r="H453" s="89" t="n">
        <x:v>912.0200000000001</x:v>
      </x:c>
      <x:c r="I453" s="103" t="n">
        <x:v>903.916</x:v>
      </x:c>
      <x:c r="J453" s="89"/>
      <x:c r="K453" s="88" t="str">
        <x:v>단일/없음</x:v>
      </x:c>
      <x:c r="L453" s="88" t="str"/>
    </x:row>
    <x:row r="454">
      <x:c r="A454" s="88" t="n">
        <x:v>22</x:v>
      </x:c>
      <x:c r="B454" s="88" t="str">
        <x:v>S22_KJH</x:v>
      </x:c>
      <x:c r="C454" s="88" t="n">
        <x:v>22</x:v>
      </x:c>
      <x:c r="D454" s="88" t="str">
        <x:v>M14</x:v>
      </x:c>
      <x:c r="E454" s="88" t="str">
        <x:v>4-3 종료</x:v>
      </x:c>
      <x:c r="F454" s="104" t="n">
        <x:v>953.1560000000001</x:v>
      </x:c>
      <x:c r="G454" s="89" t="str">
        <x:v>시간패턴 추천(미확정)</x:v>
      </x:c>
      <x:c r="H454" s="89" t="n">
        <x:v>953.1560000000001</x:v>
      </x:c>
      <x:c r="I454" s="103" t="n">
        <x:v>948.576</x:v>
      </x:c>
      <x:c r="J454" s="89"/>
      <x:c r="K454" s="98" t="str">
        <x:v>애매</x:v>
      </x:c>
      <x:c r="L454" s="88" t="str"/>
    </x:row>
    <x:row r="455">
      <x:c r="A455" s="88" t="n">
        <x:v>22</x:v>
      </x:c>
      <x:c r="B455" s="88" t="str">
        <x:v>S22_KJH</x:v>
      </x:c>
      <x:c r="C455" s="88" t="n">
        <x:v>22</x:v>
      </x:c>
      <x:c r="D455" s="88" t="str">
        <x:v>M15</x:v>
      </x:c>
      <x:c r="E455" s="88" t="str">
        <x:v>4-4 시작</x:v>
      </x:c>
      <x:c r="F455" s="104" t="n">
        <x:v>969.6840000000001</x:v>
      </x:c>
      <x:c r="G455" s="89" t="str">
        <x:v>시간패턴 추천(미확정)</x:v>
      </x:c>
      <x:c r="H455" s="89" t="n">
        <x:v>969.6840000000001</x:v>
      </x:c>
      <x:c r="I455" s="103" t="n">
        <x:v>982.248</x:v>
      </x:c>
      <x:c r="J455" s="89"/>
      <x:c r="K455" s="88" t="str">
        <x:v>단일/없음</x:v>
      </x:c>
      <x:c r="L455" s="88" t="str"/>
    </x:row>
    <x:row r="456">
      <x:c r="A456" s="88" t="n">
        <x:v>22</x:v>
      </x:c>
      <x:c r="B456" s="88" t="str">
        <x:v>S22_KJH</x:v>
      </x:c>
      <x:c r="C456" s="88" t="n">
        <x:v>22</x:v>
      </x:c>
      <x:c r="D456" s="88" t="str">
        <x:v>M16</x:v>
      </x:c>
      <x:c r="E456" s="88" t="str">
        <x:v>4-4 종료</x:v>
      </x:c>
      <x:c r="F456" s="104" t="n">
        <x:v>982.248</x:v>
      </x:c>
      <x:c r="G456" s="89" t="str">
        <x:v>시간패턴 추천(미확정)</x:v>
      </x:c>
      <x:c r="H456" s="89" t="n">
        <x:v>982.248</x:v>
      </x:c>
      <x:c r="I456" s="103" t="n">
        <x:v>969.6840000000001</x:v>
      </x:c>
      <x:c r="J456" s="89"/>
      <x:c r="K456" s="88" t="str">
        <x:v>단일/없음</x:v>
      </x:c>
      <x:c r="L456" s="88" t="str"/>
    </x:row>
    <x:row r="457">
      <x:c r="A457" s="88" t="n">
        <x:v>22</x:v>
      </x:c>
      <x:c r="B457" s="88" t="str">
        <x:v>S22_KJH</x:v>
      </x:c>
      <x:c r="C457" s="88" t="n">
        <x:v>22</x:v>
      </x:c>
      <x:c r="D457" s="88" t="str">
        <x:v>M17</x:v>
      </x:c>
      <x:c r="E457" s="88" t="str">
        <x:v>5 시작</x:v>
      </x:c>
      <x:c r="F457" s="104" t="n">
        <x:v>1050.3039999999999</x:v>
      </x:c>
      <x:c r="G457" s="89" t="str">
        <x:v>시간패턴 추천(미확정)</x:v>
      </x:c>
      <x:c r="H457" s="89" t="n">
        <x:v>1050.3039999999999</x:v>
      </x:c>
      <x:c r="I457" s="89"/>
      <x:c r="J457" s="89"/>
      <x:c r="K457" s="88" t="str">
        <x:v>단일/없음</x:v>
      </x:c>
      <x:c r="L457" s="88" t="str"/>
    </x:row>
    <x:row r="458">
      <x:c r="A458" s="88" t="n">
        <x:v>22</x:v>
      </x:c>
      <x:c r="B458" s="88" t="str">
        <x:v>S22_KJH</x:v>
      </x:c>
      <x:c r="C458" s="88" t="n">
        <x:v>22</x:v>
      </x:c>
      <x:c r="D458" s="88" t="str">
        <x:v>M18</x:v>
      </x:c>
      <x:c r="E458" s="88" t="str">
        <x:v>5 종료</x:v>
      </x:c>
      <x:c r="F458" s="104" t="n">
        <x:v>1238.176</x:v>
      </x:c>
      <x:c r="G458" s="89" t="str">
        <x:v>시간패턴 추천(미확정)</x:v>
      </x:c>
      <x:c r="H458" s="89" t="n">
        <x:v>1238.176</x:v>
      </x:c>
      <x:c r="I458" s="89"/>
      <x:c r="J458" s="89"/>
      <x:c r="K458" s="88" t="str">
        <x:v>단일/없음</x:v>
      </x:c>
      <x:c r="L458" s="88" t="str"/>
    </x:row>
    <x:row r="459">
      <x:c r="A459" s="88" t="n">
        <x:v>22</x:v>
      </x:c>
      <x:c r="B459" s="88" t="str">
        <x:v>S22_KJH</x:v>
      </x:c>
      <x:c r="C459" s="88" t="n">
        <x:v>22</x:v>
      </x:c>
      <x:c r="D459" s="88" t="str">
        <x:v>M19</x:v>
      </x:c>
      <x:c r="E459" s="88" t="str">
        <x:v>6 시작</x:v>
      </x:c>
      <x:c r="F459" s="104" t="n">
        <x:v>1285.02</x:v>
      </x:c>
      <x:c r="G459" s="89" t="str">
        <x:v>시간패턴 추천(미확정)</x:v>
      </x:c>
      <x:c r="H459" s="89" t="n">
        <x:v>1285.02</x:v>
      </x:c>
      <x:c r="I459" s="89"/>
      <x:c r="J459" s="89"/>
      <x:c r="K459" s="88" t="str">
        <x:v>단일/없음</x:v>
      </x:c>
      <x:c r="L459" s="88" t="str"/>
    </x:row>
    <x:row r="460">
      <x:c r="A460" s="88" t="n">
        <x:v>22</x:v>
      </x:c>
      <x:c r="B460" s="88" t="str">
        <x:v>S22_KJH</x:v>
      </x:c>
      <x:c r="C460" s="88" t="n">
        <x:v>22</x:v>
      </x:c>
      <x:c r="D460" s="88" t="str">
        <x:v>M20</x:v>
      </x:c>
      <x:c r="E460" s="88" t="str">
        <x:v>6 종료</x:v>
      </x:c>
      <x:c r="F460" s="104" t="n">
        <x:v>1309.4759999999999</x:v>
      </x:c>
      <x:c r="G460" s="89" t="str">
        <x:v>시간패턴 추천(미확정)</x:v>
      </x:c>
      <x:c r="H460" s="89" t="n">
        <x:v>1309.4759999999999</x:v>
      </x:c>
      <x:c r="I460" s="89"/>
      <x:c r="J460" s="89"/>
      <x:c r="K460" s="88" t="str">
        <x:v>단일/없음</x:v>
      </x:c>
      <x:c r="L460" s="88" t="str"/>
    </x:row>
    <x:row r="461">
      <x:c r="A461" s="88" t="n">
        <x:v>22</x:v>
      </x:c>
      <x:c r="B461" s="88" t="str">
        <x:v>S22_KJH</x:v>
      </x:c>
      <x:c r="C461" s="88" t="n">
        <x:v>22</x:v>
      </x:c>
      <x:c r="D461" s="88" t="str">
        <x:v>M21</x:v>
      </x:c>
      <x:c r="E461" s="88" t="str">
        <x:v>7 시작</x:v>
      </x:c>
      <x:c r="F461" s="104" t="n">
        <x:v>1342.136</x:v>
      </x:c>
      <x:c r="G461" s="89" t="str">
        <x:v>시간패턴 추천(미확정)</x:v>
      </x:c>
      <x:c r="H461" s="89" t="n">
        <x:v>1342.136</x:v>
      </x:c>
      <x:c r="I461" s="103" t="n">
        <x:v>1355.8799999999999</x:v>
      </x:c>
      <x:c r="J461" s="89"/>
      <x:c r="K461" s="88" t="str">
        <x:v>단일/없음</x:v>
      </x:c>
      <x:c r="L461" s="88" t="str"/>
    </x:row>
    <x:row r="462">
      <x:c r="A462" s="88" t="n">
        <x:v>22</x:v>
      </x:c>
      <x:c r="B462" s="88" t="str">
        <x:v>S22_KJH</x:v>
      </x:c>
      <x:c r="C462" s="88" t="n">
        <x:v>22</x:v>
      </x:c>
      <x:c r="D462" s="88" t="str">
        <x:v>M22</x:v>
      </x:c>
      <x:c r="E462" s="88" t="str">
        <x:v>7 종료</x:v>
      </x:c>
      <x:c r="F462" s="104" t="n">
        <x:v>1355.8799999999999</x:v>
      </x:c>
      <x:c r="G462" s="89" t="str">
        <x:v>시간패턴 추천(미확정)</x:v>
      </x:c>
      <x:c r="H462" s="89" t="n">
        <x:v>1355.8799999999999</x:v>
      </x:c>
      <x:c r="I462" s="103" t="n">
        <x:v>1342.136</x:v>
      </x:c>
      <x:c r="J462" s="89"/>
      <x:c r="K462" s="88" t="str">
        <x:v>단일/없음</x:v>
      </x:c>
      <x:c r="L462" s="88" t="str"/>
    </x:row>
    <x:row r="463">
      <x:c r="A463" s="88" t="n">
        <x:v>23</x:v>
      </x:c>
      <x:c r="B463" s="88" t="str">
        <x:v>S23_KDM</x:v>
      </x:c>
      <x:c r="C463" s="88" t="n">
        <x:v>22</x:v>
      </x:c>
      <x:c r="D463" s="88" t="str">
        <x:v>M01</x:v>
      </x:c>
      <x:c r="E463" s="88" t="str">
        <x:v>1 시작</x:v>
      </x:c>
      <x:c r="F463" s="96" t="n">
        <x:v>17.03200000000001</x:v>
      </x:c>
      <x:c r="G463" s="89" t="str">
        <x:v>$2 최종 선택</x:v>
      </x:c>
      <x:c r="H463" s="89" t="n">
        <x:v>17.03200000000001</x:v>
      </x:c>
      <x:c r="I463" s="89"/>
      <x:c r="J463" s="89"/>
      <x:c r="K463" s="88" t="str">
        <x:v>단일/없음</x:v>
      </x:c>
      <x:c r="L463" s="88" t="str"/>
    </x:row>
    <x:row r="464">
      <x:c r="A464" s="88" t="n">
        <x:v>23</x:v>
      </x:c>
      <x:c r="B464" s="88" t="str">
        <x:v>S23_KDM</x:v>
      </x:c>
      <x:c r="C464" s="88" t="n">
        <x:v>22</x:v>
      </x:c>
      <x:c r="D464" s="88" t="str">
        <x:v>M02</x:v>
      </x:c>
      <x:c r="E464" s="88" t="str">
        <x:v>1 종료</x:v>
      </x:c>
      <x:c r="F464" s="96" t="n">
        <x:v>212.8</x:v>
      </x:c>
      <x:c r="G464" s="89" t="str">
        <x:v>$2 최종 선택</x:v>
      </x:c>
      <x:c r="H464" s="89" t="n">
        <x:v>212.8</x:v>
      </x:c>
      <x:c r="I464" s="89"/>
      <x:c r="J464" s="89"/>
      <x:c r="K464" s="88" t="str">
        <x:v>단일/없음</x:v>
      </x:c>
      <x:c r="L464" s="88" t="str"/>
    </x:row>
    <x:row r="465">
      <x:c r="A465" s="88" t="n">
        <x:v>23</x:v>
      </x:c>
      <x:c r="B465" s="88" t="str">
        <x:v>S23_KDM</x:v>
      </x:c>
      <x:c r="C465" s="88" t="n">
        <x:v>22</x:v>
      </x:c>
      <x:c r="D465" s="88" t="str">
        <x:v>M03</x:v>
      </x:c>
      <x:c r="E465" s="88" t="str">
        <x:v>2 시작</x:v>
      </x:c>
      <x:c r="F465" s="96" t="n">
        <x:v>229.692</x:v>
      </x:c>
      <x:c r="G465" s="89" t="str">
        <x:v>$2 최종 선택</x:v>
      </x:c>
      <x:c r="H465" s="89" t="n">
        <x:v>229.692</x:v>
      </x:c>
      <x:c r="I465" s="89"/>
      <x:c r="J465" s="89"/>
      <x:c r="K465" s="88" t="str">
        <x:v>단일/없음</x:v>
      </x:c>
      <x:c r="L465" s="88" t="str"/>
    </x:row>
    <x:row r="466">
      <x:c r="A466" s="88" t="n">
        <x:v>23</x:v>
      </x:c>
      <x:c r="B466" s="88" t="str">
        <x:v>S23_KDM</x:v>
      </x:c>
      <x:c r="C466" s="88" t="n">
        <x:v>22</x:v>
      </x:c>
      <x:c r="D466" s="88" t="str">
        <x:v>M04</x:v>
      </x:c>
      <x:c r="E466" s="88" t="str">
        <x:v>2 종료</x:v>
      </x:c>
      <x:c r="F466" s="96" t="n">
        <x:v>603.5240000000001</x:v>
      </x:c>
      <x:c r="G466" s="89" t="str">
        <x:v>$2 최종 선택</x:v>
      </x:c>
      <x:c r="H466" s="89" t="n">
        <x:v>603.5240000000001</x:v>
      </x:c>
      <x:c r="I466" s="89"/>
      <x:c r="J466" s="89"/>
      <x:c r="K466" s="88" t="str">
        <x:v>단일/없음</x:v>
      </x:c>
      <x:c r="L466" s="88" t="str"/>
    </x:row>
    <x:row r="467">
      <x:c r="A467" s="88" t="n">
        <x:v>23</x:v>
      </x:c>
      <x:c r="B467" s="88" t="str">
        <x:v>S23_KDM</x:v>
      </x:c>
      <x:c r="C467" s="88" t="n">
        <x:v>22</x:v>
      </x:c>
      <x:c r="D467" s="88" t="str">
        <x:v>M05</x:v>
      </x:c>
      <x:c r="E467" s="88" t="str">
        <x:v>3-1 시작</x:v>
      </x:c>
      <x:c r="F467" s="96" t="n">
        <x:v>659.9960000000001</x:v>
      </x:c>
      <x:c r="G467" s="89" t="str">
        <x:v>$2 최종 선택</x:v>
      </x:c>
      <x:c r="H467" s="89" t="n">
        <x:v>659.9960000000001</x:v>
      </x:c>
      <x:c r="I467" s="103" t="n">
        <x:v>671.0880000000001</x:v>
      </x:c>
      <x:c r="J467" s="89"/>
      <x:c r="K467" s="88" t="str">
        <x:v>단일/없음</x:v>
      </x:c>
      <x:c r="L467" s="88" t="str"/>
    </x:row>
    <x:row r="468">
      <x:c r="A468" s="88" t="n">
        <x:v>23</x:v>
      </x:c>
      <x:c r="B468" s="88" t="str">
        <x:v>S23_KDM</x:v>
      </x:c>
      <x:c r="C468" s="88" t="n">
        <x:v>22</x:v>
      </x:c>
      <x:c r="D468" s="88" t="str">
        <x:v>M06</x:v>
      </x:c>
      <x:c r="E468" s="88" t="str">
        <x:v>3-1 종료</x:v>
      </x:c>
      <x:c r="F468" s="96" t="n">
        <x:v>671.0880000000001</x:v>
      </x:c>
      <x:c r="G468" s="89" t="str">
        <x:v>$2 최종 선택</x:v>
      </x:c>
      <x:c r="H468" s="89" t="n">
        <x:v>671.0880000000001</x:v>
      </x:c>
      <x:c r="I468" s="103" t="n">
        <x:v>659.9960000000001</x:v>
      </x:c>
      <x:c r="J468" s="89"/>
      <x:c r="K468" s="88" t="str">
        <x:v>단일/없음</x:v>
      </x:c>
      <x:c r="L468" s="88" t="str"/>
    </x:row>
    <x:row r="469">
      <x:c r="A469" s="88" t="n">
        <x:v>23</x:v>
      </x:c>
      <x:c r="B469" s="88" t="str">
        <x:v>S23_KDM</x:v>
      </x:c>
      <x:c r="C469" s="88" t="n">
        <x:v>22</x:v>
      </x:c>
      <x:c r="D469" s="88" t="str">
        <x:v>M07</x:v>
      </x:c>
      <x:c r="E469" s="88" t="str">
        <x:v>3-2 시작</x:v>
      </x:c>
      <x:c r="F469" s="96" t="n">
        <x:v>691.2120000000001</x:v>
      </x:c>
      <x:c r="G469" s="89" t="str">
        <x:v>$2 최종 선택</x:v>
      </x:c>
      <x:c r="H469" s="89" t="n">
        <x:v>691.2120000000001</x:v>
      </x:c>
      <x:c r="I469" s="103" t="n">
        <x:v>702.5680000000001</x:v>
      </x:c>
      <x:c r="J469" s="89"/>
      <x:c r="K469" s="88" t="str">
        <x:v>단일/없음</x:v>
      </x:c>
      <x:c r="L469" s="88" t="str"/>
    </x:row>
    <x:row r="470">
      <x:c r="A470" s="88" t="n">
        <x:v>23</x:v>
      </x:c>
      <x:c r="B470" s="88" t="str">
        <x:v>S23_KDM</x:v>
      </x:c>
      <x:c r="C470" s="88" t="n">
        <x:v>22</x:v>
      </x:c>
      <x:c r="D470" s="88" t="str">
        <x:v>M08</x:v>
      </x:c>
      <x:c r="E470" s="88" t="str">
        <x:v>3-2 종료</x:v>
      </x:c>
      <x:c r="F470" s="96" t="n">
        <x:v>702.5680000000001</x:v>
      </x:c>
      <x:c r="G470" s="89" t="str">
        <x:v>$2 최종 선택</x:v>
      </x:c>
      <x:c r="H470" s="89" t="n">
        <x:v>702.5680000000001</x:v>
      </x:c>
      <x:c r="I470" s="103" t="n">
        <x:v>691.2120000000001</x:v>
      </x:c>
      <x:c r="J470" s="89"/>
      <x:c r="K470" s="88" t="str">
        <x:v>단일/없음</x:v>
      </x:c>
      <x:c r="L470" s="88" t="str"/>
    </x:row>
    <x:row r="471">
      <x:c r="A471" s="88" t="n">
        <x:v>23</x:v>
      </x:c>
      <x:c r="B471" s="88" t="str">
        <x:v>S23_KDM</x:v>
      </x:c>
      <x:c r="C471" s="88" t="n">
        <x:v>22</x:v>
      </x:c>
      <x:c r="D471" s="88" t="str">
        <x:v>M09</x:v>
      </x:c>
      <x:c r="E471" s="88" t="str">
        <x:v>4-1 시작</x:v>
      </x:c>
      <x:c r="F471" s="96" t="n">
        <x:v>756.1120000000001</x:v>
      </x:c>
      <x:c r="G471" s="89" t="str">
        <x:v>$2 최종 선택</x:v>
      </x:c>
      <x:c r="H471" s="89" t="n">
        <x:v>756.1120000000001</x:v>
      </x:c>
      <x:c r="I471" s="103" t="n">
        <x:v>762.3066666666667</x:v>
      </x:c>
      <x:c r="J471" s="89"/>
      <x:c r="K471" s="88" t="str">
        <x:v>단일/없음</x:v>
      </x:c>
      <x:c r="L471" s="88" t="str"/>
    </x:row>
    <x:row r="472">
      <x:c r="A472" s="88" t="n">
        <x:v>23</x:v>
      </x:c>
      <x:c r="B472" s="88" t="str">
        <x:v>S23_KDM</x:v>
      </x:c>
      <x:c r="C472" s="88" t="n">
        <x:v>22</x:v>
      </x:c>
      <x:c r="D472" s="88" t="str">
        <x:v>M10</x:v>
      </x:c>
      <x:c r="E472" s="88" t="str">
        <x:v>4-1 종료</x:v>
      </x:c>
      <x:c r="F472" s="96" t="n">
        <x:v>762.3066670000001</x:v>
      </x:c>
      <x:c r="G472" s="89" t="str">
        <x:v>$2 최종 선택</x:v>
      </x:c>
      <x:c r="H472" s="89" t="n">
        <x:v>762.3066666666667</x:v>
      </x:c>
      <x:c r="I472" s="103" t="n">
        <x:v>756.1120000000001</x:v>
      </x:c>
      <x:c r="J472" s="89"/>
      <x:c r="K472" s="88" t="str">
        <x:v>단일/없음</x:v>
      </x:c>
      <x:c r="L472" s="88" t="str"/>
    </x:row>
    <x:row r="473">
      <x:c r="A473" s="88" t="n">
        <x:v>23</x:v>
      </x:c>
      <x:c r="B473" s="88" t="str">
        <x:v>S23_KDM</x:v>
      </x:c>
      <x:c r="C473" s="88" t="n">
        <x:v>22</x:v>
      </x:c>
      <x:c r="D473" s="88" t="str">
        <x:v>M11</x:v>
      </x:c>
      <x:c r="E473" s="88" t="str">
        <x:v>4-2 시작</x:v>
      </x:c>
      <x:c r="F473" s="96" t="n">
        <x:v>777.9040000000001</x:v>
      </x:c>
      <x:c r="G473" s="89" t="str">
        <x:v>$2 최종 선택</x:v>
      </x:c>
      <x:c r="H473" s="89" t="n">
        <x:v>777.9040000000001</x:v>
      </x:c>
      <x:c r="I473" s="89"/>
      <x:c r="J473" s="89"/>
      <x:c r="K473" s="88" t="str">
        <x:v>단일/없음</x:v>
      </x:c>
      <x:c r="L473" s="88" t="str"/>
    </x:row>
    <x:row r="474">
      <x:c r="A474" s="88" t="n">
        <x:v>23</x:v>
      </x:c>
      <x:c r="B474" s="88" t="str">
        <x:v>S23_KDM</x:v>
      </x:c>
      <x:c r="C474" s="88" t="n">
        <x:v>22</x:v>
      </x:c>
      <x:c r="D474" s="88" t="str">
        <x:v>M12</x:v>
      </x:c>
      <x:c r="E474" s="88" t="str">
        <x:v>4-2 종료</x:v>
      </x:c>
      <x:c r="F474" s="96" t="n">
        <x:v>819.5640000000001</x:v>
      </x:c>
      <x:c r="G474" s="89" t="str">
        <x:v>$2 최종 선택</x:v>
      </x:c>
      <x:c r="H474" s="89" t="n">
        <x:v>819.5640000000001</x:v>
      </x:c>
      <x:c r="I474" s="103" t="n">
        <x:v>831.408</x:v>
      </x:c>
      <x:c r="J474" s="89"/>
      <x:c r="K474" s="88" t="str">
        <x:v>단일/없음</x:v>
      </x:c>
      <x:c r="L474" s="88" t="str"/>
    </x:row>
    <x:row r="475">
      <x:c r="A475" s="88" t="n">
        <x:v>23</x:v>
      </x:c>
      <x:c r="B475" s="88" t="str">
        <x:v>S23_KDM</x:v>
      </x:c>
      <x:c r="C475" s="88" t="n">
        <x:v>22</x:v>
      </x:c>
      <x:c r="D475" s="88" t="str">
        <x:v>M13</x:v>
      </x:c>
      <x:c r="E475" s="88" t="str">
        <x:v>4-3 시작</x:v>
      </x:c>
      <x:c r="F475" s="96" t="n">
        <x:v>831.408</x:v>
      </x:c>
      <x:c r="G475" s="89" t="str">
        <x:v>$2 최종 선택</x:v>
      </x:c>
      <x:c r="H475" s="89" t="n">
        <x:v>831.408</x:v>
      </x:c>
      <x:c r="I475" s="103" t="n">
        <x:v>841.3760000000001</x:v>
      </x:c>
      <x:c r="J475" s="103" t="n">
        <x:v>819.5640000000001</x:v>
      </x:c>
      <x:c r="K475" s="88" t="str">
        <x:v>단일/없음</x:v>
      </x:c>
      <x:c r="L475" s="88" t="str"/>
    </x:row>
    <x:row r="476">
      <x:c r="A476" s="88" t="n">
        <x:v>23</x:v>
      </x:c>
      <x:c r="B476" s="88" t="str">
        <x:v>S23_KDM</x:v>
      </x:c>
      <x:c r="C476" s="88" t="n">
        <x:v>22</x:v>
      </x:c>
      <x:c r="D476" s="88" t="str">
        <x:v>M14</x:v>
      </x:c>
      <x:c r="E476" s="88" t="str">
        <x:v>4-3 종료</x:v>
      </x:c>
      <x:c r="F476" s="96" t="n">
        <x:v>880.892</x:v>
      </x:c>
      <x:c r="G476" s="89" t="str">
        <x:v>$2 최종 선택</x:v>
      </x:c>
      <x:c r="H476" s="89" t="n">
        <x:v>880.892</x:v>
      </x:c>
      <x:c r="I476" s="89"/>
      <x:c r="J476" s="89"/>
      <x:c r="K476" s="88" t="str">
        <x:v>단일/없음</x:v>
      </x:c>
      <x:c r="L476" s="88" t="str"/>
    </x:row>
    <x:row r="477">
      <x:c r="A477" s="88" t="n">
        <x:v>23</x:v>
      </x:c>
      <x:c r="B477" s="88" t="str">
        <x:v>S23_KDM</x:v>
      </x:c>
      <x:c r="C477" s="88" t="n">
        <x:v>22</x:v>
      </x:c>
      <x:c r="D477" s="88" t="str">
        <x:v>M15</x:v>
      </x:c>
      <x:c r="E477" s="88" t="str">
        <x:v>4-4 시작</x:v>
      </x:c>
      <x:c r="F477" s="96" t="n">
        <x:v>899.908</x:v>
      </x:c>
      <x:c r="G477" s="89" t="str">
        <x:v>$2 최종 선택</x:v>
      </x:c>
      <x:c r="H477" s="89" t="n">
        <x:v>899.908</x:v>
      </x:c>
      <x:c r="I477" s="103" t="n">
        <x:v>907.7600000000001</x:v>
      </x:c>
      <x:c r="J477" s="89"/>
      <x:c r="K477" s="88" t="str">
        <x:v>단일/없음</x:v>
      </x:c>
      <x:c r="L477" s="88" t="str"/>
    </x:row>
    <x:row r="478">
      <x:c r="A478" s="88" t="n">
        <x:v>23</x:v>
      </x:c>
      <x:c r="B478" s="88" t="str">
        <x:v>S23_KDM</x:v>
      </x:c>
      <x:c r="C478" s="88" t="n">
        <x:v>22</x:v>
      </x:c>
      <x:c r="D478" s="88" t="str">
        <x:v>M16</x:v>
      </x:c>
      <x:c r="E478" s="88" t="str">
        <x:v>4-4 종료</x:v>
      </x:c>
      <x:c r="F478" s="96" t="n">
        <x:v>907.7600000000001</x:v>
      </x:c>
      <x:c r="G478" s="89" t="str">
        <x:v>$2 최종 선택</x:v>
      </x:c>
      <x:c r="H478" s="89" t="n">
        <x:v>907.7600000000001</x:v>
      </x:c>
      <x:c r="I478" s="103" t="n">
        <x:v>899.908</x:v>
      </x:c>
      <x:c r="J478" s="89"/>
      <x:c r="K478" s="88" t="str">
        <x:v>단일/없음</x:v>
      </x:c>
      <x:c r="L478" s="88" t="str"/>
    </x:row>
    <x:row r="479">
      <x:c r="A479" s="88" t="n">
        <x:v>23</x:v>
      </x:c>
      <x:c r="B479" s="88" t="str">
        <x:v>S23_KDM</x:v>
      </x:c>
      <x:c r="C479" s="88" t="n">
        <x:v>22</x:v>
      </x:c>
      <x:c r="D479" s="88" t="str">
        <x:v>M17</x:v>
      </x:c>
      <x:c r="E479" s="88" t="str">
        <x:v>5 시작</x:v>
      </x:c>
      <x:c r="F479" s="96" t="n">
        <x:v>946.6360000000001</x:v>
      </x:c>
      <x:c r="G479" s="89" t="str">
        <x:v>$2 최종 선택</x:v>
      </x:c>
      <x:c r="H479" s="89" t="n">
        <x:v>946.6360000000001</x:v>
      </x:c>
      <x:c r="I479" s="89"/>
      <x:c r="J479" s="89"/>
      <x:c r="K479" s="88" t="str">
        <x:v>단일/없음</x:v>
      </x:c>
      <x:c r="L479" s="88" t="str"/>
    </x:row>
    <x:row r="480">
      <x:c r="A480" s="88" t="n">
        <x:v>23</x:v>
      </x:c>
      <x:c r="B480" s="88" t="str">
        <x:v>S23_KDM</x:v>
      </x:c>
      <x:c r="C480" s="88" t="n">
        <x:v>22</x:v>
      </x:c>
      <x:c r="D480" s="88" t="str">
        <x:v>M18</x:v>
      </x:c>
      <x:c r="E480" s="88" t="str">
        <x:v>5 종료</x:v>
      </x:c>
      <x:c r="F480" s="96" t="n">
        <x:v>1130.296</x:v>
      </x:c>
      <x:c r="G480" s="89" t="str">
        <x:v>$2 최종 선택</x:v>
      </x:c>
      <x:c r="H480" s="89" t="n">
        <x:v>1130.296</x:v>
      </x:c>
      <x:c r="I480" s="89"/>
      <x:c r="J480" s="89"/>
      <x:c r="K480" s="88" t="str">
        <x:v>단일/없음</x:v>
      </x:c>
      <x:c r="L480" s="88" t="str"/>
    </x:row>
    <x:row r="481">
      <x:c r="A481" s="88" t="n">
        <x:v>23</x:v>
      </x:c>
      <x:c r="B481" s="88" t="str">
        <x:v>S23_KDM</x:v>
      </x:c>
      <x:c r="C481" s="88" t="n">
        <x:v>22</x:v>
      </x:c>
      <x:c r="D481" s="88" t="str">
        <x:v>M19</x:v>
      </x:c>
      <x:c r="E481" s="88" t="str">
        <x:v>6 시작</x:v>
      </x:c>
      <x:c r="F481" s="96" t="n">
        <x:v>1147.392</x:v>
      </x:c>
      <x:c r="G481" s="89" t="str">
        <x:v>$2 최종 선택</x:v>
      </x:c>
      <x:c r="H481" s="89" t="n">
        <x:v>1147.392</x:v>
      </x:c>
      <x:c r="I481" s="89"/>
      <x:c r="J481" s="89"/>
      <x:c r="K481" s="88" t="str">
        <x:v>단일/없음</x:v>
      </x:c>
      <x:c r="L481" s="88" t="str"/>
    </x:row>
    <x:row r="482">
      <x:c r="A482" s="88" t="n">
        <x:v>23</x:v>
      </x:c>
      <x:c r="B482" s="88" t="str">
        <x:v>S23_KDM</x:v>
      </x:c>
      <x:c r="C482" s="88" t="n">
        <x:v>22</x:v>
      </x:c>
      <x:c r="D482" s="88" t="str">
        <x:v>M20</x:v>
      </x:c>
      <x:c r="E482" s="88" t="str">
        <x:v>6 종료</x:v>
      </x:c>
      <x:c r="F482" s="96" t="n">
        <x:v>1170.656</x:v>
      </x:c>
      <x:c r="G482" s="89" t="str">
        <x:v>$2 최종 선택</x:v>
      </x:c>
      <x:c r="H482" s="89" t="n">
        <x:v>1170.656</x:v>
      </x:c>
      <x:c r="I482" s="89"/>
      <x:c r="J482" s="89"/>
      <x:c r="K482" s="88" t="str">
        <x:v>단일/없음</x:v>
      </x:c>
      <x:c r="L482" s="88" t="str"/>
    </x:row>
    <x:row r="483">
      <x:c r="A483" s="88" t="n">
        <x:v>23</x:v>
      </x:c>
      <x:c r="B483" s="88" t="str">
        <x:v>S23_KDM</x:v>
      </x:c>
      <x:c r="C483" s="88" t="n">
        <x:v>22</x:v>
      </x:c>
      <x:c r="D483" s="88" t="str">
        <x:v>M21</x:v>
      </x:c>
      <x:c r="E483" s="88" t="str">
        <x:v>7 시작</x:v>
      </x:c>
      <x:c r="F483" s="96" t="n">
        <x:v>1193.716</x:v>
      </x:c>
      <x:c r="G483" s="89" t="str">
        <x:v>$2 최종 선택</x:v>
      </x:c>
      <x:c r="H483" s="89" t="n">
        <x:v>1193.716</x:v>
      </x:c>
      <x:c r="I483" s="103" t="n">
        <x:v>1202.568</x:v>
      </x:c>
      <x:c r="J483" s="89"/>
      <x:c r="K483" s="88" t="str">
        <x:v>단일/없음</x:v>
      </x:c>
      <x:c r="L483" s="88" t="str"/>
    </x:row>
    <x:row r="484">
      <x:c r="A484" s="88" t="n">
        <x:v>23</x:v>
      </x:c>
      <x:c r="B484" s="88" t="str">
        <x:v>S23_KDM</x:v>
      </x:c>
      <x:c r="C484" s="88" t="n">
        <x:v>22</x:v>
      </x:c>
      <x:c r="D484" s="88" t="str">
        <x:v>M22</x:v>
      </x:c>
      <x:c r="E484" s="88" t="str">
        <x:v>7 종료</x:v>
      </x:c>
      <x:c r="F484" s="96" t="n">
        <x:v>1211.424</x:v>
      </x:c>
      <x:c r="G484" s="89" t="str">
        <x:v>$2 최종 선택</x:v>
      </x:c>
      <x:c r="H484" s="89" t="n">
        <x:v>1211.424</x:v>
      </x:c>
      <x:c r="I484" s="103" t="n">
        <x:v>1202.568</x:v>
      </x:c>
      <x:c r="J484" s="89"/>
      <x:c r="K484" s="88" t="str">
        <x:v>단일/없음</x:v>
      </x:c>
      <x:c r="L484" s="88" t="str"/>
    </x:row>
    <x:row r="485">
      <x:c r="A485" s="88" t="n">
        <x:v>25</x:v>
      </x:c>
      <x:c r="B485" s="88" t="str">
        <x:v>S25_GEC</x:v>
      </x:c>
      <x:c r="C485" s="88" t="n">
        <x:v>22</x:v>
      </x:c>
      <x:c r="D485" s="88" t="str">
        <x:v>M01</x:v>
      </x:c>
      <x:c r="E485" s="88" t="str">
        <x:v>1 시작</x:v>
      </x:c>
      <x:c r="F485" s="96" t="n">
        <x:v>19</x:v>
      </x:c>
      <x:c r="G485" s="89" t="str">
        <x:v>$2 최종 선택</x:v>
      </x:c>
      <x:c r="H485" s="89" t="n">
        <x:v>18.704000000000022</x:v>
      </x:c>
      <x:c r="I485" s="89"/>
      <x:c r="J485" s="89"/>
      <x:c r="K485" s="88" t="str">
        <x:v>단일/없음</x:v>
      </x:c>
      <x:c r="L485" s="88" t="str"/>
    </x:row>
    <x:row r="486">
      <x:c r="A486" s="88" t="n">
        <x:v>25</x:v>
      </x:c>
      <x:c r="B486" s="88" t="str">
        <x:v>S25_GEC</x:v>
      </x:c>
      <x:c r="C486" s="88" t="n">
        <x:v>22</x:v>
      </x:c>
      <x:c r="D486" s="88" t="str">
        <x:v>M02</x:v>
      </x:c>
      <x:c r="E486" s="88" t="str">
        <x:v>1 종료</x:v>
      </x:c>
      <x:c r="F486" s="96" t="n">
        <x:v>216.6</x:v>
      </x:c>
      <x:c r="G486" s="89" t="str">
        <x:v>$2 최종 선택</x:v>
      </x:c>
      <x:c r="H486" s="89" t="n">
        <x:v>216.50800000000004</x:v>
      </x:c>
      <x:c r="I486" s="103" t="n">
        <x:v>220.78400000000002</x:v>
      </x:c>
      <x:c r="J486" s="89"/>
      <x:c r="K486" s="98" t="str">
        <x:v>애매</x:v>
      </x:c>
      <x:c r="L486" s="88" t="str"/>
    </x:row>
    <x:row r="487">
      <x:c r="A487" s="88" t="n">
        <x:v>25</x:v>
      </x:c>
      <x:c r="B487" s="88" t="str">
        <x:v>S25_GEC</x:v>
      </x:c>
      <x:c r="C487" s="88" t="n">
        <x:v>22</x:v>
      </x:c>
      <x:c r="D487" s="88" t="str">
        <x:v>M03</x:v>
      </x:c>
      <x:c r="E487" s="88" t="str">
        <x:v>2 시작</x:v>
      </x:c>
      <x:c r="F487" s="96" t="n">
        <x:v>237</x:v>
      </x:c>
      <x:c r="G487" s="89" t="str">
        <x:v>$2 최종 선택</x:v>
      </x:c>
      <x:c r="H487" s="89" t="n">
        <x:v>236.96800000000002</x:v>
      </x:c>
      <x:c r="I487" s="89"/>
      <x:c r="J487" s="89"/>
      <x:c r="K487" s="88" t="str">
        <x:v>단일/없음</x:v>
      </x:c>
      <x:c r="L487" s="88" t="str"/>
    </x:row>
    <x:row r="488">
      <x:c r="A488" s="88" t="n">
        <x:v>25</x:v>
      </x:c>
      <x:c r="B488" s="88" t="str">
        <x:v>S25_GEC</x:v>
      </x:c>
      <x:c r="C488" s="88" t="n">
        <x:v>22</x:v>
      </x:c>
      <x:c r="D488" s="88" t="str">
        <x:v>M04</x:v>
      </x:c>
      <x:c r="E488" s="88" t="str">
        <x:v>2 종료</x:v>
      </x:c>
      <x:c r="F488" s="96" t="n">
        <x:v>611.8</x:v>
      </x:c>
      <x:c r="G488" s="89" t="str">
        <x:v>$2 최종 선택</x:v>
      </x:c>
      <x:c r="H488" s="89" t="n">
        <x:v>609.884</x:v>
      </x:c>
      <x:c r="I488" s="89"/>
      <x:c r="J488" s="89"/>
      <x:c r="K488" s="88" t="str">
        <x:v>단일/없음</x:v>
      </x:c>
      <x:c r="L488" s="88" t="str"/>
    </x:row>
    <x:row r="489">
      <x:c r="A489" s="88" t="n">
        <x:v>25</x:v>
      </x:c>
      <x:c r="B489" s="88" t="str">
        <x:v>S25_GEC</x:v>
      </x:c>
      <x:c r="C489" s="88" t="n">
        <x:v>22</x:v>
      </x:c>
      <x:c r="D489" s="88" t="str">
        <x:v>M05</x:v>
      </x:c>
      <x:c r="E489" s="88" t="str">
        <x:v>3-1 시작</x:v>
      </x:c>
      <x:c r="F489" s="96" t="n">
        <x:v>700.7</x:v>
      </x:c>
      <x:c r="G489" s="89" t="str">
        <x:v>$2 최종 선택</x:v>
      </x:c>
      <x:c r="H489" s="89" t="n">
        <x:v>699.87</x:v>
      </x:c>
      <x:c r="I489" s="89"/>
      <x:c r="J489" s="89"/>
      <x:c r="K489" s="88" t="str">
        <x:v>단일/없음</x:v>
      </x:c>
      <x:c r="L489" s="88" t="str"/>
    </x:row>
    <x:row r="490">
      <x:c r="A490" s="88" t="n">
        <x:v>25</x:v>
      </x:c>
      <x:c r="B490" s="88" t="str">
        <x:v>S25_GEC</x:v>
      </x:c>
      <x:c r="C490" s="88" t="n">
        <x:v>22</x:v>
      </x:c>
      <x:c r="D490" s="88" t="str">
        <x:v>M06</x:v>
      </x:c>
      <x:c r="E490" s="88" t="str">
        <x:v>3-1 종료</x:v>
      </x:c>
      <x:c r="F490" s="96" t="n">
        <x:v>722.7</x:v>
      </x:c>
      <x:c r="G490" s="89" t="str">
        <x:v>$2 최종 선택</x:v>
      </x:c>
      <x:c r="H490" s="89" t="n">
        <x:v>722.632</x:v>
      </x:c>
      <x:c r="I490" s="89"/>
      <x:c r="J490" s="89"/>
      <x:c r="K490" s="88" t="str">
        <x:v>단일/없음</x:v>
      </x:c>
      <x:c r="L490" s="88" t="str"/>
    </x:row>
    <x:row r="491">
      <x:c r="A491" s="88" t="n">
        <x:v>25</x:v>
      </x:c>
      <x:c r="B491" s="88" t="str">
        <x:v>S25_GEC</x:v>
      </x:c>
      <x:c r="C491" s="88" t="n">
        <x:v>22</x:v>
      </x:c>
      <x:c r="D491" s="88" t="str">
        <x:v>M07</x:v>
      </x:c>
      <x:c r="E491" s="88" t="str">
        <x:v>3-2 시작</x:v>
      </x:c>
      <x:c r="F491" s="96" t="n">
        <x:v>739.9</x:v>
      </x:c>
      <x:c r="G491" s="89" t="str">
        <x:v>$2 최종 선택</x:v>
      </x:c>
      <x:c r="H491" s="89" t="n">
        <x:v>738.604</x:v>
      </x:c>
      <x:c r="I491" s="103" t="n">
        <x:v>749.264</x:v>
      </x:c>
      <x:c r="J491" s="89"/>
      <x:c r="K491" s="88" t="str">
        <x:v>단일/없음</x:v>
      </x:c>
      <x:c r="L491" s="88" t="str"/>
    </x:row>
    <x:row r="492">
      <x:c r="A492" s="88" t="n">
        <x:v>25</x:v>
      </x:c>
      <x:c r="B492" s="88" t="str">
        <x:v>S25_GEC</x:v>
      </x:c>
      <x:c r="C492" s="88" t="n">
        <x:v>22</x:v>
      </x:c>
      <x:c r="D492" s="88" t="str">
        <x:v>M08</x:v>
      </x:c>
      <x:c r="E492" s="88" t="str">
        <x:v>3-2 종료</x:v>
      </x:c>
      <x:c r="F492" s="96" t="n">
        <x:v>749.3</x:v>
      </x:c>
      <x:c r="G492" s="89" t="str">
        <x:v>$2 최종 선택</x:v>
      </x:c>
      <x:c r="H492" s="89" t="n">
        <x:v>749.264</x:v>
      </x:c>
      <x:c r="I492" s="103" t="n">
        <x:v>738.604</x:v>
      </x:c>
      <x:c r="J492" s="89"/>
      <x:c r="K492" s="88" t="str">
        <x:v>단일/없음</x:v>
      </x:c>
      <x:c r="L492" s="88" t="str"/>
    </x:row>
    <x:row r="493">
      <x:c r="A493" s="88" t="n">
        <x:v>25</x:v>
      </x:c>
      <x:c r="B493" s="88" t="str">
        <x:v>S25_GEC</x:v>
      </x:c>
      <x:c r="C493" s="88" t="n">
        <x:v>22</x:v>
      </x:c>
      <x:c r="D493" s="88" t="str">
        <x:v>M09</x:v>
      </x:c>
      <x:c r="E493" s="88" t="str">
        <x:v>4-1 시작</x:v>
      </x:c>
      <x:c r="F493" s="96" t="n">
        <x:v>848.9</x:v>
      </x:c>
      <x:c r="G493" s="89" t="str">
        <x:v>$2 최종 선택</x:v>
      </x:c>
      <x:c r="H493" s="89" t="n">
        <x:v>847.968</x:v>
      </x:c>
      <x:c r="I493" s="103" t="n">
        <x:v>863.676</x:v>
      </x:c>
      <x:c r="J493" s="89"/>
      <x:c r="K493" s="88" t="str">
        <x:v>단일/없음</x:v>
      </x:c>
      <x:c r="L493" s="88" t="str"/>
    </x:row>
    <x:row r="494">
      <x:c r="A494" s="88" t="n">
        <x:v>25</x:v>
      </x:c>
      <x:c r="B494" s="88" t="str">
        <x:v>S25_GEC</x:v>
      </x:c>
      <x:c r="C494" s="88" t="n">
        <x:v>22</x:v>
      </x:c>
      <x:c r="D494" s="88" t="str">
        <x:v>M10</x:v>
      </x:c>
      <x:c r="E494" s="88" t="str">
        <x:v>4-1 종료</x:v>
      </x:c>
      <x:c r="F494" s="96" t="n">
        <x:v>863.8</x:v>
      </x:c>
      <x:c r="G494" s="89" t="str">
        <x:v>$2 최종 선택</x:v>
      </x:c>
      <x:c r="H494" s="89" t="n">
        <x:v>863.676</x:v>
      </x:c>
      <x:c r="I494" s="103" t="n">
        <x:v>874.524</x:v>
      </x:c>
      <x:c r="J494" s="89"/>
      <x:c r="K494" s="88" t="str">
        <x:v>단일/없음</x:v>
      </x:c>
      <x:c r="L494" s="88" t="str"/>
    </x:row>
    <x:row r="495">
      <x:c r="A495" s="88" t="n">
        <x:v>25</x:v>
      </x:c>
      <x:c r="B495" s="88" t="str">
        <x:v>S25_GEC</x:v>
      </x:c>
      <x:c r="C495" s="88" t="n">
        <x:v>22</x:v>
      </x:c>
      <x:c r="D495" s="88" t="str">
        <x:v>M11</x:v>
      </x:c>
      <x:c r="E495" s="88" t="str">
        <x:v>4-2 시작</x:v>
      </x:c>
      <x:c r="F495" s="96" t="n">
        <x:v>874.6</x:v>
      </x:c>
      <x:c r="G495" s="89" t="str">
        <x:v>$2 최종 선택</x:v>
      </x:c>
      <x:c r="H495" s="89" t="n">
        <x:v>874.524</x:v>
      </x:c>
      <x:c r="I495" s="103" t="n">
        <x:v>863.676</x:v>
      </x:c>
      <x:c r="J495" s="89"/>
      <x:c r="K495" s="88" t="str">
        <x:v>단일/없음</x:v>
      </x:c>
      <x:c r="L495" s="88" t="str"/>
    </x:row>
    <x:row r="496">
      <x:c r="A496" s="88" t="n">
        <x:v>25</x:v>
      </x:c>
      <x:c r="B496" s="88" t="str">
        <x:v>S25_GEC</x:v>
      </x:c>
      <x:c r="C496" s="88" t="n">
        <x:v>22</x:v>
      </x:c>
      <x:c r="D496" s="88" t="str">
        <x:v>M12</x:v>
      </x:c>
      <x:c r="E496" s="88" t="str">
        <x:v>4-2 종료</x:v>
      </x:c>
      <x:c r="F496" s="96" t="n">
        <x:v>923.9</x:v>
      </x:c>
      <x:c r="G496" s="89" t="str">
        <x:v>$2 최종 선택</x:v>
      </x:c>
      <x:c r="H496" s="89" t="n">
        <x:v>923.876</x:v>
      </x:c>
      <x:c r="I496" s="103" t="n">
        <x:v>919.492</x:v>
      </x:c>
      <x:c r="J496" s="103" t="n">
        <x:v>933.948</x:v>
      </x:c>
      <x:c r="K496" s="98" t="str">
        <x:v>애매</x:v>
      </x:c>
      <x:c r="L496" s="88" t="str"/>
    </x:row>
    <x:row r="497">
      <x:c r="A497" s="88" t="n">
        <x:v>25</x:v>
      </x:c>
      <x:c r="B497" s="88" t="str">
        <x:v>S25_GEC</x:v>
      </x:c>
      <x:c r="C497" s="88" t="n">
        <x:v>22</x:v>
      </x:c>
      <x:c r="D497" s="88" t="str">
        <x:v>M13</x:v>
      </x:c>
      <x:c r="E497" s="88" t="str">
        <x:v>4-3 시작</x:v>
      </x:c>
      <x:c r="F497" s="96" t="n">
        <x:v>934</x:v>
      </x:c>
      <x:c r="G497" s="89" t="str">
        <x:v>$2 최종 선택</x:v>
      </x:c>
      <x:c r="H497" s="89" t="n">
        <x:v>933.948</x:v>
      </x:c>
      <x:c r="I497" s="103" t="n">
        <x:v>923.876</x:v>
      </x:c>
      <x:c r="J497" s="103" t="n">
        <x:v>919.492</x:v>
      </x:c>
      <x:c r="K497" s="88" t="str">
        <x:v>단일/없음</x:v>
      </x:c>
      <x:c r="L497" s="88" t="str"/>
    </x:row>
    <x:row r="498">
      <x:c r="A498" s="88" t="n">
        <x:v>25</x:v>
      </x:c>
      <x:c r="B498" s="88" t="str">
        <x:v>S25_GEC</x:v>
      </x:c>
      <x:c r="C498" s="88" t="n">
        <x:v>22</x:v>
      </x:c>
      <x:c r="D498" s="88" t="str">
        <x:v>M14</x:v>
      </x:c>
      <x:c r="E498" s="88" t="str">
        <x:v>4-3 종료</x:v>
      </x:c>
      <x:c r="F498" s="96" t="n">
        <x:v>989.2</x:v>
      </x:c>
      <x:c r="G498" s="89" t="str">
        <x:v>$2 최종 선택</x:v>
      </x:c>
      <x:c r="H498" s="89" t="n">
        <x:v>989.248</x:v>
      </x:c>
      <x:c r="I498" s="103" t="n">
        <x:v>983.884</x:v>
      </x:c>
      <x:c r="J498" s="89"/>
      <x:c r="K498" s="88" t="str">
        <x:v>단일/없음</x:v>
      </x:c>
      <x:c r="L498" s="88" t="str"/>
    </x:row>
    <x:row r="499">
      <x:c r="A499" s="88" t="n">
        <x:v>25</x:v>
      </x:c>
      <x:c r="B499" s="88" t="str">
        <x:v>S25_GEC</x:v>
      </x:c>
      <x:c r="C499" s="88" t="n">
        <x:v>22</x:v>
      </x:c>
      <x:c r="D499" s="88" t="str">
        <x:v>M15</x:v>
      </x:c>
      <x:c r="E499" s="88" t="str">
        <x:v>4-4 시작</x:v>
      </x:c>
      <x:c r="F499" s="96" t="n">
        <x:v>1008.1</x:v>
      </x:c>
      <x:c r="G499" s="89" t="str">
        <x:v>$2 최종 선택</x:v>
      </x:c>
      <x:c r="H499" s="89" t="n">
        <x:v>1008.116</x:v>
      </x:c>
      <x:c r="I499" s="103" t="n">
        <x:v>1021.892</x:v>
      </x:c>
      <x:c r="J499" s="89"/>
      <x:c r="K499" s="88" t="str">
        <x:v>단일/없음</x:v>
      </x:c>
      <x:c r="L499" s="88" t="str"/>
    </x:row>
    <x:row r="500">
      <x:c r="A500" s="88" t="n">
        <x:v>25</x:v>
      </x:c>
      <x:c r="B500" s="88" t="str">
        <x:v>S25_GEC</x:v>
      </x:c>
      <x:c r="C500" s="88" t="n">
        <x:v>22</x:v>
      </x:c>
      <x:c r="D500" s="88" t="str">
        <x:v>M16</x:v>
      </x:c>
      <x:c r="E500" s="88" t="str">
        <x:v>4-4 종료</x:v>
      </x:c>
      <x:c r="F500" s="96" t="n">
        <x:v>1021.9</x:v>
      </x:c>
      <x:c r="G500" s="89" t="str">
        <x:v>$2 최종 선택</x:v>
      </x:c>
      <x:c r="H500" s="89" t="n">
        <x:v>1021.892</x:v>
      </x:c>
      <x:c r="I500" s="103" t="n">
        <x:v>1008.116</x:v>
      </x:c>
      <x:c r="J500" s="89"/>
      <x:c r="K500" s="88" t="str">
        <x:v>단일/없음</x:v>
      </x:c>
      <x:c r="L500" s="88" t="str"/>
    </x:row>
    <x:row r="501">
      <x:c r="A501" s="88" t="n">
        <x:v>25</x:v>
      </x:c>
      <x:c r="B501" s="88" t="str">
        <x:v>S25_GEC</x:v>
      </x:c>
      <x:c r="C501" s="88" t="n">
        <x:v>22</x:v>
      </x:c>
      <x:c r="D501" s="88" t="str">
        <x:v>M17</x:v>
      </x:c>
      <x:c r="E501" s="88" t="str">
        <x:v>5 시작</x:v>
      </x:c>
      <x:c r="F501" s="96" t="n">
        <x:v>1093.6</x:v>
      </x:c>
      <x:c r="G501" s="89" t="str">
        <x:v>$2 최종 선택</x:v>
      </x:c>
      <x:c r="H501" s="89" t="n">
        <x:v>1093.524</x:v>
      </x:c>
      <x:c r="I501" s="89"/>
      <x:c r="J501" s="89"/>
      <x:c r="K501" s="88" t="str">
        <x:v>단일/없음</x:v>
      </x:c>
      <x:c r="L501" s="88" t="str"/>
    </x:row>
    <x:row r="502">
      <x:c r="A502" s="88" t="n">
        <x:v>25</x:v>
      </x:c>
      <x:c r="B502" s="88" t="str">
        <x:v>S25_GEC</x:v>
      </x:c>
      <x:c r="C502" s="88" t="n">
        <x:v>22</x:v>
      </x:c>
      <x:c r="D502" s="88" t="str">
        <x:v>M18</x:v>
      </x:c>
      <x:c r="E502" s="88" t="str">
        <x:v>5 종료</x:v>
      </x:c>
      <x:c r="F502" s="96" t="n">
        <x:v>1283.9</x:v>
      </x:c>
      <x:c r="G502" s="89" t="str">
        <x:v>$2 최종 선택</x:v>
      </x:c>
      <x:c r="H502" s="89" t="n">
        <x:v>1283.88</x:v>
      </x:c>
      <x:c r="I502" s="89"/>
      <x:c r="J502" s="89"/>
      <x:c r="K502" s="88" t="str">
        <x:v>단일/없음</x:v>
      </x:c>
      <x:c r="L502" s="88" t="str"/>
    </x:row>
    <x:row r="503">
      <x:c r="A503" s="88" t="n">
        <x:v>25</x:v>
      </x:c>
      <x:c r="B503" s="88" t="str">
        <x:v>S25_GEC</x:v>
      </x:c>
      <x:c r="C503" s="88" t="n">
        <x:v>22</x:v>
      </x:c>
      <x:c r="D503" s="88" t="str">
        <x:v>M19</x:v>
      </x:c>
      <x:c r="E503" s="88" t="str">
        <x:v>6 시작</x:v>
      </x:c>
      <x:c r="F503" s="96" t="n">
        <x:v>1319.4</x:v>
      </x:c>
      <x:c r="G503" s="89" t="str">
        <x:v>$2 최종 선택</x:v>
      </x:c>
      <x:c r="H503" s="89" t="n">
        <x:v>1319.396</x:v>
      </x:c>
      <x:c r="I503" s="103" t="n">
        <x:v>1324.748</x:v>
      </x:c>
      <x:c r="J503" s="103" t="n">
        <x:v>1311.692</x:v>
      </x:c>
      <x:c r="K503" s="88" t="str">
        <x:v>단일/없음</x:v>
      </x:c>
      <x:c r="L503" s="88" t="str"/>
    </x:row>
    <x:row r="504">
      <x:c r="A504" s="88" t="n">
        <x:v>25</x:v>
      </x:c>
      <x:c r="B504" s="88" t="str">
        <x:v>S25_GEC</x:v>
      </x:c>
      <x:c r="C504" s="88" t="n">
        <x:v>22</x:v>
      </x:c>
      <x:c r="D504" s="88" t="str">
        <x:v>M20</x:v>
      </x:c>
      <x:c r="E504" s="88" t="str">
        <x:v>6 종료</x:v>
      </x:c>
      <x:c r="F504" s="96" t="n">
        <x:v>1345.4</x:v>
      </x:c>
      <x:c r="G504" s="89" t="str">
        <x:v>$2 최종 선택</x:v>
      </x:c>
      <x:c r="H504" s="89" t="n">
        <x:v>1345.38</x:v>
      </x:c>
      <x:c r="I504" s="89"/>
      <x:c r="J504" s="89"/>
      <x:c r="K504" s="88" t="str">
        <x:v>단일/없음</x:v>
      </x:c>
      <x:c r="L504" s="88" t="str"/>
    </x:row>
    <x:row r="505">
      <x:c r="A505" s="88" t="n">
        <x:v>25</x:v>
      </x:c>
      <x:c r="B505" s="88" t="str">
        <x:v>S25_GEC</x:v>
      </x:c>
      <x:c r="C505" s="88" t="n">
        <x:v>22</x:v>
      </x:c>
      <x:c r="D505" s="88" t="str">
        <x:v>M21</x:v>
      </x:c>
      <x:c r="E505" s="88" t="str">
        <x:v>7 시작</x:v>
      </x:c>
      <x:c r="F505" s="96" t="n">
        <x:v>1373.2</x:v>
      </x:c>
      <x:c r="G505" s="89" t="str">
        <x:v>$2 최종 선택</x:v>
      </x:c>
      <x:c r="H505" s="89" t="n">
        <x:v>1373.112</x:v>
      </x:c>
      <x:c r="I505" s="103" t="n">
        <x:v>1387.38</x:v>
      </x:c>
      <x:c r="J505" s="89"/>
      <x:c r="K505" s="88" t="str">
        <x:v>단일/없음</x:v>
      </x:c>
      <x:c r="L505" s="88" t="str"/>
    </x:row>
    <x:row r="506">
      <x:c r="A506" s="88" t="n">
        <x:v>25</x:v>
      </x:c>
      <x:c r="B506" s="88" t="str">
        <x:v>S25_GEC</x:v>
      </x:c>
      <x:c r="C506" s="88" t="n">
        <x:v>22</x:v>
      </x:c>
      <x:c r="D506" s="88" t="str">
        <x:v>M22</x:v>
      </x:c>
      <x:c r="E506" s="88" t="str">
        <x:v>7 종료</x:v>
      </x:c>
      <x:c r="F506" s="96" t="n">
        <x:v>1387.4</x:v>
      </x:c>
      <x:c r="G506" s="89" t="str">
        <x:v>$2 최종 선택</x:v>
      </x:c>
      <x:c r="H506" s="89" t="n">
        <x:v>1387.38</x:v>
      </x:c>
      <x:c r="I506" s="103" t="n">
        <x:v>1373.112</x:v>
      </x:c>
      <x:c r="J506" s="89"/>
      <x:c r="K506" s="88" t="str">
        <x:v>단일/없음</x:v>
      </x:c>
      <x:c r="L506" s="88" t="str"/>
    </x:row>
    <x:row r="507">
      <x:c r="A507" s="88" t="n">
        <x:v>26</x:v>
      </x:c>
      <x:c r="B507" s="88" t="str">
        <x:v>S26_LDW</x:v>
      </x:c>
      <x:c r="C507" s="88" t="n">
        <x:v>22</x:v>
      </x:c>
      <x:c r="D507" s="88" t="str">
        <x:v>M01</x:v>
      </x:c>
      <x:c r="E507" s="88" t="str">
        <x:v>1 시작</x:v>
      </x:c>
      <x:c r="F507" s="96" t="n">
        <x:v>12.588000000000042</x:v>
      </x:c>
      <x:c r="G507" s="89" t="str">
        <x:v>$2 최종 선택</x:v>
      </x:c>
      <x:c r="H507" s="89" t="n">
        <x:v>12.588000000000042</x:v>
      </x:c>
      <x:c r="I507" s="89"/>
      <x:c r="J507" s="89"/>
      <x:c r="K507" s="88" t="str">
        <x:v>단일/없음</x:v>
      </x:c>
      <x:c r="L507" s="88" t="str"/>
    </x:row>
    <x:row r="508">
      <x:c r="A508" s="88" t="n">
        <x:v>26</x:v>
      </x:c>
      <x:c r="B508" s="88" t="str">
        <x:v>S26_LDW</x:v>
      </x:c>
      <x:c r="C508" s="88" t="n">
        <x:v>22</x:v>
      </x:c>
      <x:c r="D508" s="88" t="str">
        <x:v>M02</x:v>
      </x:c>
      <x:c r="E508" s="88" t="str">
        <x:v>1 종료</x:v>
      </x:c>
      <x:c r="F508" s="96" t="n">
        <x:v>206.84400000000005</x:v>
      </x:c>
      <x:c r="G508" s="89" t="str">
        <x:v>$2 최종 선택</x:v>
      </x:c>
      <x:c r="H508" s="89" t="n">
        <x:v>206.84400000000005</x:v>
      </x:c>
      <x:c r="I508" s="89"/>
      <x:c r="J508" s="89"/>
      <x:c r="K508" s="88" t="str">
        <x:v>단일/없음</x:v>
      </x:c>
      <x:c r="L508" s="88" t="str"/>
    </x:row>
    <x:row r="509">
      <x:c r="A509" s="88" t="n">
        <x:v>26</x:v>
      </x:c>
      <x:c r="B509" s="88" t="str">
        <x:v>S26_LDW</x:v>
      </x:c>
      <x:c r="C509" s="88" t="n">
        <x:v>22</x:v>
      </x:c>
      <x:c r="D509" s="88" t="str">
        <x:v>M03</x:v>
      </x:c>
      <x:c r="E509" s="88" t="str">
        <x:v>2 시작</x:v>
      </x:c>
      <x:c r="F509" s="96" t="n">
        <x:v>257.132</x:v>
      </x:c>
      <x:c r="G509" s="89" t="str">
        <x:v>$2 최종 선택</x:v>
      </x:c>
      <x:c r="H509" s="89" t="n">
        <x:v>257.132</x:v>
      </x:c>
      <x:c r="I509" s="89"/>
      <x:c r="J509" s="89"/>
      <x:c r="K509" s="88" t="str">
        <x:v>단일/없음</x:v>
      </x:c>
      <x:c r="L509" s="88" t="str"/>
    </x:row>
    <x:row r="510">
      <x:c r="A510" s="88" t="n">
        <x:v>26</x:v>
      </x:c>
      <x:c r="B510" s="88" t="str">
        <x:v>S26_LDW</x:v>
      </x:c>
      <x:c r="C510" s="88" t="n">
        <x:v>22</x:v>
      </x:c>
      <x:c r="D510" s="88" t="str">
        <x:v>M04</x:v>
      </x:c>
      <x:c r="E510" s="88" t="str">
        <x:v>2 종료</x:v>
      </x:c>
      <x:c r="F510" s="96" t="n">
        <x:v>633.0600000000001</x:v>
      </x:c>
      <x:c r="G510" s="89" t="str">
        <x:v>$2 최종 선택</x:v>
      </x:c>
      <x:c r="H510" s="89" t="n">
        <x:v>633.0600000000001</x:v>
      </x:c>
      <x:c r="I510" s="89"/>
      <x:c r="J510" s="89"/>
      <x:c r="K510" s="88" t="str">
        <x:v>단일/없음</x:v>
      </x:c>
      <x:c r="L510" s="88" t="str"/>
    </x:row>
    <x:row r="511">
      <x:c r="A511" s="88" t="n">
        <x:v>26</x:v>
      </x:c>
      <x:c r="B511" s="88" t="str">
        <x:v>S26_LDW</x:v>
      </x:c>
      <x:c r="C511" s="88" t="n">
        <x:v>22</x:v>
      </x:c>
      <x:c r="D511" s="88" t="str">
        <x:v>M05</x:v>
      </x:c>
      <x:c r="E511" s="88" t="str">
        <x:v>3-1 시작</x:v>
      </x:c>
      <x:c r="F511" s="96" t="n">
        <x:v>687.072</x:v>
      </x:c>
      <x:c r="G511" s="89" t="str">
        <x:v>$2 최종 선택</x:v>
      </x:c>
      <x:c r="H511" s="89" t="n">
        <x:v>687.072</x:v>
      </x:c>
      <x:c r="I511" s="103" t="n">
        <x:v>699.96</x:v>
      </x:c>
      <x:c r="J511" s="89"/>
      <x:c r="K511" s="88" t="str">
        <x:v>단일/없음</x:v>
      </x:c>
      <x:c r="L511" s="88" t="str"/>
    </x:row>
    <x:row r="512">
      <x:c r="A512" s="88" t="n">
        <x:v>26</x:v>
      </x:c>
      <x:c r="B512" s="88" t="str">
        <x:v>S26_LDW</x:v>
      </x:c>
      <x:c r="C512" s="88" t="n">
        <x:v>22</x:v>
      </x:c>
      <x:c r="D512" s="88" t="str">
        <x:v>M06</x:v>
      </x:c>
      <x:c r="E512" s="88" t="str">
        <x:v>3-1 종료</x:v>
      </x:c>
      <x:c r="F512" s="96" t="n">
        <x:v>699.96</x:v>
      </x:c>
      <x:c r="G512" s="89" t="str">
        <x:v>$2 최종 선택</x:v>
      </x:c>
      <x:c r="H512" s="89" t="n">
        <x:v>699.96</x:v>
      </x:c>
      <x:c r="I512" s="103" t="n">
        <x:v>687.072</x:v>
      </x:c>
      <x:c r="J512" s="89"/>
      <x:c r="K512" s="88" t="str">
        <x:v>단일/없음</x:v>
      </x:c>
      <x:c r="L512" s="88" t="str"/>
    </x:row>
    <x:row r="513">
      <x:c r="A513" s="88" t="n">
        <x:v>26</x:v>
      </x:c>
      <x:c r="B513" s="88" t="str">
        <x:v>S26_LDW</x:v>
      </x:c>
      <x:c r="C513" s="88" t="n">
        <x:v>22</x:v>
      </x:c>
      <x:c r="D513" s="88" t="str">
        <x:v>M07</x:v>
      </x:c>
      <x:c r="E513" s="88" t="str">
        <x:v>3-2 시작</x:v>
      </x:c>
      <x:c r="F513" s="96" t="n">
        <x:v>718.672</x:v>
      </x:c>
      <x:c r="G513" s="89" t="str">
        <x:v>$2 최종 선택</x:v>
      </x:c>
      <x:c r="H513" s="89" t="n">
        <x:v>718.672</x:v>
      </x:c>
      <x:c r="I513" s="103" t="n">
        <x:v>730.8000000000001</x:v>
      </x:c>
      <x:c r="J513" s="89"/>
      <x:c r="K513" s="88" t="str">
        <x:v>단일/없음</x:v>
      </x:c>
      <x:c r="L513" s="88" t="str"/>
    </x:row>
    <x:row r="514">
      <x:c r="A514" s="88" t="n">
        <x:v>26</x:v>
      </x:c>
      <x:c r="B514" s="88" t="str">
        <x:v>S26_LDW</x:v>
      </x:c>
      <x:c r="C514" s="88" t="n">
        <x:v>22</x:v>
      </x:c>
      <x:c r="D514" s="88" t="str">
        <x:v>M08</x:v>
      </x:c>
      <x:c r="E514" s="88" t="str">
        <x:v>3-2 종료</x:v>
      </x:c>
      <x:c r="F514" s="96" t="n">
        <x:v>730.8000000000001</x:v>
      </x:c>
      <x:c r="G514" s="89" t="str">
        <x:v>$2 최종 선택</x:v>
      </x:c>
      <x:c r="H514" s="89" t="n">
        <x:v>730.8000000000001</x:v>
      </x:c>
      <x:c r="I514" s="103" t="n">
        <x:v>718.672</x:v>
      </x:c>
      <x:c r="J514" s="89"/>
      <x:c r="K514" s="88" t="str">
        <x:v>단일/없음</x:v>
      </x:c>
      <x:c r="L514" s="88" t="str"/>
    </x:row>
    <x:row r="515">
      <x:c r="A515" s="88" t="n">
        <x:v>26</x:v>
      </x:c>
      <x:c r="B515" s="88" t="str">
        <x:v>S26_LDW</x:v>
      </x:c>
      <x:c r="C515" s="88" t="n">
        <x:v>22</x:v>
      </x:c>
      <x:c r="D515" s="88" t="str">
        <x:v>M09</x:v>
      </x:c>
      <x:c r="E515" s="88" t="str">
        <x:v>4-1 시작</x:v>
      </x:c>
      <x:c r="F515" s="96" t="n">
        <x:v>788.4200000000001</x:v>
      </x:c>
      <x:c r="G515" s="89" t="str">
        <x:v>$2 최종 선택</x:v>
      </x:c>
      <x:c r="H515" s="89" t="n">
        <x:v>788.4200000000001</x:v>
      </x:c>
      <x:c r="I515" s="103" t="n">
        <x:v>794.936</x:v>
      </x:c>
      <x:c r="J515" s="89"/>
      <x:c r="K515" s="88" t="str">
        <x:v>단일/없음</x:v>
      </x:c>
      <x:c r="L515" s="88" t="str"/>
    </x:row>
    <x:row r="516">
      <x:c r="A516" s="88" t="n">
        <x:v>26</x:v>
      </x:c>
      <x:c r="B516" s="88" t="str">
        <x:v>S26_LDW</x:v>
      </x:c>
      <x:c r="C516" s="88" t="n">
        <x:v>22</x:v>
      </x:c>
      <x:c r="D516" s="88" t="str">
        <x:v>M10</x:v>
      </x:c>
      <x:c r="E516" s="88" t="str">
        <x:v>4-1 종료</x:v>
      </x:c>
      <x:c r="F516" s="96" t="n">
        <x:v>804.976</x:v>
      </x:c>
      <x:c r="G516" s="89" t="str">
        <x:v>$2 최종 선택</x:v>
      </x:c>
      <x:c r="H516" s="89" t="n">
        <x:v>804.976</x:v>
      </x:c>
      <x:c r="I516" s="103" t="n">
        <x:v>794.936</x:v>
      </x:c>
      <x:c r="J516" s="103" t="n">
        <x:v>817.904</x:v>
      </x:c>
      <x:c r="K516" s="88" t="str">
        <x:v>단일/없음</x:v>
      </x:c>
      <x:c r="L516" s="88" t="str"/>
    </x:row>
    <x:row r="517">
      <x:c r="A517" s="88" t="n">
        <x:v>26</x:v>
      </x:c>
      <x:c r="B517" s="88" t="str">
        <x:v>S26_LDW</x:v>
      </x:c>
      <x:c r="C517" s="88" t="n">
        <x:v>22</x:v>
      </x:c>
      <x:c r="D517" s="88" t="str">
        <x:v>M11</x:v>
      </x:c>
      <x:c r="E517" s="88" t="str">
        <x:v>4-2 시작</x:v>
      </x:c>
      <x:c r="F517" s="96" t="n">
        <x:v>817.904</x:v>
      </x:c>
      <x:c r="G517" s="89" t="str">
        <x:v>$2 최종 선택</x:v>
      </x:c>
      <x:c r="H517" s="89" t="n">
        <x:v>817.904</x:v>
      </x:c>
      <x:c r="I517" s="103" t="n">
        <x:v>804.976</x:v>
      </x:c>
      <x:c r="J517" s="89"/>
      <x:c r="K517" s="88" t="str">
        <x:v>단일/없음</x:v>
      </x:c>
      <x:c r="L517" s="88" t="str"/>
    </x:row>
    <x:row r="518">
      <x:c r="A518" s="88" t="n">
        <x:v>26</x:v>
      </x:c>
      <x:c r="B518" s="88" t="str">
        <x:v>S26_LDW</x:v>
      </x:c>
      <x:c r="C518" s="88" t="n">
        <x:v>22</x:v>
      </x:c>
      <x:c r="D518" s="88" t="str">
        <x:v>M12</x:v>
      </x:c>
      <x:c r="E518" s="88" t="str">
        <x:v>4-2 종료</x:v>
      </x:c>
      <x:c r="F518" s="96" t="n">
        <x:v>864.6493330000001</x:v>
      </x:c>
      <x:c r="G518" s="89" t="str">
        <x:v>$2 최종 선택</x:v>
      </x:c>
      <x:c r="H518" s="89" t="n">
        <x:v>864.6493333333334</x:v>
      </x:c>
      <x:c r="I518" s="103" t="n">
        <x:v>874.236</x:v>
      </x:c>
      <x:c r="J518" s="103" t="n">
        <x:v>879.344</x:v>
      </x:c>
      <x:c r="K518" s="88" t="str">
        <x:v>단일/없음</x:v>
      </x:c>
      <x:c r="L518" s="88" t="str"/>
    </x:row>
    <x:row r="519">
      <x:c r="A519" s="88" t="n">
        <x:v>26</x:v>
      </x:c>
      <x:c r="B519" s="88" t="str">
        <x:v>S26_LDW</x:v>
      </x:c>
      <x:c r="C519" s="88" t="n">
        <x:v>22</x:v>
      </x:c>
      <x:c r="D519" s="88" t="str">
        <x:v>M13</x:v>
      </x:c>
      <x:c r="E519" s="88" t="str">
        <x:v>4-3 시작</x:v>
      </x:c>
      <x:c r="F519" s="96" t="n">
        <x:v>874.236</x:v>
      </x:c>
      <x:c r="G519" s="89" t="str">
        <x:v>$2 최종 선택</x:v>
      </x:c>
      <x:c r="H519" s="89" t="n">
        <x:v>874.236</x:v>
      </x:c>
      <x:c r="I519" s="103" t="n">
        <x:v>879.344</x:v>
      </x:c>
      <x:c r="J519" s="103" t="n">
        <x:v>864.6493333333334</x:v>
      </x:c>
      <x:c r="K519" s="88" t="str">
        <x:v>단일/없음</x:v>
      </x:c>
      <x:c r="L519" s="88" t="str"/>
    </x:row>
    <x:row r="520">
      <x:c r="A520" s="88" t="n">
        <x:v>26</x:v>
      </x:c>
      <x:c r="B520" s="88" t="str">
        <x:v>S26_LDW</x:v>
      </x:c>
      <x:c r="C520" s="88" t="n">
        <x:v>22</x:v>
      </x:c>
      <x:c r="D520" s="88" t="str">
        <x:v>M14</x:v>
      </x:c>
      <x:c r="E520" s="88" t="str">
        <x:v>4-3 종료</x:v>
      </x:c>
      <x:c r="F520" s="96" t="n">
        <x:v>923.36</x:v>
      </x:c>
      <x:c r="G520" s="89" t="str">
        <x:v>$2 최종 선택</x:v>
      </x:c>
      <x:c r="H520" s="89" t="n">
        <x:v>923.3600000000001</x:v>
      </x:c>
      <x:c r="I520" s="89"/>
      <x:c r="J520" s="89"/>
      <x:c r="K520" s="88" t="str">
        <x:v>단일/없음</x:v>
      </x:c>
      <x:c r="L520" s="88" t="str"/>
    </x:row>
    <x:row r="521">
      <x:c r="A521" s="88" t="n">
        <x:v>26</x:v>
      </x:c>
      <x:c r="B521" s="88" t="str">
        <x:v>S26_LDW</x:v>
      </x:c>
      <x:c r="C521" s="88" t="n">
        <x:v>22</x:v>
      </x:c>
      <x:c r="D521" s="88" t="str">
        <x:v>M15</x:v>
      </x:c>
      <x:c r="E521" s="88" t="str">
        <x:v>4-4 시작</x:v>
      </x:c>
      <x:c r="F521" s="96" t="n">
        <x:v>944.8960000000001</x:v>
      </x:c>
      <x:c r="G521" s="89" t="str">
        <x:v>$2 최종 선택</x:v>
      </x:c>
      <x:c r="H521" s="89" t="n">
        <x:v>944.8960000000001</x:v>
      </x:c>
      <x:c r="I521" s="103" t="n">
        <x:v>958.112</x:v>
      </x:c>
      <x:c r="J521" s="89"/>
      <x:c r="K521" s="88" t="str">
        <x:v>단일/없음</x:v>
      </x:c>
      <x:c r="L521" s="88" t="str"/>
    </x:row>
    <x:row r="522">
      <x:c r="A522" s="88" t="n">
        <x:v>26</x:v>
      </x:c>
      <x:c r="B522" s="88" t="str">
        <x:v>S26_LDW</x:v>
      </x:c>
      <x:c r="C522" s="88" t="n">
        <x:v>22</x:v>
      </x:c>
      <x:c r="D522" s="88" t="str">
        <x:v>M16</x:v>
      </x:c>
      <x:c r="E522" s="88" t="str">
        <x:v>4-4 종료</x:v>
      </x:c>
      <x:c r="F522" s="96" t="n">
        <x:v>958.112</x:v>
      </x:c>
      <x:c r="G522" s="89" t="str">
        <x:v>$2 최종 선택</x:v>
      </x:c>
      <x:c r="H522" s="89" t="n">
        <x:v>958.112</x:v>
      </x:c>
      <x:c r="I522" s="103" t="n">
        <x:v>944.8960000000001</x:v>
      </x:c>
      <x:c r="J522" s="89"/>
      <x:c r="K522" s="88" t="str">
        <x:v>단일/없음</x:v>
      </x:c>
      <x:c r="L522" s="88" t="str"/>
    </x:row>
    <x:row r="523">
      <x:c r="A523" s="88" t="n">
        <x:v>26</x:v>
      </x:c>
      <x:c r="B523" s="88" t="str">
        <x:v>S26_LDW</x:v>
      </x:c>
      <x:c r="C523" s="88" t="n">
        <x:v>22</x:v>
      </x:c>
      <x:c r="D523" s="88" t="str">
        <x:v>M17</x:v>
      </x:c>
      <x:c r="E523" s="88" t="str">
        <x:v>5 시작</x:v>
      </x:c>
      <x:c r="F523" s="96" t="n">
        <x:v>1021.684</x:v>
      </x:c>
      <x:c r="G523" s="89" t="str">
        <x:v>$2 최종 선택</x:v>
      </x:c>
      <x:c r="H523" s="89" t="n">
        <x:v>1021.684</x:v>
      </x:c>
      <x:c r="I523" s="89"/>
      <x:c r="J523" s="89"/>
      <x:c r="K523" s="88" t="str">
        <x:v>단일/없음</x:v>
      </x:c>
      <x:c r="L523" s="88" t="str"/>
    </x:row>
    <x:row r="524">
      <x:c r="A524" s="88" t="n">
        <x:v>26</x:v>
      </x:c>
      <x:c r="B524" s="88" t="str">
        <x:v>S26_LDW</x:v>
      </x:c>
      <x:c r="C524" s="88" t="n">
        <x:v>22</x:v>
      </x:c>
      <x:c r="D524" s="88" t="str">
        <x:v>M18</x:v>
      </x:c>
      <x:c r="E524" s="88" t="str">
        <x:v>5 종료</x:v>
      </x:c>
      <x:c r="F524" s="96" t="n">
        <x:v>1213.629333</x:v>
      </x:c>
      <x:c r="G524" s="89" t="str">
        <x:v>$2 최종 선택</x:v>
      </x:c>
      <x:c r="H524" s="89" t="n">
        <x:v>1213.6293333333333</x:v>
      </x:c>
      <x:c r="I524" s="89"/>
      <x:c r="J524" s="89"/>
      <x:c r="K524" s="88" t="str">
        <x:v>단일/없음</x:v>
      </x:c>
      <x:c r="L524" s="88" t="str"/>
    </x:row>
    <x:row r="525">
      <x:c r="A525" s="88" t="n">
        <x:v>26</x:v>
      </x:c>
      <x:c r="B525" s="88" t="str">
        <x:v>S26_LDW</x:v>
      </x:c>
      <x:c r="C525" s="88" t="n">
        <x:v>22</x:v>
      </x:c>
      <x:c r="D525" s="88" t="str">
        <x:v>M19</x:v>
      </x:c>
      <x:c r="E525" s="88" t="str">
        <x:v>6 시작</x:v>
      </x:c>
      <x:c r="F525" s="96" t="n">
        <x:v>1230.5200000000002</x:v>
      </x:c>
      <x:c r="G525" s="89" t="str">
        <x:v>$2 최종 선택</x:v>
      </x:c>
      <x:c r="H525" s="89" t="n">
        <x:v>1230.5200000000002</x:v>
      </x:c>
      <x:c r="I525" s="89"/>
      <x:c r="J525" s="89"/>
      <x:c r="K525" s="88" t="str">
        <x:v>단일/없음</x:v>
      </x:c>
      <x:c r="L525" s="88" t="str"/>
    </x:row>
    <x:row r="526">
      <x:c r="A526" s="88" t="n">
        <x:v>26</x:v>
      </x:c>
      <x:c r="B526" s="88" t="str">
        <x:v>S26_LDW</x:v>
      </x:c>
      <x:c r="C526" s="88" t="n">
        <x:v>22</x:v>
      </x:c>
      <x:c r="D526" s="88" t="str">
        <x:v>M20</x:v>
      </x:c>
      <x:c r="E526" s="88" t="str">
        <x:v>6 종료</x:v>
      </x:c>
      <x:c r="F526" s="96" t="n">
        <x:v>1256.652</x:v>
      </x:c>
      <x:c r="G526" s="89" t="str">
        <x:v>$2 최종 선택</x:v>
      </x:c>
      <x:c r="H526" s="89" t="n">
        <x:v>1256.652</x:v>
      </x:c>
      <x:c r="I526" s="89"/>
      <x:c r="J526" s="89"/>
      <x:c r="K526" s="88" t="str">
        <x:v>단일/없음</x:v>
      </x:c>
      <x:c r="L526" s="88" t="str"/>
    </x:row>
    <x:row r="527">
      <x:c r="A527" s="88" t="n">
        <x:v>26</x:v>
      </x:c>
      <x:c r="B527" s="88" t="str">
        <x:v>S26_LDW</x:v>
      </x:c>
      <x:c r="C527" s="88" t="n">
        <x:v>22</x:v>
      </x:c>
      <x:c r="D527" s="88" t="str">
        <x:v>M21</x:v>
      </x:c>
      <x:c r="E527" s="88" t="str">
        <x:v>7 시작</x:v>
      </x:c>
      <x:c r="F527" s="96" t="n">
        <x:v>1277.9920000000002</x:v>
      </x:c>
      <x:c r="G527" s="89" t="str">
        <x:v>$2 최종 선택</x:v>
      </x:c>
      <x:c r="H527" s="89" t="n">
        <x:v>1277.9920000000002</x:v>
      </x:c>
      <x:c r="I527" s="103" t="n">
        <x:v>1291.4080000000001</x:v>
      </x:c>
      <x:c r="J527" s="89"/>
      <x:c r="K527" s="88" t="str">
        <x:v>단일/없음</x:v>
      </x:c>
      <x:c r="L527" s="88" t="str"/>
    </x:row>
    <x:row r="528">
      <x:c r="A528" s="88" t="n">
        <x:v>26</x:v>
      </x:c>
      <x:c r="B528" s="88" t="str">
        <x:v>S26_LDW</x:v>
      </x:c>
      <x:c r="C528" s="88" t="n">
        <x:v>22</x:v>
      </x:c>
      <x:c r="D528" s="88" t="str">
        <x:v>M22</x:v>
      </x:c>
      <x:c r="E528" s="88" t="str">
        <x:v>7 종료</x:v>
      </x:c>
      <x:c r="F528" s="96" t="n">
        <x:v>1291.4080000000001</x:v>
      </x:c>
      <x:c r="G528" s="89" t="str">
        <x:v>$2 최종 선택</x:v>
      </x:c>
      <x:c r="H528" s="89" t="n">
        <x:v>1291.4080000000001</x:v>
      </x:c>
      <x:c r="I528" s="103" t="n">
        <x:v>1277.9920000000002</x:v>
      </x:c>
      <x:c r="J528" s="89"/>
      <x:c r="K528" s="88" t="str">
        <x:v>단일/없음</x:v>
      </x:c>
      <x:c r="L528" s="88" t="str"/>
    </x:row>
    <x:row r="529">
      <x:c r="A529" s="88" t="n">
        <x:v>27</x:v>
      </x:c>
      <x:c r="B529" s="88" t="str">
        <x:v>S27_HDH</x:v>
      </x:c>
      <x:c r="C529" s="88" t="n">
        <x:v>22</x:v>
      </x:c>
      <x:c r="D529" s="88" t="str">
        <x:v>M01</x:v>
      </x:c>
      <x:c r="E529" s="88" t="str">
        <x:v>1 시작</x:v>
      </x:c>
      <x:c r="F529" s="96" t="n">
        <x:v>6.2</x:v>
      </x:c>
      <x:c r="G529" s="89" t="str">
        <x:v>$2 최종 선택</x:v>
      </x:c>
      <x:c r="H529" s="89" t="n">
        <x:v>4.8680000000000625</x:v>
      </x:c>
      <x:c r="I529" s="103" t="n">
        <x:v>-2.083999999999936</x:v>
      </x:c>
      <x:c r="J529" s="89"/>
      <x:c r="K529" s="88" t="str">
        <x:v>단일/없음</x:v>
      </x:c>
      <x:c r="L529" s="88" t="str"/>
    </x:row>
    <x:row r="530">
      <x:c r="A530" s="88" t="n">
        <x:v>27</x:v>
      </x:c>
      <x:c r="B530" s="88" t="str">
        <x:v>S27_HDH</x:v>
      </x:c>
      <x:c r="C530" s="88" t="n">
        <x:v>22</x:v>
      </x:c>
      <x:c r="D530" s="88" t="str">
        <x:v>M02</x:v>
      </x:c>
      <x:c r="E530" s="88" t="str">
        <x:v>1 종료</x:v>
      </x:c>
      <x:c r="F530" s="96" t="n">
        <x:v>198.3</x:v>
      </x:c>
      <x:c r="G530" s="89" t="str">
        <x:v>$2 최종 선택</x:v>
      </x:c>
      <x:c r="H530" s="89" t="n">
        <x:v>201.85333333333338</x:v>
      </x:c>
      <x:c r="I530" s="89"/>
      <x:c r="J530" s="89"/>
      <x:c r="K530" s="88" t="str">
        <x:v>단일/없음</x:v>
      </x:c>
      <x:c r="L530" s="88" t="str"/>
    </x:row>
    <x:row r="531">
      <x:c r="A531" s="88" t="n">
        <x:v>27</x:v>
      </x:c>
      <x:c r="B531" s="88" t="str">
        <x:v>S27_HDH</x:v>
      </x:c>
      <x:c r="C531" s="88" t="n">
        <x:v>22</x:v>
      </x:c>
      <x:c r="D531" s="88" t="str">
        <x:v>M03</x:v>
      </x:c>
      <x:c r="E531" s="88" t="str">
        <x:v>2 시작</x:v>
      </x:c>
      <x:c r="F531" s="96" t="n">
        <x:v>221.1</x:v>
      </x:c>
      <x:c r="G531" s="89" t="str">
        <x:v>$2 최종 선택</x:v>
      </x:c>
      <x:c r="H531" s="89" t="n">
        <x:v>224.43040000000008</x:v>
      </x:c>
      <x:c r="I531" s="89"/>
      <x:c r="J531" s="89"/>
      <x:c r="K531" s="88" t="str">
        <x:v>단일/없음</x:v>
      </x:c>
      <x:c r="L531" s="88" t="str"/>
    </x:row>
    <x:row r="532">
      <x:c r="A532" s="88" t="n">
        <x:v>27</x:v>
      </x:c>
      <x:c r="B532" s="88" t="str">
        <x:v>S27_HDH</x:v>
      </x:c>
      <x:c r="C532" s="88" t="n">
        <x:v>22</x:v>
      </x:c>
      <x:c r="D532" s="88" t="str">
        <x:v>M04</x:v>
      </x:c>
      <x:c r="E532" s="88" t="str">
        <x:v>2 종료</x:v>
      </x:c>
      <x:c r="F532" s="96" t="n">
        <x:v>596.9</x:v>
      </x:c>
      <x:c r="G532" s="89" t="str">
        <x:v>$2 최종 선택</x:v>
      </x:c>
      <x:c r="H532" s="89" t="n">
        <x:v>598.373</x:v>
      </x:c>
      <x:c r="I532" s="89"/>
      <x:c r="J532" s="89"/>
      <x:c r="K532" s="88" t="str">
        <x:v>단일/없음</x:v>
      </x:c>
      <x:c r="L532" s="88" t="str"/>
    </x:row>
    <x:row r="533">
      <x:c r="A533" s="88" t="n">
        <x:v>27</x:v>
      </x:c>
      <x:c r="B533" s="88" t="str">
        <x:v>S27_HDH</x:v>
      </x:c>
      <x:c r="C533" s="88" t="n">
        <x:v>22</x:v>
      </x:c>
      <x:c r="D533" s="88" t="str">
        <x:v>M05</x:v>
      </x:c>
      <x:c r="E533" s="88" t="str">
        <x:v>3-1 시작</x:v>
      </x:c>
      <x:c r="F533" s="96" t="n">
        <x:v>649.1</x:v>
      </x:c>
      <x:c r="G533" s="89" t="str">
        <x:v>$2 최종 선택</x:v>
      </x:c>
      <x:c r="H533" s="89" t="n">
        <x:v>648.4440000000001</x:v>
      </x:c>
      <x:c r="I533" s="89"/>
      <x:c r="J533" s="89"/>
      <x:c r="K533" s="88" t="str">
        <x:v>단일/없음</x:v>
      </x:c>
      <x:c r="L533" s="88" t="str"/>
    </x:row>
    <x:row r="534">
      <x:c r="A534" s="88" t="n">
        <x:v>27</x:v>
      </x:c>
      <x:c r="B534" s="88" t="str">
        <x:v>S27_HDH</x:v>
      </x:c>
      <x:c r="C534" s="88" t="n">
        <x:v>22</x:v>
      </x:c>
      <x:c r="D534" s="88" t="str">
        <x:v>M06</x:v>
      </x:c>
      <x:c r="E534" s="88" t="str">
        <x:v>3-1 종료</x:v>
      </x:c>
      <x:c r="F534" s="96" t="n">
        <x:v>663.7</x:v>
      </x:c>
      <x:c r="G534" s="89" t="str">
        <x:v>$2 최종 선택</x:v>
      </x:c>
      <x:c r="H534" s="89" t="n">
        <x:v>665.6626666666668</x:v>
      </x:c>
      <x:c r="I534" s="89"/>
      <x:c r="J534" s="89"/>
      <x:c r="K534" s="88" t="str">
        <x:v>단일/없음</x:v>
      </x:c>
      <x:c r="L534" s="88" t="str"/>
    </x:row>
    <x:row r="535">
      <x:c r="A535" s="88" t="n">
        <x:v>27</x:v>
      </x:c>
      <x:c r="B535" s="88" t="str">
        <x:v>S27_HDH</x:v>
      </x:c>
      <x:c r="C535" s="88" t="n">
        <x:v>22</x:v>
      </x:c>
      <x:c r="D535" s="88" t="str">
        <x:v>M07</x:v>
      </x:c>
      <x:c r="E535" s="88" t="str">
        <x:v>3-2 시작</x:v>
      </x:c>
      <x:c r="F535" s="96" t="n">
        <x:v>682.1</x:v>
      </x:c>
      <x:c r="G535" s="89" t="str">
        <x:v>$2 최종 선택</x:v>
      </x:c>
      <x:c r="H535" s="89" t="n">
        <x:v>684.2653333333335</x:v>
      </x:c>
      <x:c r="I535" s="89"/>
      <x:c r="J535" s="89"/>
      <x:c r="K535" s="88" t="str">
        <x:v>단일/없음</x:v>
      </x:c>
      <x:c r="L535" s="88" t="str"/>
    </x:row>
    <x:row r="536">
      <x:c r="A536" s="88" t="n">
        <x:v>27</x:v>
      </x:c>
      <x:c r="B536" s="88" t="str">
        <x:v>S27_HDH</x:v>
      </x:c>
      <x:c r="C536" s="88" t="n">
        <x:v>22</x:v>
      </x:c>
      <x:c r="D536" s="88" t="str">
        <x:v>M08</x:v>
      </x:c>
      <x:c r="E536" s="88" t="str">
        <x:v>3-2 종료</x:v>
      </x:c>
      <x:c r="F536" s="96" t="n">
        <x:v>695.7</x:v>
      </x:c>
      <x:c r="G536" s="89" t="str">
        <x:v>$2 최종 선택</x:v>
      </x:c>
      <x:c r="H536" s="89" t="n">
        <x:v>698.0120000000001</x:v>
      </x:c>
      <x:c r="I536" s="103" t="n">
        <x:v>684.2653333333335</x:v>
      </x:c>
      <x:c r="J536" s="89"/>
      <x:c r="K536" s="88" t="str">
        <x:v>단일/없음</x:v>
      </x:c>
      <x:c r="L536" s="88" t="str"/>
    </x:row>
    <x:row r="537">
      <x:c r="A537" s="88" t="n">
        <x:v>27</x:v>
      </x:c>
      <x:c r="B537" s="88" t="str">
        <x:v>S27_HDH</x:v>
      </x:c>
      <x:c r="C537" s="88" t="n">
        <x:v>22</x:v>
      </x:c>
      <x:c r="D537" s="88" t="str">
        <x:v>M09</x:v>
      </x:c>
      <x:c r="E537" s="88" t="str">
        <x:v>4-1 시작</x:v>
      </x:c>
      <x:c r="F537" s="96" t="n">
        <x:v>754</x:v>
      </x:c>
      <x:c r="G537" s="89" t="str">
        <x:v>$2 최종 선택</x:v>
      </x:c>
      <x:c r="H537" s="89" t="n">
        <x:v>754.6417142857144</x:v>
      </x:c>
      <x:c r="I537" s="103" t="n">
        <x:v>762.7600000000001</x:v>
      </x:c>
      <x:c r="J537" s="103" t="n">
        <x:v>768.6224000000001</x:v>
      </x:c>
      <x:c r="K537" s="88" t="str">
        <x:v>단일/없음</x:v>
      </x:c>
      <x:c r="L537" s="88" t="str"/>
    </x:row>
    <x:row r="538">
      <x:c r="A538" s="88" t="n">
        <x:v>27</x:v>
      </x:c>
      <x:c r="B538" s="88" t="str">
        <x:v>S27_HDH</x:v>
      </x:c>
      <x:c r="C538" s="88" t="n">
        <x:v>22</x:v>
      </x:c>
      <x:c r="D538" s="88" t="str">
        <x:v>M10</x:v>
      </x:c>
      <x:c r="E538" s="88" t="str">
        <x:v>4-1 종료</x:v>
      </x:c>
      <x:c r="F538" s="96" t="n">
        <x:v>767.2</x:v>
      </x:c>
      <x:c r="G538" s="89" t="str">
        <x:v>$2 최종 선택</x:v>
      </x:c>
      <x:c r="H538" s="89" t="n">
        <x:v>768.6224000000001</x:v>
      </x:c>
      <x:c r="I538" s="103" t="n">
        <x:v>762.7600000000001</x:v>
      </x:c>
      <x:c r="J538" s="103" t="n">
        <x:v>754.6417142857144</x:v>
      </x:c>
      <x:c r="K538" s="98" t="str">
        <x:v>애매</x:v>
      </x:c>
      <x:c r="L538" s="88" t="str"/>
    </x:row>
    <x:row r="539">
      <x:c r="A539" s="88" t="n">
        <x:v>27</x:v>
      </x:c>
      <x:c r="B539" s="88" t="str">
        <x:v>S27_HDH</x:v>
      </x:c>
      <x:c r="C539" s="88" t="n">
        <x:v>22</x:v>
      </x:c>
      <x:c r="D539" s="88" t="str">
        <x:v>M11</x:v>
      </x:c>
      <x:c r="E539" s="88" t="str">
        <x:v>4-2 시작</x:v>
      </x:c>
      <x:c r="F539" s="96" t="n">
        <x:v>780.3</x:v>
      </x:c>
      <x:c r="G539" s="89" t="str">
        <x:v>$2 최종 선택</x:v>
      </x:c>
      <x:c r="H539" s="89" t="n">
        <x:v>779.8220000000001</x:v>
      </x:c>
      <x:c r="I539" s="103" t="n">
        <x:v>786.4840000000002</x:v>
      </x:c>
      <x:c r="J539" s="103" t="n">
        <x:v>768.6224000000001</x:v>
      </x:c>
      <x:c r="K539" s="88" t="str">
        <x:v>단일/없음</x:v>
      </x:c>
      <x:c r="L539" s="88" t="str"/>
    </x:row>
    <x:row r="540">
      <x:c r="A540" s="88" t="n">
        <x:v>27</x:v>
      </x:c>
      <x:c r="B540" s="88" t="str">
        <x:v>S27_HDH</x:v>
      </x:c>
      <x:c r="C540" s="88" t="n">
        <x:v>22</x:v>
      </x:c>
      <x:c r="D540" s="88" t="str">
        <x:v>M12</x:v>
      </x:c>
      <x:c r="E540" s="88" t="str">
        <x:v>4-2 종료</x:v>
      </x:c>
      <x:c r="F540" s="96" t="n">
        <x:v>825.9</x:v>
      </x:c>
      <x:c r="G540" s="89" t="str">
        <x:v>$2 최종 선택</x:v>
      </x:c>
      <x:c r="H540" s="89" t="n">
        <x:v>826.4820000000001</x:v>
      </x:c>
      <x:c r="I540" s="103" t="n">
        <x:v>840.8826666666669</x:v>
      </x:c>
      <x:c r="J540" s="89"/>
      <x:c r="K540" s="88" t="str">
        <x:v>단일/없음</x:v>
      </x:c>
      <x:c r="L540" s="88" t="str"/>
    </x:row>
    <x:row r="541">
      <x:c r="A541" s="88" t="n">
        <x:v>27</x:v>
      </x:c>
      <x:c r="B541" s="88" t="str">
        <x:v>S27_HDH</x:v>
      </x:c>
      <x:c r="C541" s="88" t="n">
        <x:v>22</x:v>
      </x:c>
      <x:c r="D541" s="88" t="str">
        <x:v>M13</x:v>
      </x:c>
      <x:c r="E541" s="88" t="str">
        <x:v>4-3 시작</x:v>
      </x:c>
      <x:c r="F541" s="96" t="n">
        <x:v>838.1</x:v>
      </x:c>
      <x:c r="G541" s="89" t="str">
        <x:v>$2 최종 선택</x:v>
      </x:c>
      <x:c r="H541" s="89" t="n">
        <x:v>840.8826666666669</x:v>
      </x:c>
      <x:c r="I541" s="103" t="n">
        <x:v>826.4820000000001</x:v>
      </x:c>
      <x:c r="J541" s="89"/>
      <x:c r="K541" s="88" t="str">
        <x:v>단일/없음</x:v>
      </x:c>
      <x:c r="L541" s="88" t="str"/>
    </x:row>
    <x:row r="542">
      <x:c r="A542" s="88" t="n">
        <x:v>27</x:v>
      </x:c>
      <x:c r="B542" s="88" t="str">
        <x:v>S27_HDH</x:v>
      </x:c>
      <x:c r="C542" s="88" t="n">
        <x:v>22</x:v>
      </x:c>
      <x:c r="D542" s="88" t="str">
        <x:v>M14</x:v>
      </x:c>
      <x:c r="E542" s="88" t="str">
        <x:v>4-3 종료</x:v>
      </x:c>
      <x:c r="F542" s="96" t="n">
        <x:v>889</x:v>
      </x:c>
      <x:c r="G542" s="89" t="str">
        <x:v>$2 최종 선택</x:v>
      </x:c>
      <x:c r="H542" s="89" t="n">
        <x:v>890.0660000000001</x:v>
      </x:c>
      <x:c r="I542" s="89"/>
      <x:c r="J542" s="89"/>
      <x:c r="K542" s="88" t="str">
        <x:v>단일/없음</x:v>
      </x:c>
      <x:c r="L542" s="88" t="str"/>
    </x:row>
    <x:row r="543">
      <x:c r="A543" s="88" t="n">
        <x:v>27</x:v>
      </x:c>
      <x:c r="B543" s="88" t="str">
        <x:v>S27_HDH</x:v>
      </x:c>
      <x:c r="C543" s="88" t="n">
        <x:v>22</x:v>
      </x:c>
      <x:c r="D543" s="88" t="str">
        <x:v>M15</x:v>
      </x:c>
      <x:c r="E543" s="88" t="str">
        <x:v>4-4 시작</x:v>
      </x:c>
      <x:c r="F543" s="96" t="n">
        <x:v>910</x:v>
      </x:c>
      <x:c r="G543" s="89" t="str">
        <x:v>$2 최종 선택</x:v>
      </x:c>
      <x:c r="H543" s="89" t="n">
        <x:v>911.0400000000002</x:v>
      </x:c>
      <x:c r="I543" s="103" t="n">
        <x:v>921.5666666666667</x:v>
      </x:c>
      <x:c r="J543" s="89"/>
      <x:c r="K543" s="88" t="str">
        <x:v>단일/없음</x:v>
      </x:c>
      <x:c r="L543" s="88" t="str"/>
    </x:row>
    <x:row r="544">
      <x:c r="A544" s="88" t="n">
        <x:v>27</x:v>
      </x:c>
      <x:c r="B544" s="88" t="str">
        <x:v>S27_HDH</x:v>
      </x:c>
      <x:c r="C544" s="88" t="n">
        <x:v>22</x:v>
      </x:c>
      <x:c r="D544" s="88" t="str">
        <x:v>M16</x:v>
      </x:c>
      <x:c r="E544" s="88" t="str">
        <x:v>4-4 종료</x:v>
      </x:c>
      <x:c r="F544" s="96" t="n">
        <x:v>922.5</x:v>
      </x:c>
      <x:c r="G544" s="89" t="str">
        <x:v>$2 최종 선택</x:v>
      </x:c>
      <x:c r="H544" s="89" t="n">
        <x:v>921.5666666666667</x:v>
      </x:c>
      <x:c r="I544" s="103" t="n">
        <x:v>911.0400000000002</x:v>
      </x:c>
      <x:c r="J544" s="89"/>
      <x:c r="K544" s="88" t="str">
        <x:v>단일/없음</x:v>
      </x:c>
      <x:c r="L544" s="88" t="str"/>
    </x:row>
    <x:row r="545">
      <x:c r="A545" s="88" t="n">
        <x:v>27</x:v>
      </x:c>
      <x:c r="B545" s="88" t="str">
        <x:v>S27_HDH</x:v>
      </x:c>
      <x:c r="C545" s="88" t="n">
        <x:v>22</x:v>
      </x:c>
      <x:c r="D545" s="88" t="str">
        <x:v>M17</x:v>
      </x:c>
      <x:c r="E545" s="88" t="str">
        <x:v>5 시작</x:v>
      </x:c>
      <x:c r="F545" s="96" t="n">
        <x:v>972</x:v>
      </x:c>
      <x:c r="G545" s="89" t="str">
        <x:v>$2 최종 선택</x:v>
      </x:c>
      <x:c r="H545" s="89" t="n">
        <x:v>969.8104000000001</x:v>
      </x:c>
      <x:c r="I545" s="89"/>
      <x:c r="J545" s="89"/>
      <x:c r="K545" s="88" t="str">
        <x:v>단일/없음</x:v>
      </x:c>
      <x:c r="L545" s="88" t="str"/>
    </x:row>
    <x:row r="546">
      <x:c r="A546" s="88" t="n">
        <x:v>27</x:v>
      </x:c>
      <x:c r="B546" s="88" t="str">
        <x:v>S27_HDH</x:v>
      </x:c>
      <x:c r="C546" s="88" t="n">
        <x:v>22</x:v>
      </x:c>
      <x:c r="D546" s="88" t="str">
        <x:v>M18</x:v>
      </x:c>
      <x:c r="E546" s="88" t="str">
        <x:v>5 종료</x:v>
      </x:c>
      <x:c r="F546" s="96" t="n">
        <x:v>1159.6</x:v>
      </x:c>
      <x:c r="G546" s="89" t="str">
        <x:v>$2 최종 선택</x:v>
      </x:c>
      <x:c r="H546" s="89" t="n">
        <x:v>1158.0295</x:v>
      </x:c>
      <x:c r="I546" s="89"/>
      <x:c r="J546" s="89"/>
      <x:c r="K546" s="88" t="str">
        <x:v>단일/없음</x:v>
      </x:c>
      <x:c r="L546" s="88" t="str"/>
    </x:row>
    <x:row r="547">
      <x:c r="A547" s="88" t="n">
        <x:v>27</x:v>
      </x:c>
      <x:c r="B547" s="88" t="str">
        <x:v>S27_HDH</x:v>
      </x:c>
      <x:c r="C547" s="88" t="n">
        <x:v>22</x:v>
      </x:c>
      <x:c r="D547" s="88" t="str">
        <x:v>M19</x:v>
      </x:c>
      <x:c r="E547" s="88" t="str">
        <x:v>6 시작</x:v>
      </x:c>
      <x:c r="F547" s="96" t="n">
        <x:v>1183.3</x:v>
      </x:c>
      <x:c r="G547" s="89" t="str">
        <x:v>$2 최종 선택</x:v>
      </x:c>
      <x:c r="H547" s="89" t="n">
        <x:v>1184.4899999999998</x:v>
      </x:c>
      <x:c r="I547" s="89"/>
      <x:c r="J547" s="89"/>
      <x:c r="K547" s="88" t="str">
        <x:v>단일/없음</x:v>
      </x:c>
      <x:c r="L547" s="88" t="str"/>
    </x:row>
    <x:row r="548">
      <x:c r="A548" s="88" t="n">
        <x:v>27</x:v>
      </x:c>
      <x:c r="B548" s="88" t="str">
        <x:v>S27_HDH</x:v>
      </x:c>
      <x:c r="C548" s="88" t="n">
        <x:v>22</x:v>
      </x:c>
      <x:c r="D548" s="88" t="str">
        <x:v>M20</x:v>
      </x:c>
      <x:c r="E548" s="88" t="str">
        <x:v>6 종료</x:v>
      </x:c>
      <x:c r="F548" s="96" t="n">
        <x:v>1205.4</x:v>
      </x:c>
      <x:c r="G548" s="89" t="str">
        <x:v>$2 최종 선택</x:v>
      </x:c>
      <x:c r="H548" s="89" t="n">
        <x:v>1205.3973333333333</x:v>
      </x:c>
      <x:c r="I548" s="89"/>
      <x:c r="J548" s="89"/>
      <x:c r="K548" s="88" t="str">
        <x:v>단일/없음</x:v>
      </x:c>
      <x:c r="L548" s="88" t="str"/>
    </x:row>
    <x:row r="549">
      <x:c r="A549" s="88" t="n">
        <x:v>27</x:v>
      </x:c>
      <x:c r="B549" s="88" t="str">
        <x:v>S27_HDH</x:v>
      </x:c>
      <x:c r="C549" s="88" t="n">
        <x:v>22</x:v>
      </x:c>
      <x:c r="D549" s="88" t="str">
        <x:v>M21</x:v>
      </x:c>
      <x:c r="E549" s="88" t="str">
        <x:v>7 시작</x:v>
      </x:c>
      <x:c r="F549" s="96" t="n">
        <x:v>1225.3</x:v>
      </x:c>
      <x:c r="G549" s="89" t="str">
        <x:v>$2 최종 선택</x:v>
      </x:c>
      <x:c r="H549" s="89" t="n">
        <x:v>1224.254</x:v>
      </x:c>
      <x:c r="I549" s="103" t="n">
        <x:v>1236.2933333333333</x:v>
      </x:c>
      <x:c r="J549" s="89"/>
      <x:c r="K549" s="88" t="str">
        <x:v>단일/없음</x:v>
      </x:c>
      <x:c r="L549" s="88" t="str"/>
    </x:row>
    <x:row r="550">
      <x:c r="A550" s="88" t="n">
        <x:v>27</x:v>
      </x:c>
      <x:c r="B550" s="88" t="str">
        <x:v>S27_HDH</x:v>
      </x:c>
      <x:c r="C550" s="88" t="n">
        <x:v>22</x:v>
      </x:c>
      <x:c r="D550" s="88" t="str">
        <x:v>M22</x:v>
      </x:c>
      <x:c r="E550" s="88" t="str">
        <x:v>7 종료</x:v>
      </x:c>
      <x:c r="F550" s="96" t="n">
        <x:v>1236</x:v>
      </x:c>
      <x:c r="G550" s="89" t="str">
        <x:v>$2 최종 선택</x:v>
      </x:c>
      <x:c r="H550" s="89" t="n">
        <x:v>1236.2933333333333</x:v>
      </x:c>
      <x:c r="I550" s="103" t="n">
        <x:v>1224.254</x:v>
      </x:c>
      <x:c r="J550" s="89"/>
      <x:c r="K550" s="88" t="str">
        <x:v>단일/없음</x:v>
      </x:c>
      <x:c r="L550" s="88" t="str"/>
    </x:row>
    <x:row r="551">
      <x:c r="A551" s="88" t="n">
        <x:v>28</x:v>
      </x:c>
      <x:c r="B551" s="88" t="str">
        <x:v>S28_KDH</x:v>
      </x:c>
      <x:c r="C551" s="88" t="n">
        <x:v>22</x:v>
      </x:c>
      <x:c r="D551" s="88" t="str">
        <x:v>M01</x:v>
      </x:c>
      <x:c r="E551" s="88" t="str">
        <x:v>1 시작</x:v>
      </x:c>
      <x:c r="F551" s="96" t="n">
        <x:v>14.424000000000055</x:v>
      </x:c>
      <x:c r="G551" s="89" t="str">
        <x:v>$2 최종 선택</x:v>
      </x:c>
      <x:c r="H551" s="89" t="n">
        <x:v>14.424000000000055</x:v>
      </x:c>
      <x:c r="I551" s="89"/>
      <x:c r="J551" s="89"/>
      <x:c r="K551" s="88" t="str">
        <x:v>단일/없음</x:v>
      </x:c>
      <x:c r="L551" s="88" t="str"/>
    </x:row>
    <x:row r="552">
      <x:c r="A552" s="88" t="n">
        <x:v>28</x:v>
      </x:c>
      <x:c r="B552" s="88" t="str">
        <x:v>S28_KDH</x:v>
      </x:c>
      <x:c r="C552" s="88" t="n">
        <x:v>22</x:v>
      </x:c>
      <x:c r="D552" s="88" t="str">
        <x:v>M02</x:v>
      </x:c>
      <x:c r="E552" s="88" t="str">
        <x:v>1 종료</x:v>
      </x:c>
      <x:c r="F552" s="96" t="n">
        <x:v>207.58000000000004</x:v>
      </x:c>
      <x:c r="G552" s="89" t="str">
        <x:v>$2 최종 선택</x:v>
      </x:c>
      <x:c r="H552" s="89" t="n">
        <x:v>207.58000000000004</x:v>
      </x:c>
      <x:c r="I552" s="103" t="n">
        <x:v>214.39200000000005</x:v>
      </x:c>
      <x:c r="J552" s="89"/>
      <x:c r="K552" s="88" t="str">
        <x:v>단일/없음</x:v>
      </x:c>
      <x:c r="L552" s="88" t="str"/>
    </x:row>
    <x:row r="553">
      <x:c r="A553" s="88" t="n">
        <x:v>28</x:v>
      </x:c>
      <x:c r="B553" s="88" t="str">
        <x:v>S28_KDH</x:v>
      </x:c>
      <x:c r="C553" s="88" t="n">
        <x:v>22</x:v>
      </x:c>
      <x:c r="D553" s="88" t="str">
        <x:v>M03</x:v>
      </x:c>
      <x:c r="E553" s="88" t="str">
        <x:v>2 시작</x:v>
      </x:c>
      <x:c r="F553" s="96" t="n">
        <x:v>238.92400000000004</x:v>
      </x:c>
      <x:c r="G553" s="89" t="str">
        <x:v>$2 최종 선택</x:v>
      </x:c>
      <x:c r="H553" s="89" t="n">
        <x:v>238.92400000000004</x:v>
      </x:c>
      <x:c r="I553" s="89"/>
      <x:c r="J553" s="89"/>
      <x:c r="K553" s="88" t="str">
        <x:v>단일/없음</x:v>
      </x:c>
      <x:c r="L553" s="88" t="str"/>
    </x:row>
    <x:row r="554">
      <x:c r="A554" s="88" t="n">
        <x:v>28</x:v>
      </x:c>
      <x:c r="B554" s="88" t="str">
        <x:v>S28_KDH</x:v>
      </x:c>
      <x:c r="C554" s="88" t="n">
        <x:v>22</x:v>
      </x:c>
      <x:c r="D554" s="88" t="str">
        <x:v>M04</x:v>
      </x:c>
      <x:c r="E554" s="88" t="str">
        <x:v>2 종료</x:v>
      </x:c>
      <x:c r="F554" s="96" t="n">
        <x:v>616.316</x:v>
      </x:c>
      <x:c r="G554" s="89" t="str">
        <x:v>$2 최종 선택</x:v>
      </x:c>
      <x:c r="H554" s="89" t="n">
        <x:v>616.316</x:v>
      </x:c>
      <x:c r="I554" s="89"/>
      <x:c r="J554" s="89"/>
      <x:c r="K554" s="88" t="str">
        <x:v>단일/없음</x:v>
      </x:c>
      <x:c r="L554" s="88" t="str"/>
    </x:row>
    <x:row r="555">
      <x:c r="A555" s="88" t="n">
        <x:v>28</x:v>
      </x:c>
      <x:c r="B555" s="88" t="str">
        <x:v>S28_KDH</x:v>
      </x:c>
      <x:c r="C555" s="88" t="n">
        <x:v>22</x:v>
      </x:c>
      <x:c r="D555" s="88" t="str">
        <x:v>M05</x:v>
      </x:c>
      <x:c r="E555" s="88" t="str">
        <x:v>3-1 시작</x:v>
      </x:c>
      <x:c r="F555" s="96" t="n">
        <x:v>674.368</x:v>
      </x:c>
      <x:c r="G555" s="89" t="str">
        <x:v>$2 최종 선택</x:v>
      </x:c>
      <x:c r="H555" s="89" t="n">
        <x:v>674.368</x:v>
      </x:c>
      <x:c r="I555" s="89"/>
      <x:c r="J555" s="89"/>
      <x:c r="K555" s="88" t="str">
        <x:v>단일/없음</x:v>
      </x:c>
      <x:c r="L555" s="88" t="str"/>
    </x:row>
    <x:row r="556">
      <x:c r="A556" s="88" t="n">
        <x:v>28</x:v>
      </x:c>
      <x:c r="B556" s="88" t="str">
        <x:v>S28_KDH</x:v>
      </x:c>
      <x:c r="C556" s="88" t="n">
        <x:v>22</x:v>
      </x:c>
      <x:c r="D556" s="88" t="str">
        <x:v>M06</x:v>
      </x:c>
      <x:c r="E556" s="88" t="str">
        <x:v>3-1 종료</x:v>
      </x:c>
      <x:c r="F556" s="96" t="n">
        <x:v>690.6840000000001</x:v>
      </x:c>
      <x:c r="G556" s="89" t="str">
        <x:v>$2 최종 선택</x:v>
      </x:c>
      <x:c r="H556" s="89" t="n">
        <x:v>690.6840000000001</x:v>
      </x:c>
      <x:c r="I556" s="89"/>
      <x:c r="J556" s="89"/>
      <x:c r="K556" s="88" t="str">
        <x:v>단일/없음</x:v>
      </x:c>
      <x:c r="L556" s="88" t="str"/>
    </x:row>
    <x:row r="557">
      <x:c r="A557" s="88" t="n">
        <x:v>28</x:v>
      </x:c>
      <x:c r="B557" s="88" t="str">
        <x:v>S28_KDH</x:v>
      </x:c>
      <x:c r="C557" s="88" t="n">
        <x:v>22</x:v>
      </x:c>
      <x:c r="D557" s="88" t="str">
        <x:v>M07</x:v>
      </x:c>
      <x:c r="E557" s="88" t="str">
        <x:v>3-2 시작</x:v>
      </x:c>
      <x:c r="F557" s="96" t="n">
        <x:v>709.596</x:v>
      </x:c>
      <x:c r="G557" s="89" t="str">
        <x:v>$2 최종 선택</x:v>
      </x:c>
      <x:c r="H557" s="89" t="n">
        <x:v>709.596</x:v>
      </x:c>
      <x:c r="I557" s="89"/>
      <x:c r="J557" s="89"/>
      <x:c r="K557" s="88" t="str">
        <x:v>단일/없음</x:v>
      </x:c>
      <x:c r="L557" s="88" t="str"/>
    </x:row>
    <x:row r="558">
      <x:c r="A558" s="88" t="n">
        <x:v>28</x:v>
      </x:c>
      <x:c r="B558" s="88" t="str">
        <x:v>S28_KDH</x:v>
      </x:c>
      <x:c r="C558" s="88" t="n">
        <x:v>22</x:v>
      </x:c>
      <x:c r="D558" s="88" t="str">
        <x:v>M08</x:v>
      </x:c>
      <x:c r="E558" s="88" t="str">
        <x:v>3-2 종료</x:v>
      </x:c>
      <x:c r="F558" s="96" t="n">
        <x:v>724.6600000000001</x:v>
      </x:c>
      <x:c r="G558" s="89" t="str">
        <x:v>$2 최종 선택</x:v>
      </x:c>
      <x:c r="H558" s="89" t="n">
        <x:v>724.6600000000001</x:v>
      </x:c>
      <x:c r="I558" s="89"/>
      <x:c r="J558" s="89"/>
      <x:c r="K558" s="88" t="str">
        <x:v>단일/없음</x:v>
      </x:c>
      <x:c r="L558" s="88" t="str"/>
    </x:row>
    <x:row r="559">
      <x:c r="A559" s="88" t="n">
        <x:v>28</x:v>
      </x:c>
      <x:c r="B559" s="88" t="str">
        <x:v>S28_KDH</x:v>
      </x:c>
      <x:c r="C559" s="88" t="n">
        <x:v>22</x:v>
      </x:c>
      <x:c r="D559" s="88" t="str">
        <x:v>M09</x:v>
      </x:c>
      <x:c r="E559" s="88" t="str">
        <x:v>4-1 시작</x:v>
      </x:c>
      <x:c r="F559" s="96" t="n">
        <x:v>788.84</x:v>
      </x:c>
      <x:c r="G559" s="89" t="str">
        <x:v>$2 최종 선택</x:v>
      </x:c>
      <x:c r="H559" s="89" t="n">
        <x:v>788.84</x:v>
      </x:c>
      <x:c r="I559" s="103" t="n">
        <x:v>797.86</x:v>
      </x:c>
      <x:c r="J559" s="89"/>
      <x:c r="K559" s="88" t="str">
        <x:v>단일/없음</x:v>
      </x:c>
      <x:c r="L559" s="88" t="str"/>
    </x:row>
    <x:row r="560">
      <x:c r="A560" s="88" t="n">
        <x:v>28</x:v>
      </x:c>
      <x:c r="B560" s="88" t="str">
        <x:v>S28_KDH</x:v>
      </x:c>
      <x:c r="C560" s="88" t="n">
        <x:v>22</x:v>
      </x:c>
      <x:c r="D560" s="88" t="str">
        <x:v>M10</x:v>
      </x:c>
      <x:c r="E560" s="88" t="str">
        <x:v>4-1 종료</x:v>
      </x:c>
      <x:c r="F560" s="96" t="n">
        <x:v>804.416</x:v>
      </x:c>
      <x:c r="G560" s="89" t="str">
        <x:v>$2 최종 선택</x:v>
      </x:c>
      <x:c r="H560" s="89" t="n">
        <x:v>804.416</x:v>
      </x:c>
      <x:c r="I560" s="103" t="n">
        <x:v>797.86</x:v>
      </x:c>
      <x:c r="J560" s="103" t="n">
        <x:v>817.7</x:v>
      </x:c>
      <x:c r="K560" s="88" t="str">
        <x:v>단일/없음</x:v>
      </x:c>
      <x:c r="L560" s="88" t="str"/>
    </x:row>
    <x:row r="561">
      <x:c r="A561" s="88" t="n">
        <x:v>28</x:v>
      </x:c>
      <x:c r="B561" s="88" t="str">
        <x:v>S28_KDH</x:v>
      </x:c>
      <x:c r="C561" s="88" t="n">
        <x:v>22</x:v>
      </x:c>
      <x:c r="D561" s="88" t="str">
        <x:v>M11</x:v>
      </x:c>
      <x:c r="E561" s="88" t="str">
        <x:v>4-2 시작</x:v>
      </x:c>
      <x:c r="F561" s="96" t="n">
        <x:v>817.7</x:v>
      </x:c>
      <x:c r="G561" s="89" t="str">
        <x:v>$2 최종 선택</x:v>
      </x:c>
      <x:c r="H561" s="89" t="n">
        <x:v>817.7</x:v>
      </x:c>
      <x:c r="I561" s="103" t="n">
        <x:v>804.416</x:v>
      </x:c>
      <x:c r="J561" s="89"/>
      <x:c r="K561" s="88" t="str">
        <x:v>단일/없음</x:v>
      </x:c>
      <x:c r="L561" s="88" t="str"/>
    </x:row>
    <x:row r="562">
      <x:c r="A562" s="88" t="n">
        <x:v>28</x:v>
      </x:c>
      <x:c r="B562" s="88" t="str">
        <x:v>S28_KDH</x:v>
      </x:c>
      <x:c r="C562" s="88" t="n">
        <x:v>22</x:v>
      </x:c>
      <x:c r="D562" s="88" t="str">
        <x:v>M12</x:v>
      </x:c>
      <x:c r="E562" s="88" t="str">
        <x:v>4-2 종료</x:v>
      </x:c>
      <x:c r="F562" s="96" t="n">
        <x:v>865.7080000000001</x:v>
      </x:c>
      <x:c r="G562" s="89" t="str">
        <x:v>$2 최종 선택</x:v>
      </x:c>
      <x:c r="H562" s="89" t="n">
        <x:v>865.7080000000001</x:v>
      </x:c>
      <x:c r="I562" s="89"/>
      <x:c r="J562" s="89"/>
      <x:c r="K562" s="88" t="str">
        <x:v>단일/없음</x:v>
      </x:c>
      <x:c r="L562" s="88" t="str"/>
    </x:row>
    <x:row r="563">
      <x:c r="A563" s="88" t="n">
        <x:v>28</x:v>
      </x:c>
      <x:c r="B563" s="88" t="str">
        <x:v>S28_KDH</x:v>
      </x:c>
      <x:c r="C563" s="88" t="n">
        <x:v>22</x:v>
      </x:c>
      <x:c r="D563" s="88" t="str">
        <x:v>M13</x:v>
      </x:c>
      <x:c r="E563" s="88" t="str">
        <x:v>4-3 시작</x:v>
      </x:c>
      <x:c r="F563" s="96" t="n">
        <x:v>881.24</x:v>
      </x:c>
      <x:c r="G563" s="89" t="str">
        <x:v>$2 최종 선택</x:v>
      </x:c>
      <x:c r="H563" s="89" t="n">
        <x:v>881.24</x:v>
      </x:c>
      <x:c r="I563" s="103" t="n">
        <x:v>887.404</x:v>
      </x:c>
      <x:c r="J563" s="89"/>
      <x:c r="K563" s="88" t="str">
        <x:v>단일/없음</x:v>
      </x:c>
      <x:c r="L563" s="88" t="str"/>
    </x:row>
    <x:row r="564">
      <x:c r="A564" s="88" t="n">
        <x:v>28</x:v>
      </x:c>
      <x:c r="B564" s="88" t="str">
        <x:v>S28_KDH</x:v>
      </x:c>
      <x:c r="C564" s="88" t="n">
        <x:v>22</x:v>
      </x:c>
      <x:c r="D564" s="88" t="str">
        <x:v>M14</x:v>
      </x:c>
      <x:c r="E564" s="88" t="str">
        <x:v>4-3 종료</x:v>
      </x:c>
      <x:c r="F564" s="96" t="n">
        <x:v>928.0600000000001</x:v>
      </x:c>
      <x:c r="G564" s="89" t="str">
        <x:v>$2 최종 선택</x:v>
      </x:c>
      <x:c r="H564" s="89" t="n">
        <x:v>928.0600000000001</x:v>
      </x:c>
      <x:c r="I564" s="89"/>
      <x:c r="J564" s="89"/>
      <x:c r="K564" s="88" t="str">
        <x:v>단일/없음</x:v>
      </x:c>
      <x:c r="L564" s="88" t="str"/>
    </x:row>
    <x:row r="565">
      <x:c r="A565" s="88" t="n">
        <x:v>28</x:v>
      </x:c>
      <x:c r="B565" s="88" t="str">
        <x:v>S28_KDH</x:v>
      </x:c>
      <x:c r="C565" s="88" t="n">
        <x:v>22</x:v>
      </x:c>
      <x:c r="D565" s="88" t="str">
        <x:v>M15</x:v>
      </x:c>
      <x:c r="E565" s="88" t="str">
        <x:v>4-4 시작</x:v>
      </x:c>
      <x:c r="F565" s="96" t="n">
        <x:v>946.028</x:v>
      </x:c>
      <x:c r="G565" s="89" t="str">
        <x:v>$2 최종 선택</x:v>
      </x:c>
      <x:c r="H565" s="89" t="n">
        <x:v>946.028</x:v>
      </x:c>
      <x:c r="I565" s="103" t="n">
        <x:v>957.956</x:v>
      </x:c>
      <x:c r="J565" s="89"/>
      <x:c r="K565" s="88" t="str">
        <x:v>단일/없음</x:v>
      </x:c>
      <x:c r="L565" s="88" t="str"/>
    </x:row>
    <x:row r="566">
      <x:c r="A566" s="88" t="n">
        <x:v>28</x:v>
      </x:c>
      <x:c r="B566" s="88" t="str">
        <x:v>S28_KDH</x:v>
      </x:c>
      <x:c r="C566" s="88" t="n">
        <x:v>22</x:v>
      </x:c>
      <x:c r="D566" s="88" t="str">
        <x:v>M16</x:v>
      </x:c>
      <x:c r="E566" s="88" t="str">
        <x:v>4-4 종료</x:v>
      </x:c>
      <x:c r="F566" s="96" t="n">
        <x:v>957.956</x:v>
      </x:c>
      <x:c r="G566" s="89" t="str">
        <x:v>$2 최종 선택</x:v>
      </x:c>
      <x:c r="H566" s="89" t="n">
        <x:v>957.956</x:v>
      </x:c>
      <x:c r="I566" s="103" t="n">
        <x:v>946.028</x:v>
      </x:c>
      <x:c r="J566" s="89"/>
      <x:c r="K566" s="88" t="str">
        <x:v>단일/없음</x:v>
      </x:c>
      <x:c r="L566" s="88" t="str"/>
    </x:row>
    <x:row r="567">
      <x:c r="A567" s="88" t="n">
        <x:v>28</x:v>
      </x:c>
      <x:c r="B567" s="88" t="str">
        <x:v>S28_KDH</x:v>
      </x:c>
      <x:c r="C567" s="88" t="n">
        <x:v>22</x:v>
      </x:c>
      <x:c r="D567" s="88" t="str">
        <x:v>M17</x:v>
      </x:c>
      <x:c r="E567" s="88" t="str">
        <x:v>5 시작</x:v>
      </x:c>
      <x:c r="F567" s="96" t="n">
        <x:v>1002.46</x:v>
      </x:c>
      <x:c r="G567" s="89" t="str">
        <x:v>$2 최종 선택</x:v>
      </x:c>
      <x:c r="H567" s="89" t="n">
        <x:v>1002.46</x:v>
      </x:c>
      <x:c r="I567" s="89"/>
      <x:c r="J567" s="89"/>
      <x:c r="K567" s="88" t="str">
        <x:v>단일/없음</x:v>
      </x:c>
      <x:c r="L567" s="88" t="str"/>
    </x:row>
    <x:row r="568">
      <x:c r="A568" s="88" t="n">
        <x:v>28</x:v>
      </x:c>
      <x:c r="B568" s="88" t="str">
        <x:v>S28_KDH</x:v>
      </x:c>
      <x:c r="C568" s="88" t="n">
        <x:v>22</x:v>
      </x:c>
      <x:c r="D568" s="88" t="str">
        <x:v>M18</x:v>
      </x:c>
      <x:c r="E568" s="88" t="str">
        <x:v>5 종료</x:v>
      </x:c>
      <x:c r="F568" s="96" t="n">
        <x:v>1191.396</x:v>
      </x:c>
      <x:c r="G568" s="89" t="str">
        <x:v>$2 최종 선택</x:v>
      </x:c>
      <x:c r="H568" s="89" t="n">
        <x:v>1191.396</x:v>
      </x:c>
      <x:c r="I568" s="89"/>
      <x:c r="J568" s="89"/>
      <x:c r="K568" s="88" t="str">
        <x:v>단일/없음</x:v>
      </x:c>
      <x:c r="L568" s="88" t="str"/>
    </x:row>
    <x:row r="569">
      <x:c r="A569" s="88" t="n">
        <x:v>28</x:v>
      </x:c>
      <x:c r="B569" s="88" t="str">
        <x:v>S28_KDH</x:v>
      </x:c>
      <x:c r="C569" s="88" t="n">
        <x:v>22</x:v>
      </x:c>
      <x:c r="D569" s="88" t="str">
        <x:v>M19</x:v>
      </x:c>
      <x:c r="E569" s="88" t="str">
        <x:v>6 시작</x:v>
      </x:c>
      <x:c r="F569" s="96" t="n">
        <x:v>1214.4840000000002</x:v>
      </x:c>
      <x:c r="G569" s="89" t="str">
        <x:v>$2 최종 선택</x:v>
      </x:c>
      <x:c r="H569" s="89" t="n">
        <x:v>1214.4840000000002</x:v>
      </x:c>
      <x:c r="I569" s="89"/>
      <x:c r="J569" s="89"/>
      <x:c r="K569" s="88" t="str">
        <x:v>단일/없음</x:v>
      </x:c>
      <x:c r="L569" s="88" t="str"/>
    </x:row>
    <x:row r="570">
      <x:c r="A570" s="88" t="n">
        <x:v>28</x:v>
      </x:c>
      <x:c r="B570" s="88" t="str">
        <x:v>S28_KDH</x:v>
      </x:c>
      <x:c r="C570" s="88" t="n">
        <x:v>22</x:v>
      </x:c>
      <x:c r="D570" s="88" t="str">
        <x:v>M20</x:v>
      </x:c>
      <x:c r="E570" s="88" t="str">
        <x:v>6 종료</x:v>
      </x:c>
      <x:c r="F570" s="96" t="n">
        <x:v>1239.976</x:v>
      </x:c>
      <x:c r="G570" s="89" t="str">
        <x:v>$2 최종 선택</x:v>
      </x:c>
      <x:c r="H570" s="89" t="n">
        <x:v>1239.976</x:v>
      </x:c>
      <x:c r="I570" s="89"/>
      <x:c r="J570" s="89"/>
      <x:c r="K570" s="88" t="str">
        <x:v>단일/없음</x:v>
      </x:c>
      <x:c r="L570" s="88" t="str"/>
    </x:row>
    <x:row r="571">
      <x:c r="A571" s="88" t="n">
        <x:v>28</x:v>
      </x:c>
      <x:c r="B571" s="88" t="str">
        <x:v>S28_KDH</x:v>
      </x:c>
      <x:c r="C571" s="88" t="n">
        <x:v>22</x:v>
      </x:c>
      <x:c r="D571" s="88" t="str">
        <x:v>M21</x:v>
      </x:c>
      <x:c r="E571" s="88" t="str">
        <x:v>7 시작</x:v>
      </x:c>
      <x:c r="F571" s="96" t="n">
        <x:v>1265.272</x:v>
      </x:c>
      <x:c r="G571" s="89" t="str">
        <x:v>$2 최종 선택</x:v>
      </x:c>
      <x:c r="H571" s="89" t="n">
        <x:v>1265.272</x:v>
      </x:c>
      <x:c r="I571" s="103" t="n">
        <x:v>1278.26</x:v>
      </x:c>
      <x:c r="J571" s="89"/>
      <x:c r="K571" s="88" t="str">
        <x:v>단일/없음</x:v>
      </x:c>
      <x:c r="L571" s="88" t="str"/>
    </x:row>
    <x:row r="572">
      <x:c r="A572" s="88" t="n">
        <x:v>28</x:v>
      </x:c>
      <x:c r="B572" s="88" t="str">
        <x:v>S28_KDH</x:v>
      </x:c>
      <x:c r="C572" s="88" t="n">
        <x:v>22</x:v>
      </x:c>
      <x:c r="D572" s="88" t="str">
        <x:v>M22</x:v>
      </x:c>
      <x:c r="E572" s="88" t="str">
        <x:v>7 종료</x:v>
      </x:c>
      <x:c r="F572" s="96" t="n">
        <x:v>1278.26</x:v>
      </x:c>
      <x:c r="G572" s="89" t="str">
        <x:v>$2 최종 선택</x:v>
      </x:c>
      <x:c r="H572" s="89" t="n">
        <x:v>1278.26</x:v>
      </x:c>
      <x:c r="I572" s="103" t="n">
        <x:v>1265.272</x:v>
      </x:c>
      <x:c r="J572" s="89"/>
      <x:c r="K572" s="88" t="str">
        <x:v>단일/없음</x:v>
      </x:c>
      <x:c r="L572" s="88" t="str"/>
    </x:row>
    <x:row r="573">
      <x:c r="A573" s="88" t="n">
        <x:v>29</x:v>
      </x:c>
      <x:c r="B573" s="88" t="str">
        <x:v>S29_LHS</x:v>
      </x:c>
      <x:c r="C573" s="88" t="n">
        <x:v>22</x:v>
      </x:c>
      <x:c r="D573" s="88" t="str">
        <x:v>M01</x:v>
      </x:c>
      <x:c r="E573" s="88" t="str">
        <x:v>1 시작</x:v>
      </x:c>
      <x:c r="F573" s="96" t="n">
        <x:v>17.784</x:v>
      </x:c>
      <x:c r="G573" s="89" t="str">
        <x:v>$2 최종 선택</x:v>
      </x:c>
      <x:c r="H573" s="89" t="n">
        <x:v>17.784000000000002</x:v>
      </x:c>
      <x:c r="I573" s="89"/>
      <x:c r="J573" s="89"/>
      <x:c r="K573" s="88" t="str">
        <x:v>단일/없음</x:v>
      </x:c>
      <x:c r="L573" s="88" t="str"/>
    </x:row>
    <x:row r="574">
      <x:c r="A574" s="88" t="n">
        <x:v>29</x:v>
      </x:c>
      <x:c r="B574" s="88" t="str">
        <x:v>S29_LHS</x:v>
      </x:c>
      <x:c r="C574" s="88" t="n">
        <x:v>22</x:v>
      </x:c>
      <x:c r="D574" s="88" t="str">
        <x:v>M02</x:v>
      </x:c>
      <x:c r="E574" s="88" t="str">
        <x:v>1 종료</x:v>
      </x:c>
      <x:c r="F574" s="96" t="n">
        <x:v>209.824</x:v>
      </x:c>
      <x:c r="G574" s="89" t="str">
        <x:v>$2 최종 선택</x:v>
      </x:c>
      <x:c r="H574" s="89" t="n">
        <x:v>209.82400000000004</x:v>
      </x:c>
      <x:c r="I574" s="89"/>
      <x:c r="J574" s="89"/>
      <x:c r="K574" s="88" t="str">
        <x:v>단일/없음</x:v>
      </x:c>
      <x:c r="L574" s="88" t="str"/>
    </x:row>
    <x:row r="575">
      <x:c r="A575" s="88" t="n">
        <x:v>29</x:v>
      </x:c>
      <x:c r="B575" s="88" t="str">
        <x:v>S29_LHS</x:v>
      </x:c>
      <x:c r="C575" s="88" t="n">
        <x:v>22</x:v>
      </x:c>
      <x:c r="D575" s="88" t="str">
        <x:v>M03</x:v>
      </x:c>
      <x:c r="E575" s="88" t="str">
        <x:v>2 시작</x:v>
      </x:c>
      <x:c r="F575" s="96" t="n">
        <x:v>232.384</x:v>
      </x:c>
      <x:c r="G575" s="89" t="str">
        <x:v>$2 최종 선택</x:v>
      </x:c>
      <x:c r="H575" s="89" t="n">
        <x:v>232.38400000000001</x:v>
      </x:c>
      <x:c r="I575" s="89"/>
      <x:c r="J575" s="89"/>
      <x:c r="K575" s="88" t="str">
        <x:v>단일/없음</x:v>
      </x:c>
      <x:c r="L575" s="88" t="str"/>
    </x:row>
    <x:row r="576">
      <x:c r="A576" s="88" t="n">
        <x:v>29</x:v>
      </x:c>
      <x:c r="B576" s="88" t="str">
        <x:v>S29_LHS</x:v>
      </x:c>
      <x:c r="C576" s="88" t="n">
        <x:v>22</x:v>
      </x:c>
      <x:c r="D576" s="88" t="str">
        <x:v>M04</x:v>
      </x:c>
      <x:c r="E576" s="88" t="str">
        <x:v>2 종료</x:v>
      </x:c>
      <x:c r="F576" s="96" t="n">
        <x:v>606.668</x:v>
      </x:c>
      <x:c r="G576" s="89" t="str">
        <x:v>$2 최종 선택</x:v>
      </x:c>
      <x:c r="H576" s="89" t="n">
        <x:v>606.668</x:v>
      </x:c>
      <x:c r="I576" s="89"/>
      <x:c r="J576" s="89"/>
      <x:c r="K576" s="88" t="str">
        <x:v>단일/없음</x:v>
      </x:c>
      <x:c r="L576" s="88" t="str"/>
    </x:row>
    <x:row r="577">
      <x:c r="A577" s="88" t="n">
        <x:v>29</x:v>
      </x:c>
      <x:c r="B577" s="88" t="str">
        <x:v>S29_LHS</x:v>
      </x:c>
      <x:c r="C577" s="88" t="n">
        <x:v>22</x:v>
      </x:c>
      <x:c r="D577" s="88" t="str">
        <x:v>M05</x:v>
      </x:c>
      <x:c r="E577" s="88" t="str">
        <x:v>3-1 시작</x:v>
      </x:c>
      <x:c r="F577" s="96" t="n">
        <x:v>652.486</x:v>
      </x:c>
      <x:c r="G577" s="89" t="str">
        <x:v>$2 최종 선택</x:v>
      </x:c>
      <x:c r="H577" s="89" t="n">
        <x:v>652.4859999999999</x:v>
      </x:c>
      <x:c r="I577" s="103" t="n">
        <x:v>666.664</x:v>
      </x:c>
      <x:c r="J577" s="89"/>
      <x:c r="K577" s="88" t="str">
        <x:v>단일/없음</x:v>
      </x:c>
      <x:c r="L577" s="88" t="str"/>
    </x:row>
    <x:row r="578">
      <x:c r="A578" s="88" t="n">
        <x:v>29</x:v>
      </x:c>
      <x:c r="B578" s="88" t="str">
        <x:v>S29_LHS</x:v>
      </x:c>
      <x:c r="C578" s="88" t="n">
        <x:v>22</x:v>
      </x:c>
      <x:c r="D578" s="88" t="str">
        <x:v>M06</x:v>
      </x:c>
      <x:c r="E578" s="88" t="str">
        <x:v>3-1 종료</x:v>
      </x:c>
      <x:c r="F578" s="96" t="n">
        <x:v>666.664</x:v>
      </x:c>
      <x:c r="G578" s="89" t="str">
        <x:v>$2 최종 선택</x:v>
      </x:c>
      <x:c r="H578" s="89" t="n">
        <x:v>666.664</x:v>
      </x:c>
      <x:c r="I578" s="103" t="n">
        <x:v>652.4859999999999</x:v>
      </x:c>
      <x:c r="J578" s="89"/>
      <x:c r="K578" s="88" t="str">
        <x:v>단일/없음</x:v>
      </x:c>
      <x:c r="L578" s="88" t="str"/>
    </x:row>
    <x:row r="579">
      <x:c r="A579" s="88" t="n">
        <x:v>29</x:v>
      </x:c>
      <x:c r="B579" s="88" t="str">
        <x:v>S29_LHS</x:v>
      </x:c>
      <x:c r="C579" s="88" t="n">
        <x:v>22</x:v>
      </x:c>
      <x:c r="D579" s="88" t="str">
        <x:v>M07</x:v>
      </x:c>
      <x:c r="E579" s="88" t="str">
        <x:v>3-2 시작</x:v>
      </x:c>
      <x:c r="F579" s="96" t="n">
        <x:v>682.42</x:v>
      </x:c>
      <x:c r="G579" s="89" t="str">
        <x:v>$2 최종 선택</x:v>
      </x:c>
      <x:c r="H579" s="89" t="n">
        <x:v>682.42</x:v>
      </x:c>
      <x:c r="I579" s="103" t="n">
        <x:v>695.828</x:v>
      </x:c>
      <x:c r="J579" s="89"/>
      <x:c r="K579" s="88" t="str">
        <x:v>단일/없음</x:v>
      </x:c>
      <x:c r="L579" s="88" t="str"/>
    </x:row>
    <x:row r="580">
      <x:c r="A580" s="88" t="n">
        <x:v>29</x:v>
      </x:c>
      <x:c r="B580" s="88" t="str">
        <x:v>S29_LHS</x:v>
      </x:c>
      <x:c r="C580" s="88" t="n">
        <x:v>22</x:v>
      </x:c>
      <x:c r="D580" s="88" t="str">
        <x:v>M08</x:v>
      </x:c>
      <x:c r="E580" s="88" t="str">
        <x:v>3-2 종료</x:v>
      </x:c>
      <x:c r="F580" s="96" t="n">
        <x:v>695.828</x:v>
      </x:c>
      <x:c r="G580" s="89" t="str">
        <x:v>$2 최종 선택</x:v>
      </x:c>
      <x:c r="H580" s="89" t="n">
        <x:v>695.828</x:v>
      </x:c>
      <x:c r="I580" s="103" t="n">
        <x:v>682.42</x:v>
      </x:c>
      <x:c r="J580" s="89"/>
      <x:c r="K580" s="88" t="str">
        <x:v>단일/없음</x:v>
      </x:c>
      <x:c r="L580" s="88" t="str"/>
    </x:row>
    <x:row r="581">
      <x:c r="A581" s="88" t="n">
        <x:v>29</x:v>
      </x:c>
      <x:c r="B581" s="88" t="str">
        <x:v>S29_LHS</x:v>
      </x:c>
      <x:c r="C581" s="88" t="n">
        <x:v>22</x:v>
      </x:c>
      <x:c r="D581" s="88" t="str">
        <x:v>M09</x:v>
      </x:c>
      <x:c r="E581" s="88" t="str">
        <x:v>4-1 시작</x:v>
      </x:c>
      <x:c r="F581" s="96" t="n">
        <x:v>764.14</x:v>
      </x:c>
      <x:c r="G581" s="89" t="str">
        <x:v>$2 최종 선택</x:v>
      </x:c>
      <x:c r="H581" s="89" t="n">
        <x:v>764.14</x:v>
      </x:c>
      <x:c r="I581" s="89"/>
      <x:c r="J581" s="89"/>
      <x:c r="K581" s="88" t="str">
        <x:v>단일/없음</x:v>
      </x:c>
      <x:c r="L581" s="88" t="str"/>
    </x:row>
    <x:row r="582">
      <x:c r="A582" s="88" t="n">
        <x:v>29</x:v>
      </x:c>
      <x:c r="B582" s="88" t="str">
        <x:v>S29_LHS</x:v>
      </x:c>
      <x:c r="C582" s="88" t="n">
        <x:v>22</x:v>
      </x:c>
      <x:c r="D582" s="88" t="str">
        <x:v>M10</x:v>
      </x:c>
      <x:c r="E582" s="88" t="str">
        <x:v>4-1 종료</x:v>
      </x:c>
      <x:c r="F582" s="96" t="n">
        <x:v>781.232</x:v>
      </x:c>
      <x:c r="G582" s="89" t="str">
        <x:v>$2 최종 선택</x:v>
      </x:c>
      <x:c r="H582" s="89" t="n">
        <x:v>781.232</x:v>
      </x:c>
      <x:c r="I582" s="103" t="n">
        <x:v>790.8</x:v>
      </x:c>
      <x:c r="J582" s="89"/>
      <x:c r="K582" s="88" t="str">
        <x:v>단일/없음</x:v>
      </x:c>
      <x:c r="L582" s="88" t="str"/>
    </x:row>
    <x:row r="583">
      <x:c r="A583" s="88" t="n">
        <x:v>29</x:v>
      </x:c>
      <x:c r="B583" s="88" t="str">
        <x:v>S29_LHS</x:v>
      </x:c>
      <x:c r="C583" s="88" t="n">
        <x:v>22</x:v>
      </x:c>
      <x:c r="D583" s="88" t="str">
        <x:v>M11</x:v>
      </x:c>
      <x:c r="E583" s="88" t="str">
        <x:v>4-2 시작</x:v>
      </x:c>
      <x:c r="F583" s="96" t="n">
        <x:v>790.8</x:v>
      </x:c>
      <x:c r="G583" s="89" t="str">
        <x:v>$2 최종 선택</x:v>
      </x:c>
      <x:c r="H583" s="89" t="n">
        <x:v>790.8</x:v>
      </x:c>
      <x:c r="I583" s="103" t="n">
        <x:v>781.232</x:v>
      </x:c>
      <x:c r="J583" s="89"/>
      <x:c r="K583" s="88" t="str">
        <x:v>단일/없음</x:v>
      </x:c>
      <x:c r="L583" s="88" t="str"/>
    </x:row>
    <x:row r="584">
      <x:c r="A584" s="88" t="n">
        <x:v>29</x:v>
      </x:c>
      <x:c r="B584" s="88" t="str">
        <x:v>S29_LHS</x:v>
      </x:c>
      <x:c r="C584" s="88" t="n">
        <x:v>22</x:v>
      </x:c>
      <x:c r="D584" s="88" t="str">
        <x:v>M12</x:v>
      </x:c>
      <x:c r="E584" s="88" t="str">
        <x:v>4-2 종료</x:v>
      </x:c>
      <x:c r="F584" s="96" t="n">
        <x:v>837.34</x:v>
      </x:c>
      <x:c r="G584" s="89" t="str">
        <x:v>$2 최종 선택</x:v>
      </x:c>
      <x:c r="H584" s="89" t="n">
        <x:v>837.3399999999999</x:v>
      </x:c>
      <x:c r="I584" s="103" t="n">
        <x:v>848.692</x:v>
      </x:c>
      <x:c r="J584" s="89"/>
      <x:c r="K584" s="88" t="str">
        <x:v>단일/없음</x:v>
      </x:c>
      <x:c r="L584" s="88" t="str"/>
    </x:row>
    <x:row r="585">
      <x:c r="A585" s="88" t="n">
        <x:v>29</x:v>
      </x:c>
      <x:c r="B585" s="88" t="str">
        <x:v>S29_LHS</x:v>
      </x:c>
      <x:c r="C585" s="88" t="n">
        <x:v>22</x:v>
      </x:c>
      <x:c r="D585" s="88" t="str">
        <x:v>M13</x:v>
      </x:c>
      <x:c r="E585" s="88" t="str">
        <x:v>4-3 시작</x:v>
      </x:c>
      <x:c r="F585" s="96" t="n">
        <x:v>848.692</x:v>
      </x:c>
      <x:c r="G585" s="89" t="str">
        <x:v>$2 최종 선택</x:v>
      </x:c>
      <x:c r="H585" s="89" t="n">
        <x:v>848.692</x:v>
      </x:c>
      <x:c r="I585" s="103" t="n">
        <x:v>837.3399999999999</x:v>
      </x:c>
      <x:c r="J585" s="89"/>
      <x:c r="K585" s="88" t="str">
        <x:v>단일/없음</x:v>
      </x:c>
      <x:c r="L585" s="88" t="str"/>
    </x:row>
    <x:row r="586">
      <x:c r="A586" s="88" t="n">
        <x:v>29</x:v>
      </x:c>
      <x:c r="B586" s="88" t="str">
        <x:v>S29_LHS</x:v>
      </x:c>
      <x:c r="C586" s="88" t="n">
        <x:v>22</x:v>
      </x:c>
      <x:c r="D586" s="88" t="str">
        <x:v>M14</x:v>
      </x:c>
      <x:c r="E586" s="88" t="str">
        <x:v>4-3 종료</x:v>
      </x:c>
      <x:c r="F586" s="96" t="n">
        <x:v>896.944</x:v>
      </x:c>
      <x:c r="G586" s="89" t="str">
        <x:v>$2 최종 선택</x:v>
      </x:c>
      <x:c r="H586" s="89" t="n">
        <x:v>896.944</x:v>
      </x:c>
      <x:c r="I586" s="89"/>
      <x:c r="J586" s="89"/>
      <x:c r="K586" s="88" t="str">
        <x:v>단일/없음</x:v>
      </x:c>
      <x:c r="L586" s="88" t="str"/>
    </x:row>
    <x:row r="587">
      <x:c r="A587" s="88" t="n">
        <x:v>29</x:v>
      </x:c>
      <x:c r="B587" s="88" t="str">
        <x:v>S29_LHS</x:v>
      </x:c>
      <x:c r="C587" s="88" t="n">
        <x:v>22</x:v>
      </x:c>
      <x:c r="D587" s="88" t="str">
        <x:v>M15</x:v>
      </x:c>
      <x:c r="E587" s="88" t="str">
        <x:v>4-4 시작</x:v>
      </x:c>
      <x:c r="F587" s="96" t="n">
        <x:v>914.5</x:v>
      </x:c>
      <x:c r="G587" s="89" t="str">
        <x:v>$2 최종 선택</x:v>
      </x:c>
      <x:c r="H587" s="89" t="n">
        <x:v>914.5</x:v>
      </x:c>
      <x:c r="I587" s="103" t="n">
        <x:v>927.2239999999999</x:v>
      </x:c>
      <x:c r="J587" s="89"/>
      <x:c r="K587" s="88" t="str">
        <x:v>단일/없음</x:v>
      </x:c>
      <x:c r="L587" s="88" t="str"/>
    </x:row>
    <x:row r="588">
      <x:c r="A588" s="88" t="n">
        <x:v>29</x:v>
      </x:c>
      <x:c r="B588" s="88" t="str">
        <x:v>S29_LHS</x:v>
      </x:c>
      <x:c r="C588" s="88" t="n">
        <x:v>22</x:v>
      </x:c>
      <x:c r="D588" s="88" t="str">
        <x:v>M16</x:v>
      </x:c>
      <x:c r="E588" s="88" t="str">
        <x:v>4-4 종료</x:v>
      </x:c>
      <x:c r="F588" s="96" t="n">
        <x:v>927.224</x:v>
      </x:c>
      <x:c r="G588" s="89" t="str">
        <x:v>$2 최종 선택</x:v>
      </x:c>
      <x:c r="H588" s="89" t="n">
        <x:v>927.2239999999999</x:v>
      </x:c>
      <x:c r="I588" s="103" t="n">
        <x:v>914.5</x:v>
      </x:c>
      <x:c r="J588" s="89"/>
      <x:c r="K588" s="88" t="str">
        <x:v>단일/없음</x:v>
      </x:c>
      <x:c r="L588" s="88" t="str"/>
    </x:row>
    <x:row r="589">
      <x:c r="A589" s="88" t="n">
        <x:v>29</x:v>
      </x:c>
      <x:c r="B589" s="88" t="str">
        <x:v>S29_LHS</x:v>
      </x:c>
      <x:c r="C589" s="88" t="n">
        <x:v>22</x:v>
      </x:c>
      <x:c r="D589" s="88" t="str">
        <x:v>M17</x:v>
      </x:c>
      <x:c r="E589" s="88" t="str">
        <x:v>5 시작</x:v>
      </x:c>
      <x:c r="F589" s="96" t="n">
        <x:v>972.348</x:v>
      </x:c>
      <x:c r="G589" s="89" t="str">
        <x:v>$2 최종 선택</x:v>
      </x:c>
      <x:c r="H589" s="89" t="n">
        <x:v>969.6959999999999</x:v>
      </x:c>
      <x:c r="I589" s="103" t="n">
        <x:v>975</x:v>
      </x:c>
      <x:c r="J589" s="89"/>
      <x:c r="K589" s="98" t="str">
        <x:v>애매</x:v>
      </x:c>
      <x:c r="L589" s="88" t="str"/>
    </x:row>
    <x:row r="590">
      <x:c r="A590" s="88" t="n">
        <x:v>29</x:v>
      </x:c>
      <x:c r="B590" s="88" t="str">
        <x:v>S29_LHS</x:v>
      </x:c>
      <x:c r="C590" s="88" t="n">
        <x:v>22</x:v>
      </x:c>
      <x:c r="D590" s="88" t="str">
        <x:v>M18</x:v>
      </x:c>
      <x:c r="E590" s="88" t="str">
        <x:v>5 종료</x:v>
      </x:c>
      <x:c r="F590" s="96" t="n">
        <x:v>1158.54</x:v>
      </x:c>
      <x:c r="G590" s="89" t="str">
        <x:v>$2 최종 선택</x:v>
      </x:c>
      <x:c r="H590" s="89" t="n">
        <x:v>1158.54</x:v>
      </x:c>
      <x:c r="I590" s="89"/>
      <x:c r="J590" s="89"/>
      <x:c r="K590" s="88" t="str">
        <x:v>단일/없음</x:v>
      </x:c>
      <x:c r="L590" s="88" t="str"/>
    </x:row>
    <x:row r="591">
      <x:c r="A591" s="88" t="n">
        <x:v>29</x:v>
      </x:c>
      <x:c r="B591" s="88" t="str">
        <x:v>S29_LHS</x:v>
      </x:c>
      <x:c r="C591" s="88" t="n">
        <x:v>22</x:v>
      </x:c>
      <x:c r="D591" s="88" t="str">
        <x:v>M19</x:v>
      </x:c>
      <x:c r="E591" s="88" t="str">
        <x:v>6 시작</x:v>
      </x:c>
      <x:c r="F591" s="96" t="n">
        <x:v>1186.98</x:v>
      </x:c>
      <x:c r="G591" s="89" t="str">
        <x:v>$2 최종 선택</x:v>
      </x:c>
      <x:c r="H591" s="89" t="n">
        <x:v>1186.98</x:v>
      </x:c>
      <x:c r="I591" s="89"/>
      <x:c r="J591" s="89"/>
      <x:c r="K591" s="88" t="str">
        <x:v>단일/없음</x:v>
      </x:c>
      <x:c r="L591" s="88" t="str"/>
    </x:row>
    <x:row r="592">
      <x:c r="A592" s="88" t="n">
        <x:v>29</x:v>
      </x:c>
      <x:c r="B592" s="88" t="str">
        <x:v>S29_LHS</x:v>
      </x:c>
      <x:c r="C592" s="88" t="n">
        <x:v>22</x:v>
      </x:c>
      <x:c r="D592" s="88" t="str">
        <x:v>M20</x:v>
      </x:c>
      <x:c r="E592" s="88" t="str">
        <x:v>6 종료</x:v>
      </x:c>
      <x:c r="F592" s="96" t="n">
        <x:v>1210.275</x:v>
      </x:c>
      <x:c r="G592" s="89" t="str">
        <x:v>$2 최종 선택</x:v>
      </x:c>
      <x:c r="H592" s="89" t="n">
        <x:v>1210.2746666666667</x:v>
      </x:c>
      <x:c r="I592" s="89"/>
      <x:c r="J592" s="89"/>
      <x:c r="K592" s="88" t="str">
        <x:v>단일/없음</x:v>
      </x:c>
      <x:c r="L592" s="88" t="str"/>
    </x:row>
    <x:row r="593">
      <x:c r="A593" s="88" t="n">
        <x:v>29</x:v>
      </x:c>
      <x:c r="B593" s="88" t="str">
        <x:v>S29_LHS</x:v>
      </x:c>
      <x:c r="C593" s="88" t="n">
        <x:v>22</x:v>
      </x:c>
      <x:c r="D593" s="88" t="str">
        <x:v>M21</x:v>
      </x:c>
      <x:c r="E593" s="88" t="str">
        <x:v>7 시작</x:v>
      </x:c>
      <x:c r="F593" s="96" t="n">
        <x:v>1236.928</x:v>
      </x:c>
      <x:c r="G593" s="89" t="str">
        <x:v>$2 최종 선택</x:v>
      </x:c>
      <x:c r="H593" s="89" t="n">
        <x:v>1236.9279999999999</x:v>
      </x:c>
      <x:c r="I593" s="103" t="n">
        <x:v>1251.6200000000001</x:v>
      </x:c>
      <x:c r="J593" s="89"/>
      <x:c r="K593" s="88" t="str">
        <x:v>단일/없음</x:v>
      </x:c>
      <x:c r="L593" s="88" t="str"/>
    </x:row>
    <x:row r="594">
      <x:c r="A594" s="88" t="n">
        <x:v>29</x:v>
      </x:c>
      <x:c r="B594" s="88" t="str">
        <x:v>S29_LHS</x:v>
      </x:c>
      <x:c r="C594" s="88" t="n">
        <x:v>22</x:v>
      </x:c>
      <x:c r="D594" s="88" t="str">
        <x:v>M22</x:v>
      </x:c>
      <x:c r="E594" s="88" t="str">
        <x:v>7 종료</x:v>
      </x:c>
      <x:c r="F594" s="96" t="n">
        <x:v>1251.62</x:v>
      </x:c>
      <x:c r="G594" s="89" t="str">
        <x:v>$2 최종 선택</x:v>
      </x:c>
      <x:c r="H594" s="89" t="n">
        <x:v>1251.6200000000001</x:v>
      </x:c>
      <x:c r="I594" s="103" t="n">
        <x:v>1236.9279999999999</x:v>
      </x:c>
      <x:c r="J594" s="89"/>
      <x:c r="K594" s="88" t="str">
        <x:v>단일/없음</x:v>
      </x:c>
      <x:c r="L594" s="88" t="str"/>
    </x:row>
    <x:row r="595">
      <x:c r="A595" s="88" t="n">
        <x:v>30</x:v>
      </x:c>
      <x:c r="B595" s="88" t="str">
        <x:v>S30_SJE</x:v>
      </x:c>
      <x:c r="C595" s="88" t="n">
        <x:v>22</x:v>
      </x:c>
      <x:c r="D595" s="88" t="str">
        <x:v>M01</x:v>
      </x:c>
      <x:c r="E595" s="88" t="str">
        <x:v>1 시작</x:v>
      </x:c>
      <x:c r="F595" s="96" t="n">
        <x:v>6.45</x:v>
      </x:c>
      <x:c r="G595" s="89" t="str">
        <x:v>$2 최종 선택</x:v>
      </x:c>
      <x:c r="H595" s="89" t="n">
        <x:v>5.479999999999999</x:v>
      </x:c>
      <x:c r="I595" s="103" t="n">
        <x:v>-1.6880000000000006</x:v>
      </x:c>
      <x:c r="J595" s="89"/>
      <x:c r="K595" s="88" t="str">
        <x:v>단일/없음</x:v>
      </x:c>
      <x:c r="L595" s="88" t="str"/>
    </x:row>
    <x:row r="596">
      <x:c r="A596" s="88" t="n">
        <x:v>30</x:v>
      </x:c>
      <x:c r="B596" s="88" t="str">
        <x:v>S30_SJE</x:v>
      </x:c>
      <x:c r="C596" s="88" t="n">
        <x:v>22</x:v>
      </x:c>
      <x:c r="D596" s="88" t="str">
        <x:v>M02</x:v>
      </x:c>
      <x:c r="E596" s="88" t="str">
        <x:v>1 종료</x:v>
      </x:c>
      <x:c r="F596" s="96" t="n">
        <x:v>192.15</x:v>
      </x:c>
      <x:c r="G596" s="89" t="str">
        <x:v>$2 최종 선택</x:v>
      </x:c>
      <x:c r="H596" s="89"/>
      <x:c r="I596" s="89"/>
      <x:c r="J596" s="89"/>
      <x:c r="K596" s="88" t="str">
        <x:v>단일/없음</x:v>
      </x:c>
      <x:c r="L596" s="88" t="str"/>
    </x:row>
    <x:row r="597">
      <x:c r="A597" s="88" t="n">
        <x:v>30</x:v>
      </x:c>
      <x:c r="B597" s="88" t="str">
        <x:v>S30_SJE</x:v>
      </x:c>
      <x:c r="C597" s="88" t="n">
        <x:v>22</x:v>
      </x:c>
      <x:c r="D597" s="88" t="str">
        <x:v>M03</x:v>
      </x:c>
      <x:c r="E597" s="88" t="str">
        <x:v>2 시작</x:v>
      </x:c>
      <x:c r="F597" s="96" t="n">
        <x:v>237.275</x:v>
      </x:c>
      <x:c r="G597" s="89" t="str">
        <x:v>$2 최종 선택</x:v>
      </x:c>
      <x:c r="H597" s="89" t="n">
        <x:v>243.912</x:v>
      </x:c>
      <x:c r="I597" s="89"/>
      <x:c r="J597" s="89"/>
      <x:c r="K597" s="88" t="str">
        <x:v>단일/없음</x:v>
      </x:c>
      <x:c r="L597" s="88" t="str"/>
    </x:row>
    <x:row r="598">
      <x:c r="A598" s="88" t="n">
        <x:v>30</x:v>
      </x:c>
      <x:c r="B598" s="88" t="str">
        <x:v>S30_SJE</x:v>
      </x:c>
      <x:c r="C598" s="88" t="n">
        <x:v>22</x:v>
      </x:c>
      <x:c r="D598" s="88" t="str">
        <x:v>M04</x:v>
      </x:c>
      <x:c r="E598" s="88" t="str">
        <x:v>2 종료</x:v>
      </x:c>
      <x:c r="F598" s="96" t="n">
        <x:v>620.125</x:v>
      </x:c>
      <x:c r="G598" s="89" t="str">
        <x:v>$2 최종 선택</x:v>
      </x:c>
      <x:c r="H598" s="89" t="n">
        <x:v>615.9159999999999</x:v>
      </x:c>
      <x:c r="I598" s="89"/>
      <x:c r="J598" s="89"/>
      <x:c r="K598" s="88" t="str">
        <x:v>단일/없음</x:v>
      </x:c>
      <x:c r="L598" s="88" t="str"/>
    </x:row>
    <x:row r="599">
      <x:c r="A599" s="88" t="n">
        <x:v>30</x:v>
      </x:c>
      <x:c r="B599" s="88" t="str">
        <x:v>S30_SJE</x:v>
      </x:c>
      <x:c r="C599" s="88" t="n">
        <x:v>22</x:v>
      </x:c>
      <x:c r="D599" s="88" t="str">
        <x:v>M05</x:v>
      </x:c>
      <x:c r="E599" s="88" t="str">
        <x:v>3-1 시작</x:v>
      </x:c>
      <x:c r="F599" s="96" t="n">
        <x:v>661.775</x:v>
      </x:c>
      <x:c r="G599" s="89" t="str">
        <x:v>$2 최종 선택</x:v>
      </x:c>
      <x:c r="H599" s="89"/>
      <x:c r="I599" s="89"/>
      <x:c r="J599" s="89"/>
      <x:c r="K599" s="88" t="str">
        <x:v>단일/없음</x:v>
      </x:c>
      <x:c r="L599" s="88" t="str"/>
    </x:row>
    <x:row r="600">
      <x:c r="A600" s="88" t="n">
        <x:v>30</x:v>
      </x:c>
      <x:c r="B600" s="88" t="str">
        <x:v>S30_SJE</x:v>
      </x:c>
      <x:c r="C600" s="88" t="n">
        <x:v>22</x:v>
      </x:c>
      <x:c r="D600" s="88" t="str">
        <x:v>M06</x:v>
      </x:c>
      <x:c r="E600" s="88" t="str">
        <x:v>3-1 종료</x:v>
      </x:c>
      <x:c r="F600" s="96" t="n">
        <x:v>676.4</x:v>
      </x:c>
      <x:c r="G600" s="89" t="str">
        <x:v>$2 최종 선택</x:v>
      </x:c>
      <x:c r="H600" s="89" t="n">
        <x:v>676.876</x:v>
      </x:c>
      <x:c r="I600" s="103" t="n">
        <x:v>687.358</x:v>
      </x:c>
      <x:c r="J600" s="89"/>
      <x:c r="K600" s="88" t="str">
        <x:v>단일/없음</x:v>
      </x:c>
      <x:c r="L600" s="88" t="str"/>
    </x:row>
    <x:row r="601">
      <x:c r="A601" s="88" t="n">
        <x:v>30</x:v>
      </x:c>
      <x:c r="B601" s="88" t="str">
        <x:v>S30_SJE</x:v>
      </x:c>
      <x:c r="C601" s="88" t="n">
        <x:v>22</x:v>
      </x:c>
      <x:c r="D601" s="88" t="str">
        <x:v>M07</x:v>
      </x:c>
      <x:c r="E601" s="88" t="str">
        <x:v>3-2 시작</x:v>
      </x:c>
      <x:c r="F601" s="96" t="n">
        <x:v>730.025</x:v>
      </x:c>
      <x:c r="G601" s="89" t="str">
        <x:v>$2 최종 선택</x:v>
      </x:c>
      <x:c r="H601" s="89"/>
      <x:c r="I601" s="89"/>
      <x:c r="J601" s="89"/>
      <x:c r="K601" s="88" t="str">
        <x:v>단일/없음</x:v>
      </x:c>
      <x:c r="L601" s="88" t="str"/>
    </x:row>
    <x:row r="602">
      <x:c r="A602" s="88" t="n">
        <x:v>30</x:v>
      </x:c>
      <x:c r="B602" s="88" t="str">
        <x:v>S30_SJE</x:v>
      </x:c>
      <x:c r="C602" s="88" t="n">
        <x:v>22</x:v>
      </x:c>
      <x:c r="D602" s="88" t="str">
        <x:v>M08</x:v>
      </x:c>
      <x:c r="E602" s="88" t="str">
        <x:v>3-2 종료</x:v>
      </x:c>
      <x:c r="F602" s="96" t="n">
        <x:v>741.25</x:v>
      </x:c>
      <x:c r="G602" s="89" t="str">
        <x:v>$2 최종 선택</x:v>
      </x:c>
      <x:c r="H602" s="89"/>
      <x:c r="I602" s="89"/>
      <x:c r="J602" s="89"/>
      <x:c r="K602" s="88" t="str">
        <x:v>단일/없음</x:v>
      </x:c>
      <x:c r="L602" s="88" t="str"/>
    </x:row>
    <x:row r="603">
      <x:c r="A603" s="88" t="n">
        <x:v>30</x:v>
      </x:c>
      <x:c r="B603" s="88" t="str">
        <x:v>S30_SJE</x:v>
      </x:c>
      <x:c r="C603" s="88" t="n">
        <x:v>22</x:v>
      </x:c>
      <x:c r="D603" s="88" t="str">
        <x:v>M09</x:v>
      </x:c>
      <x:c r="E603" s="88" t="str">
        <x:v>4-1 시작</x:v>
      </x:c>
      <x:c r="F603" s="96" t="n">
        <x:v>755.025</x:v>
      </x:c>
      <x:c r="G603" s="89" t="str">
        <x:v>$2 최종 선택</x:v>
      </x:c>
      <x:c r="H603" s="89"/>
      <x:c r="I603" s="89"/>
      <x:c r="J603" s="89"/>
      <x:c r="K603" s="88" t="str">
        <x:v>단일/없음</x:v>
      </x:c>
      <x:c r="L603" s="88" t="str"/>
    </x:row>
    <x:row r="604">
      <x:c r="A604" s="88" t="n">
        <x:v>30</x:v>
      </x:c>
      <x:c r="B604" s="88" t="str">
        <x:v>S30_SJE</x:v>
      </x:c>
      <x:c r="C604" s="88" t="n">
        <x:v>22</x:v>
      </x:c>
      <x:c r="D604" s="88" t="str">
        <x:v>M10</x:v>
      </x:c>
      <x:c r="E604" s="88" t="str">
        <x:v>4-1 종료</x:v>
      </x:c>
      <x:c r="F604" s="96" t="n">
        <x:v>791.15</x:v>
      </x:c>
      <x:c r="G604" s="89" t="str">
        <x:v>$2 최종 선택</x:v>
      </x:c>
      <x:c r="H604" s="89" t="n">
        <x:v>791.6999999999999</x:v>
      </x:c>
      <x:c r="I604" s="103" t="n">
        <x:v>781.1759999999999</x:v>
      </x:c>
      <x:c r="J604" s="103" t="n">
        <x:v>801.188</x:v>
      </x:c>
      <x:c r="K604" s="88" t="str">
        <x:v>단일/없음</x:v>
      </x:c>
      <x:c r="L604" s="88" t="str"/>
    </x:row>
    <x:row r="605">
      <x:c r="A605" s="88" t="n">
        <x:v>30</x:v>
      </x:c>
      <x:c r="B605" s="88" t="str">
        <x:v>S30_SJE</x:v>
      </x:c>
      <x:c r="C605" s="88" t="n">
        <x:v>22</x:v>
      </x:c>
      <x:c r="D605" s="88" t="str">
        <x:v>M11</x:v>
      </x:c>
      <x:c r="E605" s="88" t="str">
        <x:v>4-2 시작</x:v>
      </x:c>
      <x:c r="F605" s="96" t="n">
        <x:v>800.675</x:v>
      </x:c>
      <x:c r="G605" s="89" t="str">
        <x:v>$2 최종 선택</x:v>
      </x:c>
      <x:c r="H605" s="89" t="n">
        <x:v>801.188</x:v>
      </x:c>
      <x:c r="I605" s="103" t="n">
        <x:v>791.6999999999999</x:v>
      </x:c>
      <x:c r="J605" s="89"/>
      <x:c r="K605" s="88" t="str">
        <x:v>단일/없음</x:v>
      </x:c>
      <x:c r="L605" s="88" t="str"/>
    </x:row>
    <x:row r="606">
      <x:c r="A606" s="88" t="n">
        <x:v>30</x:v>
      </x:c>
      <x:c r="B606" s="88" t="str">
        <x:v>S30_SJE</x:v>
      </x:c>
      <x:c r="C606" s="88" t="n">
        <x:v>22</x:v>
      </x:c>
      <x:c r="D606" s="88" t="str">
        <x:v>M12</x:v>
      </x:c>
      <x:c r="E606" s="88" t="str">
        <x:v>4-2 종료</x:v>
      </x:c>
      <x:c r="F606" s="96" t="n">
        <x:v>844.1</x:v>
      </x:c>
      <x:c r="G606" s="89" t="str">
        <x:v>$2 최종 선택</x:v>
      </x:c>
      <x:c r="H606" s="89" t="n">
        <x:v>844.548</x:v>
      </x:c>
      <x:c r="I606" s="103" t="n">
        <x:v>840.288</x:v>
      </x:c>
      <x:c r="J606" s="103" t="n">
        <x:v>854.096</x:v>
      </x:c>
      <x:c r="K606" s="98" t="str">
        <x:v>애매</x:v>
      </x:c>
      <x:c r="L606" s="88" t="str"/>
    </x:row>
    <x:row r="607">
      <x:c r="A607" s="88" t="n">
        <x:v>30</x:v>
      </x:c>
      <x:c r="B607" s="88" t="str">
        <x:v>S30_SJE</x:v>
      </x:c>
      <x:c r="C607" s="88" t="n">
        <x:v>22</x:v>
      </x:c>
      <x:c r="D607" s="88" t="str">
        <x:v>M13</x:v>
      </x:c>
      <x:c r="E607" s="88" t="str">
        <x:v>4-3 시작</x:v>
      </x:c>
      <x:c r="F607" s="96" t="n">
        <x:v>853.65</x:v>
      </x:c>
      <x:c r="G607" s="89" t="str">
        <x:v>$2 최종 선택</x:v>
      </x:c>
      <x:c r="H607" s="89" t="n">
        <x:v>854.096</x:v>
      </x:c>
      <x:c r="I607" s="103" t="n">
        <x:v>844.548</x:v>
      </x:c>
      <x:c r="J607" s="103" t="n">
        <x:v>840.288</x:v>
      </x:c>
      <x:c r="K607" s="88" t="str">
        <x:v>단일/없음</x:v>
      </x:c>
      <x:c r="L607" s="88" t="str"/>
    </x:row>
    <x:row r="608">
      <x:c r="A608" s="88" t="n">
        <x:v>30</x:v>
      </x:c>
      <x:c r="B608" s="88" t="str">
        <x:v>S30_SJE</x:v>
      </x:c>
      <x:c r="C608" s="88" t="n">
        <x:v>22</x:v>
      </x:c>
      <x:c r="D608" s="88" t="str">
        <x:v>M14</x:v>
      </x:c>
      <x:c r="E608" s="88" t="str">
        <x:v>4-3 종료</x:v>
      </x:c>
      <x:c r="F608" s="96" t="n">
        <x:v>896.7</x:v>
      </x:c>
      <x:c r="G608" s="89" t="str">
        <x:v>$2 최종 선택</x:v>
      </x:c>
      <x:c r="H608" s="89" t="n">
        <x:v>895.516</x:v>
      </x:c>
      <x:c r="I608" s="89"/>
      <x:c r="J608" s="89"/>
      <x:c r="K608" s="88" t="str">
        <x:v>단일/없음</x:v>
      </x:c>
      <x:c r="L608" s="88" t="str"/>
    </x:row>
    <x:row r="609">
      <x:c r="A609" s="88" t="n">
        <x:v>30</x:v>
      </x:c>
      <x:c r="B609" s="88" t="str">
        <x:v>S30_SJE</x:v>
      </x:c>
      <x:c r="C609" s="88" t="n">
        <x:v>22</x:v>
      </x:c>
      <x:c r="D609" s="88" t="str">
        <x:v>M15</x:v>
      </x:c>
      <x:c r="E609" s="88" t="str">
        <x:v>4-4 시작</x:v>
      </x:c>
      <x:c r="F609" s="96" t="n">
        <x:v>911.825</x:v>
      </x:c>
      <x:c r="G609" s="89" t="str">
        <x:v>$2 최종 선택</x:v>
      </x:c>
      <x:c r="H609" s="89" t="n">
        <x:v>912.26</x:v>
      </x:c>
      <x:c r="I609" s="103" t="n">
        <x:v>921.168</x:v>
      </x:c>
      <x:c r="J609" s="89"/>
      <x:c r="K609" s="88" t="str">
        <x:v>단일/없음</x:v>
      </x:c>
      <x:c r="L609" s="88" t="str"/>
    </x:row>
    <x:row r="610">
      <x:c r="A610" s="88" t="n">
        <x:v>30</x:v>
      </x:c>
      <x:c r="B610" s="88" t="str">
        <x:v>S30_SJE</x:v>
      </x:c>
      <x:c r="C610" s="88" t="n">
        <x:v>22</x:v>
      </x:c>
      <x:c r="D610" s="88" t="str">
        <x:v>M16</x:v>
      </x:c>
      <x:c r="E610" s="88" t="str">
        <x:v>4-4 종료</x:v>
      </x:c>
      <x:c r="F610" s="96" t="n">
        <x:v>968.925</x:v>
      </x:c>
      <x:c r="G610" s="89" t="str">
        <x:v>$2 최종 선택</x:v>
      </x:c>
      <x:c r="H610" s="89" t="n">
        <x:v>970.672</x:v>
      </x:c>
      <x:c r="I610" s="89"/>
      <x:c r="J610" s="89"/>
      <x:c r="K610" s="88" t="str">
        <x:v>단일/없음</x:v>
      </x:c>
      <x:c r="L610" s="88" t="str"/>
    </x:row>
    <x:row r="611">
      <x:c r="A611" s="88" t="n">
        <x:v>30</x:v>
      </x:c>
      <x:c r="B611" s="88" t="str">
        <x:v>S30_SJE</x:v>
      </x:c>
      <x:c r="C611" s="88" t="n">
        <x:v>22</x:v>
      </x:c>
      <x:c r="D611" s="88" t="str">
        <x:v>M17</x:v>
      </x:c>
      <x:c r="E611" s="88" t="str">
        <x:v>5 시작</x:v>
      </x:c>
      <x:c r="F611" s="96" t="n">
        <x:v>974.375</x:v>
      </x:c>
      <x:c r="G611" s="89" t="str">
        <x:v>$2 최종 선택</x:v>
      </x:c>
      <x:c r="H611" s="89" t="n">
        <x:v>970.672</x:v>
      </x:c>
      <x:c r="I611" s="89"/>
      <x:c r="J611" s="89"/>
      <x:c r="K611" s="88" t="str">
        <x:v>단일/없음</x:v>
      </x:c>
      <x:c r="L611" s="88" t="str"/>
    </x:row>
    <x:row r="612">
      <x:c r="A612" s="88" t="n">
        <x:v>30</x:v>
      </x:c>
      <x:c r="B612" s="88" t="str">
        <x:v>S30_SJE</x:v>
      </x:c>
      <x:c r="C612" s="88" t="n">
        <x:v>22</x:v>
      </x:c>
      <x:c r="D612" s="88" t="str">
        <x:v>M18</x:v>
      </x:c>
      <x:c r="E612" s="88" t="str">
        <x:v>5 종료</x:v>
      </x:c>
      <x:c r="F612" s="96" t="n">
        <x:v>1158.775</x:v>
      </x:c>
      <x:c r="G612" s="89" t="str">
        <x:v>$2 최종 선택</x:v>
      </x:c>
      <x:c r="H612" s="89" t="n">
        <x:v>1159.432</x:v>
      </x:c>
      <x:c r="I612" s="89"/>
      <x:c r="J612" s="89"/>
      <x:c r="K612" s="88" t="str">
        <x:v>단일/없음</x:v>
      </x:c>
      <x:c r="L612" s="88" t="str"/>
    </x:row>
    <x:row r="613">
      <x:c r="A613" s="88" t="n">
        <x:v>30</x:v>
      </x:c>
      <x:c r="B613" s="88" t="str">
        <x:v>S30_SJE</x:v>
      </x:c>
      <x:c r="C613" s="88" t="n">
        <x:v>22</x:v>
      </x:c>
      <x:c r="D613" s="88" t="str">
        <x:v>M19</x:v>
      </x:c>
      <x:c r="E613" s="88" t="str">
        <x:v>6 시작</x:v>
      </x:c>
      <x:c r="F613" s="96" t="n">
        <x:v>1175.375</x:v>
      </x:c>
      <x:c r="G613" s="89" t="str">
        <x:v>$2 최종 선택</x:v>
      </x:c>
      <x:c r="H613" s="89"/>
      <x:c r="I613" s="89"/>
      <x:c r="J613" s="89"/>
      <x:c r="K613" s="88" t="str">
        <x:v>단일/없음</x:v>
      </x:c>
      <x:c r="L613" s="88" t="str"/>
    </x:row>
    <x:row r="614">
      <x:c r="A614" s="88" t="n">
        <x:v>30</x:v>
      </x:c>
      <x:c r="B614" s="88" t="str">
        <x:v>S30_SJE</x:v>
      </x:c>
      <x:c r="C614" s="88" t="n">
        <x:v>22</x:v>
      </x:c>
      <x:c r="D614" s="88" t="str">
        <x:v>M20</x:v>
      </x:c>
      <x:c r="E614" s="88" t="str">
        <x:v>6 종료</x:v>
      </x:c>
      <x:c r="F614" s="96" t="n">
        <x:v>1219.625</x:v>
      </x:c>
      <x:c r="G614" s="89" t="str">
        <x:v>$2 최종 선택</x:v>
      </x:c>
      <x:c r="H614" s="89" t="n">
        <x:v>1212.304</x:v>
      </x:c>
      <x:c r="I614" s="89"/>
      <x:c r="J614" s="89"/>
      <x:c r="K614" s="88" t="str">
        <x:v>단일/없음</x:v>
      </x:c>
      <x:c r="L614" s="88" t="str"/>
    </x:row>
    <x:row r="615">
      <x:c r="A615" s="88" t="n">
        <x:v>30</x:v>
      </x:c>
      <x:c r="B615" s="88" t="str">
        <x:v>S30_SJE</x:v>
      </x:c>
      <x:c r="C615" s="88" t="n">
        <x:v>22</x:v>
      </x:c>
      <x:c r="D615" s="88" t="str">
        <x:v>M21</x:v>
      </x:c>
      <x:c r="E615" s="88" t="str">
        <x:v>7 시작</x:v>
      </x:c>
      <x:c r="F615" s="96" t="n">
        <x:v>1243.925</x:v>
      </x:c>
      <x:c r="G615" s="89" t="str">
        <x:v>$2 최종 선택</x:v>
      </x:c>
      <x:c r="H615" s="89" t="n">
        <x:v>1244.4160000000002</x:v>
      </x:c>
      <x:c r="I615" s="103" t="n">
        <x:v>1254.7720000000002</x:v>
      </x:c>
      <x:c r="J615" s="89"/>
      <x:c r="K615" s="88" t="str">
        <x:v>단일/없음</x:v>
      </x:c>
      <x:c r="L615" s="88" t="str"/>
    </x:row>
    <x:row r="616">
      <x:c r="A616" s="90" t="n">
        <x:v>30</x:v>
      </x:c>
      <x:c r="B616" s="90" t="str">
        <x:v>S30_SJE</x:v>
      </x:c>
      <x:c r="C616" s="90" t="n">
        <x:v>22</x:v>
      </x:c>
      <x:c r="D616" s="90" t="str">
        <x:v>M22</x:v>
      </x:c>
      <x:c r="E616" s="90" t="str">
        <x:v>7 종료</x:v>
      </x:c>
      <x:c r="F616" s="101" t="n">
        <x:v>1254.325</x:v>
      </x:c>
      <x:c r="G616" s="91" t="str">
        <x:v>$2 최종 선택</x:v>
      </x:c>
      <x:c r="H616" s="91" t="n">
        <x:v>1254.7720000000002</x:v>
      </x:c>
      <x:c r="I616" s="105" t="n">
        <x:v>1244.4160000000002</x:v>
      </x:c>
      <x:c r="J616" s="91"/>
      <x:c r="K616" s="90" t="str">
        <x:v>단일/없음</x:v>
      </x:c>
      <x:c r="L616" s="90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23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7" hidden="0" customWidth="1"/>
    <x:col min="11" max="11" width="36" hidden="0" customWidth="1"/>
    <x:col min="12" max="12" width="24" hidden="0" customWidth="1"/>
  </x:cols>
  <x:sheetData>
    <x:row r="1" ht="30" customHeight="1">
      <x:c r="A1" s="49" t="str">
        <x:v>시나리오 시간 검증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52" t="str">
        <x:v>선택된 마커 쌍 또는 미확정 추천 쌍의 지속시간을 PPT 기준 범위와 비교합니다. 시간 적합만으로 실제 마커임을 확정할 수는 없습니다.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65" t="str">
        <x:v>번호</x:v>
      </x:c>
      <x:c r="B4" s="65" t="str">
        <x:v>참가자</x:v>
      </x:c>
      <x:c r="C4" s="65" t="str">
        <x:v>쌍 번호</x:v>
      </x:c>
      <x:c r="D4" s="65" t="str">
        <x:v>시나리오</x:v>
      </x:c>
      <x:c r="E4" s="65" t="str">
        <x:v>시작(s)</x:v>
      </x:c>
      <x:c r="F4" s="65" t="str">
        <x:v>종료(s)</x:v>
      </x:c>
      <x:c r="G4" s="65" t="str">
        <x:v>지속시간(s)</x:v>
      </x:c>
      <x:c r="H4" s="65" t="str">
        <x:v>최소(s)</x:v>
      </x:c>
      <x:c r="I4" s="65" t="str">
        <x:v>최대(s)</x:v>
      </x:c>
      <x:c r="J4" s="65" t="str">
        <x:v>시간 판정</x:v>
      </x:c>
      <x:c r="K4" s="65" t="str">
        <x:v>PPT/판정 근거</x:v>
      </x:c>
      <x:c r="L4" s="65" t="str">
        <x:v>값 출처</x:v>
      </x:c>
    </x:row>
    <x:row r="5">
      <x:c r="A5" s="86" t="n">
        <x:v>2</x:v>
      </x:c>
      <x:c r="B5" s="86" t="str">
        <x:v>S02_RJS</x:v>
      </x:c>
      <x:c r="C5" s="86" t="n">
        <x:v>1</x:v>
      </x:c>
      <x:c r="D5" s="86" t="str">
        <x:v>1번 호흡</x:v>
      </x:c>
      <x:c r="E5" s="87" t="n">
        <x:v>25</x:v>
      </x:c>
      <x:c r="F5" s="87" t="n">
        <x:v>217</x:v>
      </x:c>
      <x:c r="G5" s="87" t="n">
        <x:f>IF(OR(E5="",F5=""),"",F5-E5)</x:f>
        <x:v>192</x:v>
      </x:c>
      <x:c r="H5" s="87" t="n">
        <x:v>150</x:v>
      </x:c>
      <x:c r="I5" s="87" t="n">
        <x:v>240</x:v>
      </x:c>
      <x:c r="J5" s="285" t="str">
        <x:f>IF(G5="","경계 누락",IF(AND(G5&gt;=H5,G5&lt;=I5),"시간 적합","시간 확인 필요"))</x:f>
        <x:v>시간 적합</x:v>
      </x:c>
      <x:c r="K5" s="86" t="str">
        <x:v>PPT 3분</x:v>
      </x:c>
      <x:c r="L5" s="86" t="str">
        <x:v>기존 엑셀값</x:v>
      </x:c>
    </x:row>
    <x:row r="6">
      <x:c r="A6" s="88" t="n">
        <x:v>2</x:v>
      </x:c>
      <x:c r="B6" s="88" t="str">
        <x:v>S02_RJS</x:v>
      </x:c>
      <x:c r="C6" s="88" t="n">
        <x:v>2</x:v>
      </x:c>
      <x:c r="D6" s="88" t="str">
        <x:v>2번 호흡</x:v>
      </x:c>
      <x:c r="E6" s="89" t="n">
        <x:v>245</x:v>
      </x:c>
      <x:c r="F6" s="89" t="n">
        <x:v>611</x:v>
      </x:c>
      <x:c r="G6" s="89" t="n">
        <x:f>IF(OR(E6="",F6=""),"",F6-E6)</x:f>
        <x:v>366</x:v>
      </x:c>
      <x:c r="H6" s="89" t="n">
        <x:v>240</x:v>
      </x:c>
      <x:c r="I6" s="89" t="n">
        <x:v>450</x:v>
      </x:c>
      <x:c r="J6" s="99" t="str">
        <x:f>IF(G6="","경계 누락",IF(AND(G6&gt;=H6,G6&lt;=I6),"시간 적합","시간 확인 필요"))</x:f>
        <x:v>시간 적합</x:v>
      </x:c>
      <x:c r="K6" s="88" t="str">
        <x:v>PPT 표기 4분30초 / 세부 합계 약 6분</x:v>
      </x:c>
      <x:c r="L6" s="88" t="str">
        <x:v>기존 엑셀값</x:v>
      </x:c>
    </x:row>
    <x:row r="7">
      <x:c r="A7" s="88" t="n">
        <x:v>2</x:v>
      </x:c>
      <x:c r="B7" s="88" t="str">
        <x:v>S02_RJS</x:v>
      </x:c>
      <x:c r="C7" s="88" t="n">
        <x:v>3</x:v>
      </x:c>
      <x:c r="D7" s="88" t="str">
        <x:v>3번 픽업-1</x:v>
      </x:c>
      <x:c r="E7" s="89" t="n">
        <x:v>708</x:v>
      </x:c>
      <x:c r="F7" s="89" t="n">
        <x:v>723</x:v>
      </x:c>
      <x:c r="G7" s="89" t="n">
        <x:f>IF(OR(E7="",F7=""),"",F7-E7)</x:f>
        <x:v>15</x:v>
      </x:c>
      <x:c r="H7" s="89" t="n">
        <x:v>5</x:v>
      </x:c>
      <x:c r="I7" s="89" t="n">
        <x:v>90</x:v>
      </x:c>
      <x:c r="J7" s="99" t="str">
        <x:f>IF(G7="","경계 누락",IF(AND(G7&gt;=H7,G7&lt;=I7),"시간 적합","시간 확인 필요"))</x:f>
        <x:v>시간 적합</x:v>
      </x:c>
      <x:c r="K7" s="88" t="str">
        <x:v>총시간 미기재</x:v>
      </x:c>
      <x:c r="L7" s="88" t="str">
        <x:v>기존 엑셀값</x:v>
      </x:c>
    </x:row>
    <x:row r="8">
      <x:c r="A8" s="88" t="n">
        <x:v>2</x:v>
      </x:c>
      <x:c r="B8" s="88" t="str">
        <x:v>S02_RJS</x:v>
      </x:c>
      <x:c r="C8" s="88" t="n">
        <x:v>4</x:v>
      </x:c>
      <x:c r="D8" s="88" t="str">
        <x:v>3번 픽업-2</x:v>
      </x:c>
      <x:c r="E8" s="89" t="n">
        <x:v>740</x:v>
      </x:c>
      <x:c r="F8" s="89" t="n">
        <x:v>754</x:v>
      </x:c>
      <x:c r="G8" s="89" t="n">
        <x:f>IF(OR(E8="",F8=""),"",F8-E8)</x:f>
        <x:v>14</x:v>
      </x:c>
      <x:c r="H8" s="89" t="n">
        <x:v>5</x:v>
      </x:c>
      <x:c r="I8" s="89" t="n">
        <x:v>90</x:v>
      </x:c>
      <x:c r="J8" s="99" t="str">
        <x:f>IF(G8="","경계 누락",IF(AND(G8&gt;=H8,G8&lt;=I8),"시간 적합","시간 확인 필요"))</x:f>
        <x:v>시간 적합</x:v>
      </x:c>
      <x:c r="K8" s="88" t="str">
        <x:v>총시간 미기재</x:v>
      </x:c>
      <x:c r="L8" s="88" t="str">
        <x:v>기존 엑셀값</x:v>
      </x:c>
    </x:row>
    <x:row r="9">
      <x:c r="A9" s="88" t="n">
        <x:v>2</x:v>
      </x:c>
      <x:c r="B9" s="88" t="str">
        <x:v>S02_RJS</x:v>
      </x:c>
      <x:c r="C9" s="88" t="n">
        <x:v>5</x:v>
      </x:c>
      <x:c r="D9" s="88" t="str">
        <x:v>4번 낙상-즉시</x:v>
      </x:c>
      <x:c r="E9" s="89" t="n">
        <x:v>842</x:v>
      </x:c>
      <x:c r="F9" s="89" t="n">
        <x:v>896</x:v>
      </x:c>
      <x:c r="G9" s="89" t="n">
        <x:f>IF(OR(E9="",F9=""),"",F9-E9)</x:f>
        <x:v>54</x:v>
      </x:c>
      <x:c r="H9" s="89" t="n">
        <x:v>5</x:v>
      </x:c>
      <x:c r="I9" s="89" t="n">
        <x:v>30</x:v>
      </x:c>
      <x:c r="J9" s="98" t="str">
        <x:f>IF(G9="","경계 누락",IF(AND(G9&gt;=H9,G9&lt;=I9),"시간 적합","시간 확인 필요"))</x:f>
        <x:v>시간 확인 필요</x:v>
      </x:c>
      <x:c r="K9" s="88" t="str">
        <x:v>즥시 일어나기</x:v>
      </x:c>
      <x:c r="L9" s="88" t="str">
        <x:v>기존 엑셀값</x:v>
      </x:c>
    </x:row>
    <x:row r="10">
      <x:c r="A10" s="88" t="n">
        <x:v>2</x:v>
      </x:c>
      <x:c r="B10" s="88" t="str">
        <x:v>S02_RJS</x:v>
      </x:c>
      <x:c r="C10" s="88" t="n">
        <x:v>6</x:v>
      </x:c>
      <x:c r="D10" s="88" t="str">
        <x:v>4번 낙상-30초 유지</x:v>
      </x:c>
      <x:c r="E10" s="89" t="n">
        <x:v>896</x:v>
      </x:c>
      <x:c r="F10" s="89" t="n">
        <x:v>944</x:v>
      </x:c>
      <x:c r="G10" s="89" t="n">
        <x:f>IF(OR(E10="",F10=""),"",F10-E10)</x:f>
        <x:v>48</x:v>
      </x:c>
      <x:c r="H10" s="89" t="n">
        <x:v>25</x:v>
      </x:c>
      <x:c r="I10" s="89" t="n">
        <x:v>75</x:v>
      </x:c>
      <x:c r="J10" s="99" t="str">
        <x:f>IF(G10="","경계 누락",IF(AND(G10&gt;=H10,G10&lt;=I10),"시간 적합","시간 확인 필요"))</x:f>
        <x:v>시간 적합</x:v>
      </x:c>
      <x:c r="K10" s="88" t="str">
        <x:v>30초 유지+이동</x:v>
      </x:c>
      <x:c r="L10" s="88" t="str">
        <x:v>기존 엑셀값</x:v>
      </x:c>
    </x:row>
    <x:row r="11">
      <x:c r="A11" s="88" t="n">
        <x:v>2</x:v>
      </x:c>
      <x:c r="B11" s="88" t="str">
        <x:v>S02_RJS</x:v>
      </x:c>
      <x:c r="C11" s="88" t="n">
        <x:v>7</x:v>
      </x:c>
      <x:c r="D11" s="88" t="str">
        <x:v>4번 낙상-천천히</x:v>
      </x:c>
      <x:c r="E11" s="89" t="n">
        <x:v>946</x:v>
      </x:c>
      <x:c r="F11" s="89" t="n">
        <x:v>1000</x:v>
      </x:c>
      <x:c r="G11" s="89" t="n">
        <x:f>IF(OR(E11="",F11=""),"",F11-E11)</x:f>
        <x:v>54</x:v>
      </x:c>
      <x:c r="H11" s="89" t="n">
        <x:v>25</x:v>
      </x:c>
      <x:c r="I11" s="89" t="n">
        <x:v>90</x:v>
      </x:c>
      <x:c r="J11" s="99" t="str">
        <x:f>IF(G11="","경계 누락",IF(AND(G11&gt;=H11,G11&lt;=I11),"시간 적합","시간 확인 필요"))</x:f>
        <x:v>시간 적합</x:v>
      </x:c>
      <x:c r="K11" s="88" t="str">
        <x:v>천천히 눕기+30초 유지</x:v>
      </x:c>
      <x:c r="L11" s="88" t="str">
        <x:v>기존 엑셀값</x:v>
      </x:c>
    </x:row>
    <x:row r="12">
      <x:c r="A12" s="88" t="n">
        <x:v>2</x:v>
      </x:c>
      <x:c r="B12" s="88" t="str">
        <x:v>S02_RJS</x:v>
      </x:c>
      <x:c r="C12" s="88" t="n">
        <x:v>8</x:v>
      </x:c>
      <x:c r="D12" s="88" t="str">
        <x:v>5번 코스</x:v>
      </x:c>
      <x:c r="E12" s="89" t="n">
        <x:v>1020</x:v>
      </x:c>
      <x:c r="F12" s="89" t="n">
        <x:v>1184</x:v>
      </x:c>
      <x:c r="G12" s="89" t="n">
        <x:f>IF(OR(E12="",F12=""),"",F12-E12)</x:f>
        <x:v>164</x:v>
      </x:c>
      <x:c r="H12" s="89" t="n">
        <x:v>130</x:v>
      </x:c>
      <x:c r="I12" s="89" t="n">
        <x:v>230</x:v>
      </x:c>
      <x:c r="J12" s="99" t="str">
        <x:f>IF(G12="","경계 누락",IF(AND(G12&gt;=H12,G12&lt;=I12),"시간 적합","시간 확인 필요"))</x:f>
        <x:v>시간 적합</x:v>
      </x:c>
      <x:c r="K12" s="88" t="str">
        <x:v>16칸×10초=약 160초+이동</x:v>
      </x:c>
      <x:c r="L12" s="88" t="str">
        <x:v>기존 엑셀값</x:v>
      </x:c>
    </x:row>
    <x:row r="13">
      <x:c r="A13" s="88" t="n">
        <x:v>2</x:v>
      </x:c>
      <x:c r="B13" s="88" t="str">
        <x:v>S02_RJS</x:v>
      </x:c>
      <x:c r="C13" s="88" t="n">
        <x:v>9</x:v>
      </x:c>
      <x:c r="D13" s="88" t="str">
        <x:v>6번 왕복</x:v>
      </x:c>
      <x:c r="E13" s="89" t="n">
        <x:v>1232</x:v>
      </x:c>
      <x:c r="F13" s="89" t="n">
        <x:v>1259</x:v>
      </x:c>
      <x:c r="G13" s="89" t="n">
        <x:f>IF(OR(E13="",F13=""),"",F13-E13)</x:f>
        <x:v>27</x:v>
      </x:c>
      <x:c r="H13" s="89" t="n">
        <x:v>5</x:v>
      </x:c>
      <x:c r="I13" s="89" t="n">
        <x:v>70</x:v>
      </x:c>
      <x:c r="J13" s="99" t="str">
        <x:f>IF(G13="","경계 누락",IF(AND(G13&gt;=H13,G13&lt;=I13),"시간 적합","시간 확인 필요"))</x:f>
        <x:v>시간 적합</x:v>
      </x:c>
      <x:c r="K13" s="88" t="str">
        <x:v>PPT 1분 미만</x:v>
      </x:c>
      <x:c r="L13" s="88" t="str">
        <x:v>기존 엑셀값</x:v>
      </x:c>
    </x:row>
    <x:row r="14">
      <x:c r="A14" s="88" t="n">
        <x:v>2</x:v>
      </x:c>
      <x:c r="B14" s="88" t="str">
        <x:v>S02_RJS</x:v>
      </x:c>
      <x:c r="C14" s="88" t="n">
        <x:v>10</x:v>
      </x:c>
      <x:c r="D14" s="88" t="str">
        <x:v>7번 자유</x:v>
      </x:c>
      <x:c r="E14" s="89" t="n">
        <x:v>1286</x:v>
      </x:c>
      <x:c r="F14" s="89" t="n">
        <x:v>1295</x:v>
      </x:c>
      <x:c r="G14" s="89" t="n">
        <x:f>IF(OR(E14="",F14=""),"",F14-E14)</x:f>
        <x:v>9</x:v>
      </x:c>
      <x:c r="H14" s="89" t="n">
        <x:v>5</x:v>
      </x:c>
      <x:c r="I14" s="89" t="n">
        <x:v>70</x:v>
      </x:c>
      <x:c r="J14" s="99" t="str">
        <x:f>IF(G14="","경계 누락",IF(AND(G14&gt;=H14,G14&lt;=I14),"시간 적합","시간 확인 필요"))</x:f>
        <x:v>시간 적합</x:v>
      </x:c>
      <x:c r="K14" s="88" t="str">
        <x:v>PPT 1분 미만</x:v>
      </x:c>
      <x:c r="L14" s="88" t="str">
        <x:v>기존 엑셀값</x:v>
      </x:c>
    </x:row>
    <x:row r="15">
      <x:c r="A15" s="88" t="n">
        <x:v>3</x:v>
      </x:c>
      <x:c r="B15" s="88" t="str">
        <x:v>S03_PSJ</x:v>
      </x:c>
      <x:c r="C15" s="88" t="n">
        <x:v>1</x:v>
      </x:c>
      <x:c r="D15" s="88" t="str">
        <x:v>1번 호흡</x:v>
      </x:c>
      <x:c r="E15" s="89" t="n">
        <x:v>23</x:v>
      </x:c>
      <x:c r="F15" s="89" t="n">
        <x:v>210</x:v>
      </x:c>
      <x:c r="G15" s="89" t="n">
        <x:f>IF(OR(E15="",F15=""),"",F15-E15)</x:f>
        <x:v>187</x:v>
      </x:c>
      <x:c r="H15" s="89" t="n">
        <x:v>150</x:v>
      </x:c>
      <x:c r="I15" s="89" t="n">
        <x:v>240</x:v>
      </x:c>
      <x:c r="J15" s="99" t="str">
        <x:f>IF(G15="","경계 누락",IF(AND(G15&gt;=H15,G15&lt;=I15),"시간 적합","시간 확인 필요"))</x:f>
        <x:v>시간 적합</x:v>
      </x:c>
      <x:c r="K15" s="88" t="str">
        <x:v>PPT 3분</x:v>
      </x:c>
      <x:c r="L15" s="88" t="str">
        <x:v>기존 엑셀값</x:v>
      </x:c>
    </x:row>
    <x:row r="16">
      <x:c r="A16" s="88" t="n">
        <x:v>3</x:v>
      </x:c>
      <x:c r="B16" s="88" t="str">
        <x:v>S03_PSJ</x:v>
      </x:c>
      <x:c r="C16" s="88" t="n">
        <x:v>2</x:v>
      </x:c>
      <x:c r="D16" s="88" t="str">
        <x:v>2번 호흡</x:v>
      </x:c>
      <x:c r="E16" s="89" t="n">
        <x:v>276</x:v>
      </x:c>
      <x:c r="F16" s="89" t="n">
        <x:v>646</x:v>
      </x:c>
      <x:c r="G16" s="89" t="n">
        <x:f>IF(OR(E16="",F16=""),"",F16-E16)</x:f>
        <x:v>370</x:v>
      </x:c>
      <x:c r="H16" s="89" t="n">
        <x:v>240</x:v>
      </x:c>
      <x:c r="I16" s="89" t="n">
        <x:v>450</x:v>
      </x:c>
      <x:c r="J16" s="99" t="str">
        <x:f>IF(G16="","경계 누락",IF(AND(G16&gt;=H16,G16&lt;=I16),"시간 적합","시간 확인 필요"))</x:f>
        <x:v>시간 적합</x:v>
      </x:c>
      <x:c r="K16" s="88" t="str">
        <x:v>PPT 표기 4분30초 / 세부 합계 약 6분</x:v>
      </x:c>
      <x:c r="L16" s="88" t="str">
        <x:v>기존 엑셀값</x:v>
      </x:c>
    </x:row>
    <x:row r="17">
      <x:c r="A17" s="88" t="n">
        <x:v>3</x:v>
      </x:c>
      <x:c r="B17" s="88" t="str">
        <x:v>S03_PSJ</x:v>
      </x:c>
      <x:c r="C17" s="88" t="n">
        <x:v>3</x:v>
      </x:c>
      <x:c r="D17" s="88" t="str">
        <x:v>3번 픽업-1</x:v>
      </x:c>
      <x:c r="E17" s="89"/>
      <x:c r="F17" s="89" t="n">
        <x:v>736</x:v>
      </x:c>
      <x:c r="G17" s="89" t="str">
        <x:f>IF(OR(E17="",F17=""),"",F17-E17)</x:f>
      </x:c>
      <x:c r="H17" s="89" t="n">
        <x:v>5</x:v>
      </x:c>
      <x:c r="I17" s="89" t="n">
        <x:v>90</x:v>
      </x:c>
      <x:c r="J17" s="94" t="str">
        <x:f>IF(G17="","경계 누락",IF(AND(G17&gt;=H17,G17&lt;=I17),"시간 적합","시간 확인 필요"))</x:f>
        <x:v>경계 누락</x:v>
      </x:c>
      <x:c r="K17" s="88" t="str">
        <x:v>총시간 미기재</x:v>
      </x:c>
      <x:c r="L17" s="88" t="str">
        <x:v>기존 엑셀값</x:v>
      </x:c>
    </x:row>
    <x:row r="18">
      <x:c r="A18" s="88" t="n">
        <x:v>3</x:v>
      </x:c>
      <x:c r="B18" s="88" t="str">
        <x:v>S03_PSJ</x:v>
      </x:c>
      <x:c r="C18" s="88" t="n">
        <x:v>4</x:v>
      </x:c>
      <x:c r="D18" s="88" t="str">
        <x:v>3번 픽업-2</x:v>
      </x:c>
      <x:c r="E18" s="89"/>
      <x:c r="F18" s="89"/>
      <x:c r="G18" s="89" t="str">
        <x:f>IF(OR(E18="",F18=""),"",F18-E18)</x:f>
      </x:c>
      <x:c r="H18" s="89" t="n">
        <x:v>5</x:v>
      </x:c>
      <x:c r="I18" s="89" t="n">
        <x:v>90</x:v>
      </x:c>
      <x:c r="J18" s="94" t="str">
        <x:f>IF(G18="","경계 누락",IF(AND(G18&gt;=H18,G18&lt;=I18),"시간 적합","시간 확인 필요"))</x:f>
        <x:v>경계 누락</x:v>
      </x:c>
      <x:c r="K18" s="88" t="str">
        <x:v>총시간 미기재</x:v>
      </x:c>
      <x:c r="L18" s="88" t="str">
        <x:v>기존 엑셀값</x:v>
      </x:c>
    </x:row>
    <x:row r="19">
      <x:c r="A19" s="88" t="n">
        <x:v>3</x:v>
      </x:c>
      <x:c r="B19" s="88" t="str">
        <x:v>S03_PSJ</x:v>
      </x:c>
      <x:c r="C19" s="88" t="n">
        <x:v>5</x:v>
      </x:c>
      <x:c r="D19" s="88" t="str">
        <x:v>4번 낙상-즉시</x:v>
      </x:c>
      <x:c r="E19" s="89" t="n">
        <x:v>934</x:v>
      </x:c>
      <x:c r="F19" s="89" t="n">
        <x:v>945</x:v>
      </x:c>
      <x:c r="G19" s="89" t="n">
        <x:f>IF(OR(E19="",F19=""),"",F19-E19)</x:f>
        <x:v>11</x:v>
      </x:c>
      <x:c r="H19" s="89" t="n">
        <x:v>5</x:v>
      </x:c>
      <x:c r="I19" s="89" t="n">
        <x:v>30</x:v>
      </x:c>
      <x:c r="J19" s="99" t="str">
        <x:f>IF(G19="","경계 누락",IF(AND(G19&gt;=H19,G19&lt;=I19),"시간 적합","시간 확인 필요"))</x:f>
        <x:v>시간 적합</x:v>
      </x:c>
      <x:c r="K19" s="88" t="str">
        <x:v>즥시 일어나기</x:v>
      </x:c>
      <x:c r="L19" s="88" t="str">
        <x:v>기존 엑셀값</x:v>
      </x:c>
    </x:row>
    <x:row r="20">
      <x:c r="A20" s="88" t="n">
        <x:v>3</x:v>
      </x:c>
      <x:c r="B20" s="88" t="str">
        <x:v>S03_PSJ</x:v>
      </x:c>
      <x:c r="C20" s="88" t="n">
        <x:v>6</x:v>
      </x:c>
      <x:c r="D20" s="88" t="str">
        <x:v>4번 낙상-30초 유지</x:v>
      </x:c>
      <x:c r="E20" s="89" t="n">
        <x:v>971</x:v>
      </x:c>
      <x:c r="F20" s="89" t="n">
        <x:v>1010</x:v>
      </x:c>
      <x:c r="G20" s="89" t="n">
        <x:f>IF(OR(E20="",F20=""),"",F20-E20)</x:f>
        <x:v>39</x:v>
      </x:c>
      <x:c r="H20" s="89" t="n">
        <x:v>25</x:v>
      </x:c>
      <x:c r="I20" s="89" t="n">
        <x:v>75</x:v>
      </x:c>
      <x:c r="J20" s="99" t="str">
        <x:f>IF(G20="","경계 누락",IF(AND(G20&gt;=H20,G20&lt;=I20),"시간 적합","시간 확인 필요"))</x:f>
        <x:v>시간 적합</x:v>
      </x:c>
      <x:c r="K20" s="88" t="str">
        <x:v>30초 유지+이동</x:v>
      </x:c>
      <x:c r="L20" s="88" t="str">
        <x:v>기존 엑셀값</x:v>
      </x:c>
    </x:row>
    <x:row r="21">
      <x:c r="A21" s="88" t="n">
        <x:v>3</x:v>
      </x:c>
      <x:c r="B21" s="88" t="str">
        <x:v>S03_PSJ</x:v>
      </x:c>
      <x:c r="C21" s="88" t="n">
        <x:v>7</x:v>
      </x:c>
      <x:c r="D21" s="88" t="str">
        <x:v>4번 낙상-천천히</x:v>
      </x:c>
      <x:c r="E21" s="89" t="n">
        <x:v>1028</x:v>
      </x:c>
      <x:c r="F21" s="89" t="n">
        <x:v>1072</x:v>
      </x:c>
      <x:c r="G21" s="89" t="n">
        <x:f>IF(OR(E21="",F21=""),"",F21-E21)</x:f>
        <x:v>44</x:v>
      </x:c>
      <x:c r="H21" s="89" t="n">
        <x:v>25</x:v>
      </x:c>
      <x:c r="I21" s="89" t="n">
        <x:v>90</x:v>
      </x:c>
      <x:c r="J21" s="99" t="str">
        <x:f>IF(G21="","경계 누락",IF(AND(G21&gt;=H21,G21&lt;=I21),"시간 적합","시간 확인 필요"))</x:f>
        <x:v>시간 적합</x:v>
      </x:c>
      <x:c r="K21" s="88" t="str">
        <x:v>천천히 눕기+30초 유지</x:v>
      </x:c>
      <x:c r="L21" s="88" t="str">
        <x:v>기존 엑셀값</x:v>
      </x:c>
    </x:row>
    <x:row r="22">
      <x:c r="A22" s="88" t="n">
        <x:v>3</x:v>
      </x:c>
      <x:c r="B22" s="88" t="str">
        <x:v>S03_PSJ</x:v>
      </x:c>
      <x:c r="C22" s="88" t="n">
        <x:v>8</x:v>
      </x:c>
      <x:c r="D22" s="88" t="str">
        <x:v>5번 코스</x:v>
      </x:c>
      <x:c r="E22" s="89" t="n">
        <x:v>1168</x:v>
      </x:c>
      <x:c r="F22" s="89" t="n">
        <x:v>1358</x:v>
      </x:c>
      <x:c r="G22" s="89" t="n">
        <x:f>IF(OR(E22="",F22=""),"",F22-E22)</x:f>
        <x:v>190</x:v>
      </x:c>
      <x:c r="H22" s="89" t="n">
        <x:v>130</x:v>
      </x:c>
      <x:c r="I22" s="89" t="n">
        <x:v>230</x:v>
      </x:c>
      <x:c r="J22" s="99" t="str">
        <x:f>IF(G22="","경계 누락",IF(AND(G22&gt;=H22,G22&lt;=I22),"시간 적합","시간 확인 필요"))</x:f>
        <x:v>시간 적합</x:v>
      </x:c>
      <x:c r="K22" s="88" t="str">
        <x:v>16칸×10초=약 160초+이동</x:v>
      </x:c>
      <x:c r="L22" s="88" t="str">
        <x:v>기존 엑셀값</x:v>
      </x:c>
    </x:row>
    <x:row r="23">
      <x:c r="A23" s="88" t="n">
        <x:v>3</x:v>
      </x:c>
      <x:c r="B23" s="88" t="str">
        <x:v>S03_PSJ</x:v>
      </x:c>
      <x:c r="C23" s="88" t="n">
        <x:v>9</x:v>
      </x:c>
      <x:c r="D23" s="88" t="str">
        <x:v>6번 왕복</x:v>
      </x:c>
      <x:c r="E23" s="89" t="n">
        <x:v>1412</x:v>
      </x:c>
      <x:c r="F23" s="89" t="n">
        <x:v>1433</x:v>
      </x:c>
      <x:c r="G23" s="89" t="n">
        <x:f>IF(OR(E23="",F23=""),"",F23-E23)</x:f>
        <x:v>21</x:v>
      </x:c>
      <x:c r="H23" s="89" t="n">
        <x:v>5</x:v>
      </x:c>
      <x:c r="I23" s="89" t="n">
        <x:v>70</x:v>
      </x:c>
      <x:c r="J23" s="99" t="str">
        <x:f>IF(G23="","경계 누락",IF(AND(G23&gt;=H23,G23&lt;=I23),"시간 적합","시간 확인 필요"))</x:f>
        <x:v>시간 적합</x:v>
      </x:c>
      <x:c r="K23" s="88" t="str">
        <x:v>PPT 1분 미만</x:v>
      </x:c>
      <x:c r="L23" s="88" t="str">
        <x:v>기존 엑셀값</x:v>
      </x:c>
    </x:row>
    <x:row r="24">
      <x:c r="A24" s="88" t="n">
        <x:v>3</x:v>
      </x:c>
      <x:c r="B24" s="88" t="str">
        <x:v>S03_PSJ</x:v>
      </x:c>
      <x:c r="C24" s="88" t="n">
        <x:v>10</x:v>
      </x:c>
      <x:c r="D24" s="88" t="str">
        <x:v>7번 자유</x:v>
      </x:c>
      <x:c r="E24" s="89" t="n">
        <x:v>1466</x:v>
      </x:c>
      <x:c r="F24" s="89" t="n">
        <x:v>1478</x:v>
      </x:c>
      <x:c r="G24" s="89" t="n">
        <x:f>IF(OR(E24="",F24=""),"",F24-E24)</x:f>
        <x:v>12</x:v>
      </x:c>
      <x:c r="H24" s="89" t="n">
        <x:v>5</x:v>
      </x:c>
      <x:c r="I24" s="89" t="n">
        <x:v>70</x:v>
      </x:c>
      <x:c r="J24" s="99" t="str">
        <x:f>IF(G24="","경계 누락",IF(AND(G24&gt;=H24,G24&lt;=I24),"시간 적합","시간 확인 필요"))</x:f>
        <x:v>시간 적합</x:v>
      </x:c>
      <x:c r="K24" s="88" t="str">
        <x:v>PPT 1분 미만</x:v>
      </x:c>
      <x:c r="L24" s="88" t="str">
        <x:v>기존 엑셀값</x:v>
      </x:c>
    </x:row>
    <x:row r="25">
      <x:c r="A25" s="88" t="n">
        <x:v>4</x:v>
      </x:c>
      <x:c r="B25" s="88" t="str">
        <x:v>S04_KTW</x:v>
      </x:c>
      <x:c r="C25" s="88" t="n">
        <x:v>1</x:v>
      </x:c>
      <x:c r="D25" s="88" t="str">
        <x:v>1번 호흡</x:v>
      </x:c>
      <x:c r="E25" s="89" t="n">
        <x:v>22.63000000000003</x:v>
      </x:c>
      <x:c r="F25" s="89" t="n">
        <x:v>223.48000000000002</x:v>
      </x:c>
      <x:c r="G25" s="89" t="n">
        <x:f>IF(OR(E25="",F25=""),"",F25-E25)</x:f>
        <x:v>200.85</x:v>
      </x:c>
      <x:c r="H25" s="89" t="n">
        <x:v>150</x:v>
      </x:c>
      <x:c r="I25" s="89" t="n">
        <x:v>240</x:v>
      </x:c>
      <x:c r="J25" s="99" t="str">
        <x:f>IF(G25="","경계 누락",IF(AND(G25&gt;=H25,G25&lt;=I25),"시간 적합","시간 확인 필요"))</x:f>
        <x:v>시간 적합</x:v>
      </x:c>
      <x:c r="K25" s="88" t="str">
        <x:v>PPT 3분</x:v>
      </x:c>
      <x:c r="L25" s="88" t="str">
        <x:v>시간패턴 추천(미확정)</x:v>
      </x:c>
    </x:row>
    <x:row r="26">
      <x:c r="A26" s="88" t="n">
        <x:v>4</x:v>
      </x:c>
      <x:c r="B26" s="88" t="str">
        <x:v>S04_KTW</x:v>
      </x:c>
      <x:c r="C26" s="88" t="n">
        <x:v>2</x:v>
      </x:c>
      <x:c r="D26" s="88" t="str">
        <x:v>2번 호흡</x:v>
      </x:c>
      <x:c r="E26" s="89" t="n">
        <x:v>274.189</x:v>
      </x:c>
      <x:c r="F26" s="89" t="n">
        <x:v>647.2239999999999</x:v>
      </x:c>
      <x:c r="G26" s="89" t="n">
        <x:f>IF(OR(E26="",F26=""),"",F26-E26)</x:f>
        <x:v>373.0349999999999</x:v>
      </x:c>
      <x:c r="H26" s="89" t="n">
        <x:v>240</x:v>
      </x:c>
      <x:c r="I26" s="89" t="n">
        <x:v>450</x:v>
      </x:c>
      <x:c r="J26" s="99" t="str">
        <x:f>IF(G26="","경계 누락",IF(AND(G26&gt;=H26,G26&lt;=I26),"시간 적합","시간 확인 필요"))</x:f>
        <x:v>시간 적합</x:v>
      </x:c>
      <x:c r="K26" s="88" t="str">
        <x:v>PPT 표기 4분30초 / 세부 합계 약 6분</x:v>
      </x:c>
      <x:c r="L26" s="88" t="str">
        <x:v>시간패턴 추천(미확정)</x:v>
      </x:c>
    </x:row>
    <x:row r="27">
      <x:c r="A27" s="88" t="n">
        <x:v>4</x:v>
      </x:c>
      <x:c r="B27" s="88" t="str">
        <x:v>S04_KTW</x:v>
      </x:c>
      <x:c r="C27" s="88" t="n">
        <x:v>3</x:v>
      </x:c>
      <x:c r="D27" s="88" t="str">
        <x:v>3번 픽업-1</x:v>
      </x:c>
      <x:c r="E27" s="89" t="n">
        <x:v>764.024</x:v>
      </x:c>
      <x:c r="F27" s="89" t="n">
        <x:v>774.656</x:v>
      </x:c>
      <x:c r="G27" s="89" t="n">
        <x:f>IF(OR(E27="",F27=""),"",F27-E27)</x:f>
        <x:v>10.631999999999948</x:v>
      </x:c>
      <x:c r="H27" s="89" t="n">
        <x:v>5</x:v>
      </x:c>
      <x:c r="I27" s="89" t="n">
        <x:v>90</x:v>
      </x:c>
      <x:c r="J27" s="99" t="str">
        <x:f>IF(G27="","경계 누락",IF(AND(G27&gt;=H27,G27&lt;=I27),"시간 적합","시간 확인 필요"))</x:f>
        <x:v>시간 적합</x:v>
      </x:c>
      <x:c r="K27" s="88" t="str">
        <x:v>총시간 미기재</x:v>
      </x:c>
      <x:c r="L27" s="88" t="str">
        <x:v>시간패턴 추천(미확정)</x:v>
      </x:c>
    </x:row>
    <x:row r="28">
      <x:c r="A28" s="88" t="n">
        <x:v>4</x:v>
      </x:c>
      <x:c r="B28" s="88" t="str">
        <x:v>S04_KTW</x:v>
      </x:c>
      <x:c r="C28" s="88" t="n">
        <x:v>4</x:v>
      </x:c>
      <x:c r="D28" s="88" t="str">
        <x:v>3번 픽업-2</x:v>
      </x:c>
      <x:c r="E28" s="89" t="n">
        <x:v>779.084</x:v>
      </x:c>
      <x:c r="F28" s="89" t="n">
        <x:v>794.786</x:v>
      </x:c>
      <x:c r="G28" s="89" t="n">
        <x:f>IF(OR(E28="",F28=""),"",F28-E28)</x:f>
        <x:v>15.701999999999998</x:v>
      </x:c>
      <x:c r="H28" s="89" t="n">
        <x:v>5</x:v>
      </x:c>
      <x:c r="I28" s="89" t="n">
        <x:v>90</x:v>
      </x:c>
      <x:c r="J28" s="99" t="str">
        <x:f>IF(G28="","경계 누락",IF(AND(G28&gt;=H28,G28&lt;=I28),"시간 적합","시간 확인 필요"))</x:f>
        <x:v>시간 적합</x:v>
      </x:c>
      <x:c r="K28" s="88" t="str">
        <x:v>총시간 미기재</x:v>
      </x:c>
      <x:c r="L28" s="88" t="str">
        <x:v>시간패턴 추천(미확정)</x:v>
      </x:c>
    </x:row>
    <x:row r="29">
      <x:c r="A29" s="88" t="n">
        <x:v>4</x:v>
      </x:c>
      <x:c r="B29" s="88" t="str">
        <x:v>S04_KTW</x:v>
      </x:c>
      <x:c r="C29" s="88" t="n">
        <x:v>5</x:v>
      </x:c>
      <x:c r="D29" s="88" t="str">
        <x:v>4번 낙상-즉시</x:v>
      </x:c>
      <x:c r="E29" s="89" t="n">
        <x:v>898.178</x:v>
      </x:c>
      <x:c r="F29" s="89" t="n">
        <x:v>902.7959999999999</x:v>
      </x:c>
      <x:c r="G29" s="89" t="n">
        <x:f>IF(OR(E29="",F29=""),"",F29-E29)</x:f>
        <x:v>4.617999999999938</x:v>
      </x:c>
      <x:c r="H29" s="89" t="n">
        <x:v>5</x:v>
      </x:c>
      <x:c r="I29" s="89" t="n">
        <x:v>30</x:v>
      </x:c>
      <x:c r="J29" s="98" t="str">
        <x:f>IF(G29="","경계 누락",IF(AND(G29&gt;=H29,G29&lt;=I29),"시간 적합","시간 확인 필요"))</x:f>
        <x:v>시간 확인 필요</x:v>
      </x:c>
      <x:c r="K29" s="88" t="str">
        <x:v>즥시 일어나기</x:v>
      </x:c>
      <x:c r="L29" s="88" t="str">
        <x:v>시간패턴 추천(미확정)</x:v>
      </x:c>
    </x:row>
    <x:row r="30">
      <x:c r="A30" s="88" t="n">
        <x:v>4</x:v>
      </x:c>
      <x:c r="B30" s="88" t="str">
        <x:v>S04_KTW</x:v>
      </x:c>
      <x:c r="C30" s="88" t="n">
        <x:v>6</x:v>
      </x:c>
      <x:c r="D30" s="88" t="str">
        <x:v>4번 낙상-30초 유지</x:v>
      </x:c>
      <x:c r="E30" s="89" t="n">
        <x:v>914.2099999999999</x:v>
      </x:c>
      <x:c r="F30" s="89" t="n">
        <x:v>931.2773333333333</x:v>
      </x:c>
      <x:c r="G30" s="89" t="n">
        <x:f>IF(OR(E30="",F30=""),"",F30-E30)</x:f>
        <x:v>17.06733333333341</x:v>
      </x:c>
      <x:c r="H30" s="89" t="n">
        <x:v>25</x:v>
      </x:c>
      <x:c r="I30" s="89" t="n">
        <x:v>75</x:v>
      </x:c>
      <x:c r="J30" s="98" t="str">
        <x:f>IF(G30="","경계 누락",IF(AND(G30&gt;=H30,G30&lt;=I30),"시간 적합","시간 확인 필요"))</x:f>
        <x:v>시간 확인 필요</x:v>
      </x:c>
      <x:c r="K30" s="88" t="str">
        <x:v>30초 유지+이동</x:v>
      </x:c>
      <x:c r="L30" s="88" t="str">
        <x:v>시간패턴 추천(미확정)</x:v>
      </x:c>
    </x:row>
    <x:row r="31">
      <x:c r="A31" s="88" t="n">
        <x:v>4</x:v>
      </x:c>
      <x:c r="B31" s="88" t="str">
        <x:v>S04_KTW</x:v>
      </x:c>
      <x:c r="C31" s="88" t="n">
        <x:v>7</x:v>
      </x:c>
      <x:c r="D31" s="88" t="str">
        <x:v>4번 낙상-천천히</x:v>
      </x:c>
      <x:c r="E31" s="89" t="n">
        <x:v>976.98</x:v>
      </x:c>
      <x:c r="F31" s="89" t="n">
        <x:v>992.3439999999999</x:v>
      </x:c>
      <x:c r="G31" s="89" t="n">
        <x:f>IF(OR(E31="",F31=""),"",F31-E31)</x:f>
        <x:v>15.363999999999919</x:v>
      </x:c>
      <x:c r="H31" s="89" t="n">
        <x:v>25</x:v>
      </x:c>
      <x:c r="I31" s="89" t="n">
        <x:v>90</x:v>
      </x:c>
      <x:c r="J31" s="98" t="str">
        <x:f>IF(G31="","경계 누락",IF(AND(G31&gt;=H31,G31&lt;=I31),"시간 적합","시간 확인 필요"))</x:f>
        <x:v>시간 확인 필요</x:v>
      </x:c>
      <x:c r="K31" s="88" t="str">
        <x:v>천천히 눕기+30초 유지</x:v>
      </x:c>
      <x:c r="L31" s="88" t="str">
        <x:v>시간패턴 추천(미확정)</x:v>
      </x:c>
    </x:row>
    <x:row r="32">
      <x:c r="A32" s="88" t="n">
        <x:v>4</x:v>
      </x:c>
      <x:c r="B32" s="88" t="str">
        <x:v>S04_KTW</x:v>
      </x:c>
      <x:c r="C32" s="88" t="n">
        <x:v>8</x:v>
      </x:c>
      <x:c r="D32" s="88" t="str">
        <x:v>4번 물건 집기</x:v>
      </x:c>
      <x:c r="E32" s="89" t="n">
        <x:v>1042.718</x:v>
      </x:c>
      <x:c r="F32" s="89" t="n">
        <x:v>1059.2240000000002</x:v>
      </x:c>
      <x:c r="G32" s="89" t="n">
        <x:f>IF(OR(E32="",F32=""),"",F32-E32)</x:f>
        <x:v>16.506000000000085</x:v>
      </x:c>
      <x:c r="H32" s="89" t="n">
        <x:v>5</x:v>
      </x:c>
      <x:c r="I32" s="89" t="n">
        <x:v>40</x:v>
      </x:c>
      <x:c r="J32" s="99" t="str">
        <x:f>IF(G32="","경계 누락",IF(AND(G32&gt;=H32,G32&lt;=I32),"시간 적합","시간 확인 필요"))</x:f>
        <x:v>시간 적합</x:v>
      </x:c>
      <x:c r="K32" s="88" t="str">
        <x:v>S04부터 추가된 것으로 판단</x:v>
      </x:c>
      <x:c r="L32" s="88" t="str">
        <x:v>시간패턴 추천(미확정)</x:v>
      </x:c>
    </x:row>
    <x:row r="33">
      <x:c r="A33" s="88" t="n">
        <x:v>4</x:v>
      </x:c>
      <x:c r="B33" s="88" t="str">
        <x:v>S04_KTW</x:v>
      </x:c>
      <x:c r="C33" s="88" t="n">
        <x:v>9</x:v>
      </x:c>
      <x:c r="D33" s="88" t="str">
        <x:v>5번 코스</x:v>
      </x:c>
      <x:c r="E33" s="89" t="n">
        <x:v>1074.0400000000002</x:v>
      </x:c>
      <x:c r="F33" s="89" t="n">
        <x:v>1143.382</x:v>
      </x:c>
      <x:c r="G33" s="89" t="n">
        <x:f>IF(OR(E33="",F33=""),"",F33-E33)</x:f>
        <x:v>69.34199999999987</x:v>
      </x:c>
      <x:c r="H33" s="89" t="n">
        <x:v>130</x:v>
      </x:c>
      <x:c r="I33" s="89" t="n">
        <x:v>230</x:v>
      </x:c>
      <x:c r="J33" s="98" t="str">
        <x:f>IF(G33="","경계 누락",IF(AND(G33&gt;=H33,G33&lt;=I33),"시간 적합","시간 확인 필요"))</x:f>
        <x:v>시간 확인 필요</x:v>
      </x:c>
      <x:c r="K33" s="88" t="str">
        <x:v>16칸×10초=약 160초+이동</x:v>
      </x:c>
      <x:c r="L33" s="88" t="str">
        <x:v>시간패턴 추천(미확정)</x:v>
      </x:c>
    </x:row>
    <x:row r="34">
      <x:c r="A34" s="88" t="n">
        <x:v>4</x:v>
      </x:c>
      <x:c r="B34" s="88" t="str">
        <x:v>S04_KTW</x:v>
      </x:c>
      <x:c r="C34" s="88" t="n">
        <x:v>10</x:v>
      </x:c>
      <x:c r="D34" s="88" t="str">
        <x:v>6번 왕복</x:v>
      </x:c>
      <x:c r="E34" s="89" t="n">
        <x:v>1165.756</x:v>
      </x:c>
      <x:c r="F34" s="89" t="n">
        <x:v>1185.46</x:v>
      </x:c>
      <x:c r="G34" s="89" t="n">
        <x:f>IF(OR(E34="",F34=""),"",F34-E34)</x:f>
        <x:v>19.70399999999995</x:v>
      </x:c>
      <x:c r="H34" s="89" t="n">
        <x:v>5</x:v>
      </x:c>
      <x:c r="I34" s="89" t="n">
        <x:v>70</x:v>
      </x:c>
      <x:c r="J34" s="99" t="str">
        <x:f>IF(G34="","경계 누락",IF(AND(G34&gt;=H34,G34&lt;=I34),"시간 적합","시간 확인 필요"))</x:f>
        <x:v>시간 적합</x:v>
      </x:c>
      <x:c r="K34" s="88" t="str">
        <x:v>PPT 1분 미만</x:v>
      </x:c>
      <x:c r="L34" s="88" t="str">
        <x:v>시간패턴 추천(미확정)</x:v>
      </x:c>
    </x:row>
    <x:row r="35">
      <x:c r="A35" s="88" t="n">
        <x:v>4</x:v>
      </x:c>
      <x:c r="B35" s="88" t="str">
        <x:v>S04_KTW</x:v>
      </x:c>
      <x:c r="C35" s="88" t="n">
        <x:v>11</x:v>
      </x:c>
      <x:c r="D35" s="88" t="str">
        <x:v>7번 자유</x:v>
      </x:c>
      <x:c r="E35" s="89" t="n">
        <x:v>1228.478</x:v>
      </x:c>
      <x:c r="F35" s="89" t="n">
        <x:v>1762.66</x:v>
      </x:c>
      <x:c r="G35" s="89" t="n">
        <x:f>IF(OR(E35="",F35=""),"",F35-E35)</x:f>
        <x:v>534.182</x:v>
      </x:c>
      <x:c r="H35" s="89" t="n">
        <x:v>5</x:v>
      </x:c>
      <x:c r="I35" s="89" t="n">
        <x:v>70</x:v>
      </x:c>
      <x:c r="J35" s="98" t="str">
        <x:f>IF(G35="","경계 누락",IF(AND(G35&gt;=H35,G35&lt;=I35),"시간 적합","시간 확인 필요"))</x:f>
        <x:v>시간 확인 필요</x:v>
      </x:c>
      <x:c r="K35" s="88" t="str">
        <x:v>PPT 1분 미만</x:v>
      </x:c>
      <x:c r="L35" s="88" t="str">
        <x:v>시간패턴 추천(미확정)</x:v>
      </x:c>
    </x:row>
    <x:row r="36">
      <x:c r="A36" s="88" t="n">
        <x:v>5</x:v>
      </x:c>
      <x:c r="B36" s="88" t="str">
        <x:v>S05_LHS</x:v>
      </x:c>
      <x:c r="C36" s="88" t="n">
        <x:v>1</x:v>
      </x:c>
      <x:c r="D36" s="88" t="str">
        <x:v>1번 호흡</x:v>
      </x:c>
      <x:c r="E36" s="89" t="n">
        <x:v>15</x:v>
      </x:c>
      <x:c r="F36" s="89" t="n">
        <x:v>210</x:v>
      </x:c>
      <x:c r="G36" s="89" t="n">
        <x:f>IF(OR(E36="",F36=""),"",F36-E36)</x:f>
        <x:v>195</x:v>
      </x:c>
      <x:c r="H36" s="89" t="n">
        <x:v>150</x:v>
      </x:c>
      <x:c r="I36" s="89" t="n">
        <x:v>240</x:v>
      </x:c>
      <x:c r="J36" s="99" t="str">
        <x:f>IF(G36="","경계 누락",IF(AND(G36&gt;=H36,G36&lt;=I36),"시간 적합","시간 확인 필요"))</x:f>
        <x:v>시간 적합</x:v>
      </x:c>
      <x:c r="K36" s="88" t="str">
        <x:v>PPT 3분</x:v>
      </x:c>
      <x:c r="L36" s="88" t="str">
        <x:v>$2 최종 선택</x:v>
      </x:c>
    </x:row>
    <x:row r="37">
      <x:c r="A37" s="88" t="n">
        <x:v>5</x:v>
      </x:c>
      <x:c r="B37" s="88" t="str">
        <x:v>S05_LHS</x:v>
      </x:c>
      <x:c r="C37" s="88" t="n">
        <x:v>2</x:v>
      </x:c>
      <x:c r="D37" s="88" t="str">
        <x:v>2번 호흡</x:v>
      </x:c>
      <x:c r="E37" s="89" t="n">
        <x:v>241</x:v>
      </x:c>
      <x:c r="F37" s="89" t="n">
        <x:v>612</x:v>
      </x:c>
      <x:c r="G37" s="89" t="n">
        <x:f>IF(OR(E37="",F37=""),"",F37-E37)</x:f>
        <x:v>371</x:v>
      </x:c>
      <x:c r="H37" s="89" t="n">
        <x:v>240</x:v>
      </x:c>
      <x:c r="I37" s="89" t="n">
        <x:v>450</x:v>
      </x:c>
      <x:c r="J37" s="99" t="str">
        <x:f>IF(G37="","경계 누락",IF(AND(G37&gt;=H37,G37&lt;=I37),"시간 적합","시간 확인 필요"))</x:f>
        <x:v>시간 적합</x:v>
      </x:c>
      <x:c r="K37" s="88" t="str">
        <x:v>PPT 표기 4분30초 / 세부 합계 약 6분</x:v>
      </x:c>
      <x:c r="L37" s="88" t="str">
        <x:v>$2 최종 선택</x:v>
      </x:c>
    </x:row>
    <x:row r="38">
      <x:c r="A38" s="88" t="n">
        <x:v>5</x:v>
      </x:c>
      <x:c r="B38" s="88" t="str">
        <x:v>S05_LHS</x:v>
      </x:c>
      <x:c r="C38" s="88" t="n">
        <x:v>3</x:v>
      </x:c>
      <x:c r="D38" s="88" t="str">
        <x:v>3번 픽업-1</x:v>
      </x:c>
      <x:c r="E38" s="89" t="n">
        <x:v>620</x:v>
      </x:c>
      <x:c r="F38" s="89" t="n">
        <x:v>656</x:v>
      </x:c>
      <x:c r="G38" s="89" t="n">
        <x:f>IF(OR(E38="",F38=""),"",F38-E38)</x:f>
        <x:v>36</x:v>
      </x:c>
      <x:c r="H38" s="89" t="n">
        <x:v>5</x:v>
      </x:c>
      <x:c r="I38" s="89" t="n">
        <x:v>90</x:v>
      </x:c>
      <x:c r="J38" s="99" t="str">
        <x:f>IF(G38="","경계 누락",IF(AND(G38&gt;=H38,G38&lt;=I38),"시간 적합","시간 확인 필요"))</x:f>
        <x:v>시간 적합</x:v>
      </x:c>
      <x:c r="K38" s="88" t="str">
        <x:v>총시간 미기재</x:v>
      </x:c>
      <x:c r="L38" s="88" t="str">
        <x:v>$2 최종 선택</x:v>
      </x:c>
    </x:row>
    <x:row r="39">
      <x:c r="A39" s="88" t="n">
        <x:v>5</x:v>
      </x:c>
      <x:c r="B39" s="88" t="str">
        <x:v>S05_LHS</x:v>
      </x:c>
      <x:c r="C39" s="88" t="n">
        <x:v>4</x:v>
      </x:c>
      <x:c r="D39" s="88" t="str">
        <x:v>3번 픽업-2</x:v>
      </x:c>
      <x:c r="E39" s="89" t="n">
        <x:v>784</x:v>
      </x:c>
      <x:c r="F39" s="89" t="n">
        <x:v>820</x:v>
      </x:c>
      <x:c r="G39" s="89" t="n">
        <x:f>IF(OR(E39="",F39=""),"",F39-E39)</x:f>
        <x:v>36</x:v>
      </x:c>
      <x:c r="H39" s="89" t="n">
        <x:v>5</x:v>
      </x:c>
      <x:c r="I39" s="89" t="n">
        <x:v>90</x:v>
      </x:c>
      <x:c r="J39" s="99" t="str">
        <x:f>IF(G39="","경계 누락",IF(AND(G39&gt;=H39,G39&lt;=I39),"시간 적합","시간 확인 필요"))</x:f>
        <x:v>시간 적합</x:v>
      </x:c>
      <x:c r="K39" s="88" t="str">
        <x:v>총시간 미기재</x:v>
      </x:c>
      <x:c r="L39" s="88" t="str">
        <x:v>$2 최종 선택</x:v>
      </x:c>
    </x:row>
    <x:row r="40">
      <x:c r="A40" s="88" t="n">
        <x:v>5</x:v>
      </x:c>
      <x:c r="B40" s="88" t="str">
        <x:v>S05_LHS</x:v>
      </x:c>
      <x:c r="C40" s="88" t="n">
        <x:v>5</x:v>
      </x:c>
      <x:c r="D40" s="88" t="str">
        <x:v>4번 낙상-즉시</x:v>
      </x:c>
      <x:c r="E40" s="89" t="n">
        <x:v>931</x:v>
      </x:c>
      <x:c r="F40" s="89" t="n">
        <x:v>947</x:v>
      </x:c>
      <x:c r="G40" s="89" t="n">
        <x:f>IF(OR(E40="",F40=""),"",F40-E40)</x:f>
        <x:v>16</x:v>
      </x:c>
      <x:c r="H40" s="89" t="n">
        <x:v>5</x:v>
      </x:c>
      <x:c r="I40" s="89" t="n">
        <x:v>30</x:v>
      </x:c>
      <x:c r="J40" s="99" t="str">
        <x:f>IF(G40="","경계 누락",IF(AND(G40&gt;=H40,G40&lt;=I40),"시간 적합","시간 확인 필요"))</x:f>
        <x:v>시간 적합</x:v>
      </x:c>
      <x:c r="K40" s="88" t="str">
        <x:v>즥시 일어나기</x:v>
      </x:c>
      <x:c r="L40" s="88" t="str">
        <x:v>$2 최종 선택</x:v>
      </x:c>
    </x:row>
    <x:row r="41">
      <x:c r="A41" s="88" t="n">
        <x:v>5</x:v>
      </x:c>
      <x:c r="B41" s="88" t="str">
        <x:v>S05_LHS</x:v>
      </x:c>
      <x:c r="C41" s="88" t="n">
        <x:v>6</x:v>
      </x:c>
      <x:c r="D41" s="88" t="str">
        <x:v>4번 낙상-30초 유지</x:v>
      </x:c>
      <x:c r="E41" s="89" t="n">
        <x:v>963</x:v>
      </x:c>
      <x:c r="F41" s="89" t="n">
        <x:v>1008</x:v>
      </x:c>
      <x:c r="G41" s="89" t="n">
        <x:f>IF(OR(E41="",F41=""),"",F41-E41)</x:f>
        <x:v>45</x:v>
      </x:c>
      <x:c r="H41" s="89" t="n">
        <x:v>25</x:v>
      </x:c>
      <x:c r="I41" s="89" t="n">
        <x:v>75</x:v>
      </x:c>
      <x:c r="J41" s="99" t="str">
        <x:f>IF(G41="","경계 누락",IF(AND(G41&gt;=H41,G41&lt;=I41),"시간 적합","시간 확인 필요"))</x:f>
        <x:v>시간 적합</x:v>
      </x:c>
      <x:c r="K41" s="88" t="str">
        <x:v>30초 유지+이동</x:v>
      </x:c>
      <x:c r="L41" s="88" t="str">
        <x:v>$2 최종 선택</x:v>
      </x:c>
    </x:row>
    <x:row r="42">
      <x:c r="A42" s="88" t="n">
        <x:v>5</x:v>
      </x:c>
      <x:c r="B42" s="88" t="str">
        <x:v>S05_LHS</x:v>
      </x:c>
      <x:c r="C42" s="88" t="n">
        <x:v>7</x:v>
      </x:c>
      <x:c r="D42" s="88" t="str">
        <x:v>4번 낙상-천천히</x:v>
      </x:c>
      <x:c r="E42" s="89" t="n">
        <x:v>1022</x:v>
      </x:c>
      <x:c r="F42" s="89" t="n">
        <x:v>1068</x:v>
      </x:c>
      <x:c r="G42" s="89" t="n">
        <x:f>IF(OR(E42="",F42=""),"",F42-E42)</x:f>
        <x:v>46</x:v>
      </x:c>
      <x:c r="H42" s="89" t="n">
        <x:v>25</x:v>
      </x:c>
      <x:c r="I42" s="89" t="n">
        <x:v>90</x:v>
      </x:c>
      <x:c r="J42" s="99" t="str">
        <x:f>IF(G42="","경계 누락",IF(AND(G42&gt;=H42,G42&lt;=I42),"시간 적합","시간 확인 필요"))</x:f>
        <x:v>시간 적합</x:v>
      </x:c>
      <x:c r="K42" s="88" t="str">
        <x:v>천천히 눕기+30초 유지</x:v>
      </x:c>
      <x:c r="L42" s="88" t="str">
        <x:v>$2 최종 선택</x:v>
      </x:c>
    </x:row>
    <x:row r="43">
      <x:c r="A43" s="88" t="n">
        <x:v>5</x:v>
      </x:c>
      <x:c r="B43" s="88" t="str">
        <x:v>S05_LHS</x:v>
      </x:c>
      <x:c r="C43" s="88" t="n">
        <x:v>8</x:v>
      </x:c>
      <x:c r="D43" s="88" t="str">
        <x:v>4번 물건 집기</x:v>
      </x:c>
      <x:c r="E43" s="89" t="n">
        <x:v>1072</x:v>
      </x:c>
      <x:c r="F43" s="89" t="n">
        <x:v>1089</x:v>
      </x:c>
      <x:c r="G43" s="89" t="n">
        <x:f>IF(OR(E43="",F43=""),"",F43-E43)</x:f>
        <x:v>17</x:v>
      </x:c>
      <x:c r="H43" s="89" t="n">
        <x:v>5</x:v>
      </x:c>
      <x:c r="I43" s="89" t="n">
        <x:v>40</x:v>
      </x:c>
      <x:c r="J43" s="99" t="str">
        <x:f>IF(G43="","경계 누락",IF(AND(G43&gt;=H43,G43&lt;=I43),"시간 적합","시간 확인 필요"))</x:f>
        <x:v>시간 적합</x:v>
      </x:c>
      <x:c r="K43" s="88" t="str">
        <x:v>S04부터 추가된 것으로 판단</x:v>
      </x:c>
      <x:c r="L43" s="88" t="str">
        <x:v>$2 최종 선택</x:v>
      </x:c>
    </x:row>
    <x:row r="44">
      <x:c r="A44" s="88" t="n">
        <x:v>5</x:v>
      </x:c>
      <x:c r="B44" s="88" t="str">
        <x:v>S05_LHS</x:v>
      </x:c>
      <x:c r="C44" s="88" t="n">
        <x:v>9</x:v>
      </x:c>
      <x:c r="D44" s="88" t="str">
        <x:v>5번 코스</x:v>
      </x:c>
      <x:c r="E44" s="89" t="n">
        <x:v>1201</x:v>
      </x:c>
      <x:c r="F44" s="89" t="n">
        <x:v>1389</x:v>
      </x:c>
      <x:c r="G44" s="89" t="n">
        <x:f>IF(OR(E44="",F44=""),"",F44-E44)</x:f>
        <x:v>188</x:v>
      </x:c>
      <x:c r="H44" s="89" t="n">
        <x:v>130</x:v>
      </x:c>
      <x:c r="I44" s="89" t="n">
        <x:v>230</x:v>
      </x:c>
      <x:c r="J44" s="99" t="str">
        <x:f>IF(G44="","경계 누락",IF(AND(G44&gt;=H44,G44&lt;=I44),"시간 적합","시간 확인 필요"))</x:f>
        <x:v>시간 적합</x:v>
      </x:c>
      <x:c r="K44" s="88" t="str">
        <x:v>16칸×10초=약 160초+이동</x:v>
      </x:c>
      <x:c r="L44" s="88" t="str">
        <x:v>$2 최종 선택</x:v>
      </x:c>
    </x:row>
    <x:row r="45">
      <x:c r="A45" s="88" t="n">
        <x:v>5</x:v>
      </x:c>
      <x:c r="B45" s="88" t="str">
        <x:v>S05_LHS</x:v>
      </x:c>
      <x:c r="C45" s="88" t="n">
        <x:v>10</x:v>
      </x:c>
      <x:c r="D45" s="88" t="str">
        <x:v>6번 왕복</x:v>
      </x:c>
      <x:c r="E45" s="89" t="n">
        <x:v>1438</x:v>
      </x:c>
      <x:c r="F45" s="89" t="n">
        <x:v>1466</x:v>
      </x:c>
      <x:c r="G45" s="89" t="n">
        <x:f>IF(OR(E45="",F45=""),"",F45-E45)</x:f>
        <x:v>28</x:v>
      </x:c>
      <x:c r="H45" s="89" t="n">
        <x:v>5</x:v>
      </x:c>
      <x:c r="I45" s="89" t="n">
        <x:v>70</x:v>
      </x:c>
      <x:c r="J45" s="99" t="str">
        <x:f>IF(G45="","경계 누락",IF(AND(G45&gt;=H45,G45&lt;=I45),"시간 적합","시간 확인 필요"))</x:f>
        <x:v>시간 적합</x:v>
      </x:c>
      <x:c r="K45" s="88" t="str">
        <x:v>PPT 1분 미만</x:v>
      </x:c>
      <x:c r="L45" s="88" t="str">
        <x:v>$2 최종 선택</x:v>
      </x:c>
    </x:row>
    <x:row r="46">
      <x:c r="A46" s="88" t="n">
        <x:v>5</x:v>
      </x:c>
      <x:c r="B46" s="88" t="str">
        <x:v>S05_LHS</x:v>
      </x:c>
      <x:c r="C46" s="88" t="n">
        <x:v>11</x:v>
      </x:c>
      <x:c r="D46" s="88" t="str">
        <x:v>7번 자유</x:v>
      </x:c>
      <x:c r="E46" s="89" t="n">
        <x:v>1498</x:v>
      </x:c>
      <x:c r="F46" s="89" t="n">
        <x:v>1509</x:v>
      </x:c>
      <x:c r="G46" s="89" t="n">
        <x:f>IF(OR(E46="",F46=""),"",F46-E46)</x:f>
        <x:v>11</x:v>
      </x:c>
      <x:c r="H46" s="89" t="n">
        <x:v>5</x:v>
      </x:c>
      <x:c r="I46" s="89" t="n">
        <x:v>70</x:v>
      </x:c>
      <x:c r="J46" s="99" t="str">
        <x:f>IF(G46="","경계 누락",IF(AND(G46&gt;=H46,G46&lt;=I46),"시간 적합","시간 확인 필요"))</x:f>
        <x:v>시간 적합</x:v>
      </x:c>
      <x:c r="K46" s="88" t="str">
        <x:v>PPT 1분 미만</x:v>
      </x:c>
      <x:c r="L46" s="88" t="str">
        <x:v>$2 최종 선택</x:v>
      </x:c>
    </x:row>
    <x:row r="47">
      <x:c r="A47" s="88" t="n">
        <x:v>6</x:v>
      </x:c>
      <x:c r="B47" s="88" t="str">
        <x:v>S06_LDW</x:v>
      </x:c>
      <x:c r="C47" s="88" t="n">
        <x:v>1</x:v>
      </x:c>
      <x:c r="D47" s="88" t="str">
        <x:v>1번 호흡</x:v>
      </x:c>
      <x:c r="E47" s="89" t="n">
        <x:v>22</x:v>
      </x:c>
      <x:c r="F47" s="89" t="n">
        <x:v>214</x:v>
      </x:c>
      <x:c r="G47" s="89" t="n">
        <x:f>IF(OR(E47="",F47=""),"",F47-E47)</x:f>
        <x:v>192</x:v>
      </x:c>
      <x:c r="H47" s="89" t="n">
        <x:v>150</x:v>
      </x:c>
      <x:c r="I47" s="89" t="n">
        <x:v>240</x:v>
      </x:c>
      <x:c r="J47" s="99" t="str">
        <x:f>IF(G47="","경계 누락",IF(AND(G47&gt;=H47,G47&lt;=I47),"시간 적합","시간 확인 필요"))</x:f>
        <x:v>시간 적합</x:v>
      </x:c>
      <x:c r="K47" s="88" t="str">
        <x:v>PPT 3분</x:v>
      </x:c>
      <x:c r="L47" s="88" t="str">
        <x:v>$2 최종 선택</x:v>
      </x:c>
    </x:row>
    <x:row r="48">
      <x:c r="A48" s="88" t="n">
        <x:v>6</x:v>
      </x:c>
      <x:c r="B48" s="88" t="str">
        <x:v>S06_LDW</x:v>
      </x:c>
      <x:c r="C48" s="88" t="n">
        <x:v>2</x:v>
      </x:c>
      <x:c r="D48" s="88" t="str">
        <x:v>2번 호흡</x:v>
      </x:c>
      <x:c r="E48" s="89" t="n">
        <x:v>264</x:v>
      </x:c>
      <x:c r="F48" s="89" t="n">
        <x:v>638</x:v>
      </x:c>
      <x:c r="G48" s="89" t="n">
        <x:f>IF(OR(E48="",F48=""),"",F48-E48)</x:f>
        <x:v>374</x:v>
      </x:c>
      <x:c r="H48" s="89" t="n">
        <x:v>240</x:v>
      </x:c>
      <x:c r="I48" s="89" t="n">
        <x:v>450</x:v>
      </x:c>
      <x:c r="J48" s="99" t="str">
        <x:f>IF(G48="","경계 누락",IF(AND(G48&gt;=H48,G48&lt;=I48),"시간 적합","시간 확인 필요"))</x:f>
        <x:v>시간 적합</x:v>
      </x:c>
      <x:c r="K48" s="88" t="str">
        <x:v>PPT 표기 4분30초 / 세부 합계 약 6분</x:v>
      </x:c>
      <x:c r="L48" s="88" t="str">
        <x:v>$2 최종 선택</x:v>
      </x:c>
    </x:row>
    <x:row r="49">
      <x:c r="A49" s="88" t="n">
        <x:v>6</x:v>
      </x:c>
      <x:c r="B49" s="88" t="str">
        <x:v>S06_LDW</x:v>
      </x:c>
      <x:c r="C49" s="88" t="n">
        <x:v>3</x:v>
      </x:c>
      <x:c r="D49" s="88" t="str">
        <x:v>3번 픽업-1</x:v>
      </x:c>
      <x:c r="E49" s="89" t="n">
        <x:v>748.4</x:v>
      </x:c>
      <x:c r="F49" s="89" t="n">
        <x:v>763.3</x:v>
      </x:c>
      <x:c r="G49" s="89" t="n">
        <x:f>IF(OR(E49="",F49=""),"",F49-E49)</x:f>
        <x:v>14.899999999999977</x:v>
      </x:c>
      <x:c r="H49" s="89" t="n">
        <x:v>5</x:v>
      </x:c>
      <x:c r="I49" s="89" t="n">
        <x:v>90</x:v>
      </x:c>
      <x:c r="J49" s="99" t="str">
        <x:f>IF(G49="","경계 누락",IF(AND(G49&gt;=H49,G49&lt;=I49),"시간 적합","시간 확인 필요"))</x:f>
        <x:v>시간 적합</x:v>
      </x:c>
      <x:c r="K49" s="88" t="str">
        <x:v>총시간 미기재</x:v>
      </x:c>
      <x:c r="L49" s="88" t="str">
        <x:v>$2 최종 선택</x:v>
      </x:c>
    </x:row>
    <x:row r="50">
      <x:c r="A50" s="88" t="n">
        <x:v>6</x:v>
      </x:c>
      <x:c r="B50" s="88" t="str">
        <x:v>S06_LDW</x:v>
      </x:c>
      <x:c r="C50" s="88" t="n">
        <x:v>4</x:v>
      </x:c>
      <x:c r="D50" s="88" t="str">
        <x:v>3번 픽업-2</x:v>
      </x:c>
      <x:c r="E50" s="89" t="n">
        <x:v>778.2</x:v>
      </x:c>
      <x:c r="F50" s="89" t="n">
        <x:v>792.3</x:v>
      </x:c>
      <x:c r="G50" s="89" t="n">
        <x:f>IF(OR(E50="",F50=""),"",F50-E50)</x:f>
        <x:v>14.099999999999909</x:v>
      </x:c>
      <x:c r="H50" s="89" t="n">
        <x:v>5</x:v>
      </x:c>
      <x:c r="I50" s="89" t="n">
        <x:v>90</x:v>
      </x:c>
      <x:c r="J50" s="99" t="str">
        <x:f>IF(G50="","경계 누락",IF(AND(G50&gt;=H50,G50&lt;=I50),"시간 적합","시간 확인 필요"))</x:f>
        <x:v>시간 적합</x:v>
      </x:c>
      <x:c r="K50" s="88" t="str">
        <x:v>총시간 미기재</x:v>
      </x:c>
      <x:c r="L50" s="88" t="str">
        <x:v>$2 최종 선택</x:v>
      </x:c>
    </x:row>
    <x:row r="51">
      <x:c r="A51" s="88" t="n">
        <x:v>6</x:v>
      </x:c>
      <x:c r="B51" s="88" t="str">
        <x:v>S06_LDW</x:v>
      </x:c>
      <x:c r="C51" s="88" t="n">
        <x:v>5</x:v>
      </x:c>
      <x:c r="D51" s="88" t="str">
        <x:v>4번 낙상-즉시</x:v>
      </x:c>
      <x:c r="E51" s="89" t="n">
        <x:v>919</x:v>
      </x:c>
      <x:c r="F51" s="89" t="n">
        <x:v>934.5</x:v>
      </x:c>
      <x:c r="G51" s="89" t="n">
        <x:f>IF(OR(E51="",F51=""),"",F51-E51)</x:f>
        <x:v>15.5</x:v>
      </x:c>
      <x:c r="H51" s="89" t="n">
        <x:v>5</x:v>
      </x:c>
      <x:c r="I51" s="89" t="n">
        <x:v>30</x:v>
      </x:c>
      <x:c r="J51" s="99" t="str">
        <x:f>IF(G51="","경계 누락",IF(AND(G51&gt;=H51,G51&lt;=I51),"시간 적합","시간 확인 필요"))</x:f>
        <x:v>시간 적합</x:v>
      </x:c>
      <x:c r="K51" s="88" t="str">
        <x:v>즥시 일어나기</x:v>
      </x:c>
      <x:c r="L51" s="88" t="str">
        <x:v>$2 최종 선택</x:v>
      </x:c>
    </x:row>
    <x:row r="52">
      <x:c r="A52" s="88" t="n">
        <x:v>6</x:v>
      </x:c>
      <x:c r="B52" s="88" t="str">
        <x:v>S06_LDW</x:v>
      </x:c>
      <x:c r="C52" s="88" t="n">
        <x:v>6</x:v>
      </x:c>
      <x:c r="D52" s="88" t="str">
        <x:v>4번 낙상-30초 유지</x:v>
      </x:c>
      <x:c r="E52" s="89" t="n">
        <x:v>947</x:v>
      </x:c>
      <x:c r="F52" s="89" t="n">
        <x:v>994</x:v>
      </x:c>
      <x:c r="G52" s="89" t="n">
        <x:f>IF(OR(E52="",F52=""),"",F52-E52)</x:f>
        <x:v>47</x:v>
      </x:c>
      <x:c r="H52" s="89" t="n">
        <x:v>25</x:v>
      </x:c>
      <x:c r="I52" s="89" t="n">
        <x:v>75</x:v>
      </x:c>
      <x:c r="J52" s="99" t="str">
        <x:f>IF(G52="","경계 누락",IF(AND(G52&gt;=H52,G52&lt;=I52),"시간 적합","시간 확인 필요"))</x:f>
        <x:v>시간 적합</x:v>
      </x:c>
      <x:c r="K52" s="88" t="str">
        <x:v>30초 유지+이동</x:v>
      </x:c>
      <x:c r="L52" s="88" t="str">
        <x:v>$2 최종 선택</x:v>
      </x:c>
    </x:row>
    <x:row r="53">
      <x:c r="A53" s="88" t="n">
        <x:v>6</x:v>
      </x:c>
      <x:c r="B53" s="88" t="str">
        <x:v>S06_LDW</x:v>
      </x:c>
      <x:c r="C53" s="88" t="n">
        <x:v>7</x:v>
      </x:c>
      <x:c r="D53" s="88" t="str">
        <x:v>4번 낙상-천천히</x:v>
      </x:c>
      <x:c r="E53" s="89" t="n">
        <x:v>1009.8</x:v>
      </x:c>
      <x:c r="F53" s="89" t="n">
        <x:v>1059.2</x:v>
      </x:c>
      <x:c r="G53" s="89" t="n">
        <x:f>IF(OR(E53="",F53=""),"",F53-E53)</x:f>
        <x:v>49.40000000000009</x:v>
      </x:c>
      <x:c r="H53" s="89" t="n">
        <x:v>25</x:v>
      </x:c>
      <x:c r="I53" s="89" t="n">
        <x:v>90</x:v>
      </x:c>
      <x:c r="J53" s="99" t="str">
        <x:f>IF(G53="","경계 누락",IF(AND(G53&gt;=H53,G53&lt;=I53),"시간 적합","시간 확인 필요"))</x:f>
        <x:v>시간 적합</x:v>
      </x:c>
      <x:c r="K53" s="88" t="str">
        <x:v>천천히 눕기+30초 유지</x:v>
      </x:c>
      <x:c r="L53" s="88" t="str">
        <x:v>$2 최종 선택</x:v>
      </x:c>
    </x:row>
    <x:row r="54">
      <x:c r="A54" s="88" t="n">
        <x:v>6</x:v>
      </x:c>
      <x:c r="B54" s="88" t="str">
        <x:v>S06_LDW</x:v>
      </x:c>
      <x:c r="C54" s="88" t="n">
        <x:v>8</x:v>
      </x:c>
      <x:c r="D54" s="88" t="str">
        <x:v>4번 물건 집기</x:v>
      </x:c>
      <x:c r="E54" s="89" t="n">
        <x:v>1075.4</x:v>
      </x:c>
      <x:c r="F54" s="89" t="n">
        <x:v>1086</x:v>
      </x:c>
      <x:c r="G54" s="89" t="n">
        <x:f>IF(OR(E54="",F54=""),"",F54-E54)</x:f>
        <x:v>10.599999999999909</x:v>
      </x:c>
      <x:c r="H54" s="89" t="n">
        <x:v>5</x:v>
      </x:c>
      <x:c r="I54" s="89" t="n">
        <x:v>40</x:v>
      </x:c>
      <x:c r="J54" s="99" t="str">
        <x:f>IF(G54="","경계 누락",IF(AND(G54&gt;=H54,G54&lt;=I54),"시간 적합","시간 확인 필요"))</x:f>
        <x:v>시간 적합</x:v>
      </x:c>
      <x:c r="K54" s="88" t="str">
        <x:v>S04부터 추가된 것으로 판단</x:v>
      </x:c>
      <x:c r="L54" s="88" t="str">
        <x:v>$2 최종 선택</x:v>
      </x:c>
    </x:row>
    <x:row r="55">
      <x:c r="A55" s="88" t="n">
        <x:v>6</x:v>
      </x:c>
      <x:c r="B55" s="88" t="str">
        <x:v>S06_LDW</x:v>
      </x:c>
      <x:c r="C55" s="88" t="n">
        <x:v>9</x:v>
      </x:c>
      <x:c r="D55" s="88" t="str">
        <x:v>5번 코스</x:v>
      </x:c>
      <x:c r="E55" s="89" t="n">
        <x:v>1160.7</x:v>
      </x:c>
      <x:c r="F55" s="89" t="n">
        <x:v>1346.5</x:v>
      </x:c>
      <x:c r="G55" s="89" t="n">
        <x:f>IF(OR(E55="",F55=""),"",F55-E55)</x:f>
        <x:v>185.79999999999995</x:v>
      </x:c>
      <x:c r="H55" s="89" t="n">
        <x:v>130</x:v>
      </x:c>
      <x:c r="I55" s="89" t="n">
        <x:v>230</x:v>
      </x:c>
      <x:c r="J55" s="99" t="str">
        <x:f>IF(G55="","경계 누락",IF(AND(G55&gt;=H55,G55&lt;=I55),"시간 적합","시간 확인 필요"))</x:f>
        <x:v>시간 적합</x:v>
      </x:c>
      <x:c r="K55" s="88" t="str">
        <x:v>16칸×10초=약 160초+이동</x:v>
      </x:c>
      <x:c r="L55" s="88" t="str">
        <x:v>$2 최종 선택</x:v>
      </x:c>
    </x:row>
    <x:row r="56">
      <x:c r="A56" s="88" t="n">
        <x:v>6</x:v>
      </x:c>
      <x:c r="B56" s="88" t="str">
        <x:v>S06_LDW</x:v>
      </x:c>
      <x:c r="C56" s="88" t="n">
        <x:v>10</x:v>
      </x:c>
      <x:c r="D56" s="88" t="str">
        <x:v>6번 왕복</x:v>
      </x:c>
      <x:c r="E56" s="89" t="n">
        <x:v>1394.6</x:v>
      </x:c>
      <x:c r="F56" s="89" t="n">
        <x:v>1424.2</x:v>
      </x:c>
      <x:c r="G56" s="89" t="n">
        <x:f>IF(OR(E56="",F56=""),"",F56-E56)</x:f>
        <x:v>29.600000000000136</x:v>
      </x:c>
      <x:c r="H56" s="89" t="n">
        <x:v>5</x:v>
      </x:c>
      <x:c r="I56" s="89" t="n">
        <x:v>70</x:v>
      </x:c>
      <x:c r="J56" s="99" t="str">
        <x:f>IF(G56="","경계 누락",IF(AND(G56&gt;=H56,G56&lt;=I56),"시간 적합","시간 확인 필요"))</x:f>
        <x:v>시간 적합</x:v>
      </x:c>
      <x:c r="K56" s="88" t="str">
        <x:v>PPT 1분 미만</x:v>
      </x:c>
      <x:c r="L56" s="88" t="str">
        <x:v>$2 최종 선택</x:v>
      </x:c>
    </x:row>
    <x:row r="57">
      <x:c r="A57" s="88" t="n">
        <x:v>6</x:v>
      </x:c>
      <x:c r="B57" s="88" t="str">
        <x:v>S06_LDW</x:v>
      </x:c>
      <x:c r="C57" s="88" t="n">
        <x:v>11</x:v>
      </x:c>
      <x:c r="D57" s="88" t="str">
        <x:v>7번 자유</x:v>
      </x:c>
      <x:c r="E57" s="89" t="n">
        <x:v>1458.5</x:v>
      </x:c>
      <x:c r="F57" s="89" t="n">
        <x:v>1471.3</x:v>
      </x:c>
      <x:c r="G57" s="89" t="n">
        <x:f>IF(OR(E57="",F57=""),"",F57-E57)</x:f>
        <x:v>12.799999999999955</x:v>
      </x:c>
      <x:c r="H57" s="89" t="n">
        <x:v>5</x:v>
      </x:c>
      <x:c r="I57" s="89" t="n">
        <x:v>70</x:v>
      </x:c>
      <x:c r="J57" s="99" t="str">
        <x:f>IF(G57="","경계 누락",IF(AND(G57&gt;=H57,G57&lt;=I57),"시간 적합","시간 확인 필요"))</x:f>
        <x:v>시간 적합</x:v>
      </x:c>
      <x:c r="K57" s="88" t="str">
        <x:v>PPT 1분 미만</x:v>
      </x:c>
      <x:c r="L57" s="88" t="str">
        <x:v>$2 최종 선택</x:v>
      </x:c>
    </x:row>
    <x:row r="58">
      <x:c r="A58" s="88" t="n">
        <x:v>7</x:v>
      </x:c>
      <x:c r="B58" s="88" t="str">
        <x:v>S07_KDM</x:v>
      </x:c>
      <x:c r="C58" s="88" t="n">
        <x:v>1</x:v>
      </x:c>
      <x:c r="D58" s="88" t="str">
        <x:v>1번 호흡</x:v>
      </x:c>
      <x:c r="E58" s="89" t="n">
        <x:v>16.57200000000004</x:v>
      </x:c>
      <x:c r="F58" s="89" t="n">
        <x:v>214.34500000000006</x:v>
      </x:c>
      <x:c r="G58" s="89" t="n">
        <x:f>IF(OR(E58="",F58=""),"",F58-E58)</x:f>
        <x:v>197.77300000000002</x:v>
      </x:c>
      <x:c r="H58" s="89" t="n">
        <x:v>150</x:v>
      </x:c>
      <x:c r="I58" s="89" t="n">
        <x:v>240</x:v>
      </x:c>
      <x:c r="J58" s="99" t="str">
        <x:f>IF(G58="","경계 누락",IF(AND(G58&gt;=H58,G58&lt;=I58),"시간 적합","시간 확인 필요"))</x:f>
        <x:v>시간 적합</x:v>
      </x:c>
      <x:c r="K58" s="88" t="str">
        <x:v>PPT 3분</x:v>
      </x:c>
      <x:c r="L58" s="88" t="str">
        <x:v>$2 최종 선택</x:v>
      </x:c>
    </x:row>
    <x:row r="59">
      <x:c r="A59" s="88" t="n">
        <x:v>7</x:v>
      </x:c>
      <x:c r="B59" s="88" t="str">
        <x:v>S07_KDM</x:v>
      </x:c>
      <x:c r="C59" s="88" t="n">
        <x:v>2</x:v>
      </x:c>
      <x:c r="D59" s="88" t="str">
        <x:v>2번 호흡</x:v>
      </x:c>
      <x:c r="E59" s="89" t="n">
        <x:v>275.59800000000007</x:v>
      </x:c>
      <x:c r="F59" s="89" t="n">
        <x:v>646.7800000000001</x:v>
      </x:c>
      <x:c r="G59" s="89" t="n">
        <x:f>IF(OR(E59="",F59=""),"",F59-E59)</x:f>
        <x:v>371.182</x:v>
      </x:c>
      <x:c r="H59" s="89" t="n">
        <x:v>240</x:v>
      </x:c>
      <x:c r="I59" s="89" t="n">
        <x:v>450</x:v>
      </x:c>
      <x:c r="J59" s="99" t="str">
        <x:f>IF(G59="","경계 누락",IF(AND(G59&gt;=H59,G59&lt;=I59),"시간 적합","시간 확인 필요"))</x:f>
        <x:v>시간 적합</x:v>
      </x:c>
      <x:c r="K59" s="88" t="str">
        <x:v>PPT 표기 4분30초 / 세부 합계 약 6분</x:v>
      </x:c>
      <x:c r="L59" s="88" t="str">
        <x:v>$2 최종 선택</x:v>
      </x:c>
    </x:row>
    <x:row r="60">
      <x:c r="A60" s="88" t="n">
        <x:v>7</x:v>
      </x:c>
      <x:c r="B60" s="88" t="str">
        <x:v>S07_KDM</x:v>
      </x:c>
      <x:c r="C60" s="88" t="n">
        <x:v>3</x:v>
      </x:c>
      <x:c r="D60" s="88" t="str">
        <x:v>3번 픽업-1</x:v>
      </x:c>
      <x:c r="E60" s="89" t="n">
        <x:v>766.097333</x:v>
      </x:c>
      <x:c r="F60" s="89" t="n">
        <x:v>784.6600000000001</x:v>
      </x:c>
      <x:c r="G60" s="89" t="n">
        <x:f>IF(OR(E60="",F60=""),"",F60-E60)</x:f>
        <x:v>18.562667000000033</x:v>
      </x:c>
      <x:c r="H60" s="89" t="n">
        <x:v>5</x:v>
      </x:c>
      <x:c r="I60" s="89" t="n">
        <x:v>90</x:v>
      </x:c>
      <x:c r="J60" s="99" t="str">
        <x:f>IF(G60="","경계 누락",IF(AND(G60&gt;=H60,G60&lt;=I60),"시간 적합","시간 확인 필요"))</x:f>
        <x:v>시간 적합</x:v>
      </x:c>
      <x:c r="K60" s="88" t="str">
        <x:v>총시간 미기재</x:v>
      </x:c>
      <x:c r="L60" s="88" t="str">
        <x:v>$2 최종 선택</x:v>
      </x:c>
    </x:row>
    <x:row r="61">
      <x:c r="A61" s="88" t="n">
        <x:v>7</x:v>
      </x:c>
      <x:c r="B61" s="88" t="str">
        <x:v>S07_KDM</x:v>
      </x:c>
      <x:c r="C61" s="88" t="n">
        <x:v>4</x:v>
      </x:c>
      <x:c r="D61" s="88" t="str">
        <x:v>3번 픽업-2</x:v>
      </x:c>
      <x:c r="E61" s="89" t="n">
        <x:v>799.32</x:v>
      </x:c>
      <x:c r="F61" s="89" t="n">
        <x:v>815.6</x:v>
      </x:c>
      <x:c r="G61" s="89" t="n">
        <x:f>IF(OR(E61="",F61=""),"",F61-E61)</x:f>
        <x:v>16.279999999999973</x:v>
      </x:c>
      <x:c r="H61" s="89" t="n">
        <x:v>5</x:v>
      </x:c>
      <x:c r="I61" s="89" t="n">
        <x:v>90</x:v>
      </x:c>
      <x:c r="J61" s="99" t="str">
        <x:f>IF(G61="","경계 누락",IF(AND(G61&gt;=H61,G61&lt;=I61),"시간 적합","시간 확인 필요"))</x:f>
        <x:v>시간 적합</x:v>
      </x:c>
      <x:c r="K61" s="88" t="str">
        <x:v>총시간 미기재</x:v>
      </x:c>
      <x:c r="L61" s="88" t="str">
        <x:v>$2 최종 선택</x:v>
      </x:c>
    </x:row>
    <x:row r="62">
      <x:c r="A62" s="88" t="n">
        <x:v>7</x:v>
      </x:c>
      <x:c r="B62" s="88" t="str">
        <x:v>S07_KDM</x:v>
      </x:c>
      <x:c r="C62" s="88" t="n">
        <x:v>5</x:v>
      </x:c>
      <x:c r="D62" s="88" t="str">
        <x:v>4번 낙상-즉시</x:v>
      </x:c>
      <x:c r="E62" s="89" t="n">
        <x:v>905.98</x:v>
      </x:c>
      <x:c r="F62" s="89" t="n">
        <x:v>922.08</x:v>
      </x:c>
      <x:c r="G62" s="89" t="n">
        <x:f>IF(OR(E62="",F62=""),"",F62-E62)</x:f>
        <x:v>16.100000000000023</x:v>
      </x:c>
      <x:c r="H62" s="89" t="n">
        <x:v>5</x:v>
      </x:c>
      <x:c r="I62" s="89" t="n">
        <x:v>30</x:v>
      </x:c>
      <x:c r="J62" s="99" t="str">
        <x:f>IF(G62="","경계 누락",IF(AND(G62&gt;=H62,G62&lt;=I62),"시간 적합","시간 확인 필요"))</x:f>
        <x:v>시간 적합</x:v>
      </x:c>
      <x:c r="K62" s="88" t="str">
        <x:v>즥시 일어나기</x:v>
      </x:c>
      <x:c r="L62" s="88" t="str">
        <x:v>$2 최종 선택</x:v>
      </x:c>
    </x:row>
    <x:row r="63">
      <x:c r="A63" s="88" t="n">
        <x:v>7</x:v>
      </x:c>
      <x:c r="B63" s="88" t="str">
        <x:v>S07_KDM</x:v>
      </x:c>
      <x:c r="C63" s="88" t="n">
        <x:v>6</x:v>
      </x:c>
      <x:c r="D63" s="88" t="str">
        <x:v>4번 낙상-30초 유지</x:v>
      </x:c>
      <x:c r="E63" s="89" t="n">
        <x:v>933.84</x:v>
      </x:c>
      <x:c r="F63" s="89" t="n">
        <x:v>979.4680000000001</x:v>
      </x:c>
      <x:c r="G63" s="89" t="n">
        <x:f>IF(OR(E63="",F63=""),"",F63-E63)</x:f>
        <x:v>45.62800000000004</x:v>
      </x:c>
      <x:c r="H63" s="89" t="n">
        <x:v>25</x:v>
      </x:c>
      <x:c r="I63" s="89" t="n">
        <x:v>75</x:v>
      </x:c>
      <x:c r="J63" s="99" t="str">
        <x:f>IF(G63="","경계 누락",IF(AND(G63&gt;=H63,G63&lt;=I63),"시간 적합","시간 확인 필요"))</x:f>
        <x:v>시간 적합</x:v>
      </x:c>
      <x:c r="K63" s="88" t="str">
        <x:v>30초 유지+이동</x:v>
      </x:c>
      <x:c r="L63" s="88" t="str">
        <x:v>$2 최종 선택</x:v>
      </x:c>
    </x:row>
    <x:row r="64">
      <x:c r="A64" s="88" t="n">
        <x:v>7</x:v>
      </x:c>
      <x:c r="B64" s="88" t="str">
        <x:v>S07_KDM</x:v>
      </x:c>
      <x:c r="C64" s="88" t="n">
        <x:v>7</x:v>
      </x:c>
      <x:c r="D64" s="88" t="str">
        <x:v>4번 낙상-천천히</x:v>
      </x:c>
      <x:c r="E64" s="89" t="n">
        <x:v>988.268</x:v>
      </x:c>
      <x:c r="F64" s="89" t="n">
        <x:v>1035.108</x:v>
      </x:c>
      <x:c r="G64" s="89" t="n">
        <x:f>IF(OR(E64="",F64=""),"",F64-E64)</x:f>
        <x:v>46.83999999999992</x:v>
      </x:c>
      <x:c r="H64" s="89" t="n">
        <x:v>25</x:v>
      </x:c>
      <x:c r="I64" s="89" t="n">
        <x:v>90</x:v>
      </x:c>
      <x:c r="J64" s="99" t="str">
        <x:f>IF(G64="","경계 누락",IF(AND(G64&gt;=H64,G64&lt;=I64),"시간 적합","시간 확인 필요"))</x:f>
        <x:v>시간 적합</x:v>
      </x:c>
      <x:c r="K64" s="88" t="str">
        <x:v>천천히 눕기+30초 유지</x:v>
      </x:c>
      <x:c r="L64" s="88" t="str">
        <x:v>$2 최종 선택</x:v>
      </x:c>
    </x:row>
    <x:row r="65">
      <x:c r="A65" s="88" t="n">
        <x:v>7</x:v>
      </x:c>
      <x:c r="B65" s="88" t="str">
        <x:v>S07_KDM</x:v>
      </x:c>
      <x:c r="C65" s="88" t="n">
        <x:v>8</x:v>
      </x:c>
      <x:c r="D65" s="88" t="str">
        <x:v>4번 물건 집기</x:v>
      </x:c>
      <x:c r="E65" s="89" t="n">
        <x:v>1046.708</x:v>
      </x:c>
      <x:c r="F65" s="89" t="n">
        <x:v>1056.98</x:v>
      </x:c>
      <x:c r="G65" s="89" t="n">
        <x:f>IF(OR(E65="",F65=""),"",F65-E65)</x:f>
        <x:v>10.271999999999935</x:v>
      </x:c>
      <x:c r="H65" s="89" t="n">
        <x:v>5</x:v>
      </x:c>
      <x:c r="I65" s="89" t="n">
        <x:v>40</x:v>
      </x:c>
      <x:c r="J65" s="99" t="str">
        <x:f>IF(G65="","경계 누락",IF(AND(G65&gt;=H65,G65&lt;=I65),"시간 적합","시간 확인 필요"))</x:f>
        <x:v>시간 적합</x:v>
      </x:c>
      <x:c r="K65" s="88" t="str">
        <x:v>S04부터 추가된 것으로 판단</x:v>
      </x:c>
      <x:c r="L65" s="88" t="str">
        <x:v>$2 최종 선택</x:v>
      </x:c>
    </x:row>
    <x:row r="66">
      <x:c r="A66" s="88" t="n">
        <x:v>7</x:v>
      </x:c>
      <x:c r="B66" s="88" t="str">
        <x:v>S07_KDM</x:v>
      </x:c>
      <x:c r="C66" s="88" t="n">
        <x:v>9</x:v>
      </x:c>
      <x:c r="D66" s="88" t="str">
        <x:v>5번 코스</x:v>
      </x:c>
      <x:c r="E66" s="89" t="n">
        <x:v>1133.8</x:v>
      </x:c>
      <x:c r="F66" s="89" t="n">
        <x:v>1320.304</x:v>
      </x:c>
      <x:c r="G66" s="89" t="n">
        <x:f>IF(OR(E66="",F66=""),"",F66-E66)</x:f>
        <x:v>186.50400000000013</x:v>
      </x:c>
      <x:c r="H66" s="89" t="n">
        <x:v>130</x:v>
      </x:c>
      <x:c r="I66" s="89" t="n">
        <x:v>230</x:v>
      </x:c>
      <x:c r="J66" s="99" t="str">
        <x:f>IF(G66="","경계 누락",IF(AND(G66&gt;=H66,G66&lt;=I66),"시간 적합","시간 확인 필요"))</x:f>
        <x:v>시간 적합</x:v>
      </x:c>
      <x:c r="K66" s="88" t="str">
        <x:v>16칸×10초=약 160초+이동</x:v>
      </x:c>
      <x:c r="L66" s="88" t="str">
        <x:v>$2 최종 선택</x:v>
      </x:c>
    </x:row>
    <x:row r="67">
      <x:c r="A67" s="88" t="n">
        <x:v>7</x:v>
      </x:c>
      <x:c r="B67" s="88" t="str">
        <x:v>S07_KDM</x:v>
      </x:c>
      <x:c r="C67" s="88" t="n">
        <x:v>10</x:v>
      </x:c>
      <x:c r="D67" s="88" t="str">
        <x:v>6번 왕복</x:v>
      </x:c>
      <x:c r="E67" s="89" t="n">
        <x:v>1377.064</x:v>
      </x:c>
      <x:c r="F67" s="89" t="n">
        <x:v>1400.7</x:v>
      </x:c>
      <x:c r="G67" s="89" t="n">
        <x:f>IF(OR(E67="",F67=""),"",F67-E67)</x:f>
        <x:v>23.635999999999967</x:v>
      </x:c>
      <x:c r="H67" s="89" t="n">
        <x:v>5</x:v>
      </x:c>
      <x:c r="I67" s="89" t="n">
        <x:v>70</x:v>
      </x:c>
      <x:c r="J67" s="99" t="str">
        <x:f>IF(G67="","경계 누락",IF(AND(G67&gt;=H67,G67&lt;=I67),"시간 적합","시간 확인 필요"))</x:f>
        <x:v>시간 적합</x:v>
      </x:c>
      <x:c r="K67" s="88" t="str">
        <x:v>PPT 1분 미만</x:v>
      </x:c>
      <x:c r="L67" s="88" t="str">
        <x:v>$2 최종 선택</x:v>
      </x:c>
    </x:row>
    <x:row r="68">
      <x:c r="A68" s="88" t="n">
        <x:v>7</x:v>
      </x:c>
      <x:c r="B68" s="88" t="str">
        <x:v>S07_KDM</x:v>
      </x:c>
      <x:c r="C68" s="88" t="n">
        <x:v>11</x:v>
      </x:c>
      <x:c r="D68" s="88" t="str">
        <x:v>7번 자유</x:v>
      </x:c>
      <x:c r="E68" s="89" t="n">
        <x:v>1426.924</x:v>
      </x:c>
      <x:c r="F68" s="89" t="n">
        <x:v>1439.6000000000001</x:v>
      </x:c>
      <x:c r="G68" s="89" t="n">
        <x:f>IF(OR(E68="",F68=""),"",F68-E68)</x:f>
        <x:v>12.676000000000158</x:v>
      </x:c>
      <x:c r="H68" s="89" t="n">
        <x:v>5</x:v>
      </x:c>
      <x:c r="I68" s="89" t="n">
        <x:v>70</x:v>
      </x:c>
      <x:c r="J68" s="99" t="str">
        <x:f>IF(G68="","경계 누락",IF(AND(G68&gt;=H68,G68&lt;=I68),"시간 적합","시간 확인 필요"))</x:f>
        <x:v>시간 적합</x:v>
      </x:c>
      <x:c r="K68" s="88" t="str">
        <x:v>PPT 1분 미만</x:v>
      </x:c>
      <x:c r="L68" s="88" t="str">
        <x:v>$2 최종 선택</x:v>
      </x:c>
    </x:row>
    <x:row r="69">
      <x:c r="A69" s="88" t="n">
        <x:v>8</x:v>
      </x:c>
      <x:c r="B69" s="88" t="str">
        <x:v>S08_MDO</x:v>
      </x:c>
      <x:c r="C69" s="88" t="n">
        <x:v>1</x:v>
      </x:c>
      <x:c r="D69" s="88" t="str">
        <x:v>1번 호흡</x:v>
      </x:c>
      <x:c r="E69" s="89" t="n">
        <x:v>23.796000000000053</x:v>
      </x:c>
      <x:c r="F69" s="89" t="n">
        <x:v>220.16400000000004</x:v>
      </x:c>
      <x:c r="G69" s="89" t="n">
        <x:f>IF(OR(E69="",F69=""),"",F69-E69)</x:f>
        <x:v>196.368</x:v>
      </x:c>
      <x:c r="H69" s="89" t="n">
        <x:v>150</x:v>
      </x:c>
      <x:c r="I69" s="89" t="n">
        <x:v>240</x:v>
      </x:c>
      <x:c r="J69" s="99" t="str">
        <x:f>IF(G69="","경계 누락",IF(AND(G69&gt;=H69,G69&lt;=I69),"시간 적합","시간 확인 필요"))</x:f>
        <x:v>시간 적합</x:v>
      </x:c>
      <x:c r="K69" s="88" t="str">
        <x:v>PPT 3분</x:v>
      </x:c>
      <x:c r="L69" s="88" t="str">
        <x:v>$2 최종 선택</x:v>
      </x:c>
    </x:row>
    <x:row r="70">
      <x:c r="A70" s="88" t="n">
        <x:v>8</x:v>
      </x:c>
      <x:c r="B70" s="88" t="str">
        <x:v>S08_MDO</x:v>
      </x:c>
      <x:c r="C70" s="88" t="n">
        <x:v>2</x:v>
      </x:c>
      <x:c r="D70" s="88" t="str">
        <x:v>2번 호흡</x:v>
      </x:c>
      <x:c r="E70" s="89" t="n">
        <x:v>260.4440000000001</x:v>
      </x:c>
      <x:c r="F70" s="89" t="n">
        <x:v>645.896</x:v>
      </x:c>
      <x:c r="G70" s="89" t="n">
        <x:f>IF(OR(E70="",F70=""),"",F70-E70)</x:f>
        <x:v>385.4519999999999</x:v>
      </x:c>
      <x:c r="H70" s="89" t="n">
        <x:v>240</x:v>
      </x:c>
      <x:c r="I70" s="89" t="n">
        <x:v>450</x:v>
      </x:c>
      <x:c r="J70" s="99" t="str">
        <x:f>IF(G70="","경계 누락",IF(AND(G70&gt;=H70,G70&lt;=I70),"시간 적합","시간 확인 필요"))</x:f>
        <x:v>시간 적합</x:v>
      </x:c>
      <x:c r="K70" s="88" t="str">
        <x:v>PPT 표기 4분30초 / 세부 합계 약 6분</x:v>
      </x:c>
      <x:c r="L70" s="88" t="str">
        <x:v>$2 최종 선택</x:v>
      </x:c>
    </x:row>
    <x:row r="71">
      <x:c r="A71" s="88" t="n">
        <x:v>8</x:v>
      </x:c>
      <x:c r="B71" s="88" t="str">
        <x:v>S08_MDO</x:v>
      </x:c>
      <x:c r="C71" s="88" t="n">
        <x:v>3</x:v>
      </x:c>
      <x:c r="D71" s="88" t="str">
        <x:v>3번 픽업-1</x:v>
      </x:c>
      <x:c r="E71" s="89" t="n">
        <x:v>698.452</x:v>
      </x:c>
      <x:c r="F71" s="89" t="n">
        <x:v>707.68</x:v>
      </x:c>
      <x:c r="G71" s="89" t="n">
        <x:f>IF(OR(E71="",F71=""),"",F71-E71)</x:f>
        <x:v>9.227999999999952</x:v>
      </x:c>
      <x:c r="H71" s="89" t="n">
        <x:v>5</x:v>
      </x:c>
      <x:c r="I71" s="89" t="n">
        <x:v>90</x:v>
      </x:c>
      <x:c r="J71" s="99" t="str">
        <x:f>IF(G71="","경계 누락",IF(AND(G71&gt;=H71,G71&lt;=I71),"시간 적합","시간 확인 필요"))</x:f>
        <x:v>시간 적합</x:v>
      </x:c>
      <x:c r="K71" s="88" t="str">
        <x:v>총시간 미기재</x:v>
      </x:c>
      <x:c r="L71" s="88" t="str">
        <x:v>$2 최종 선택</x:v>
      </x:c>
    </x:row>
    <x:row r="72">
      <x:c r="A72" s="88" t="n">
        <x:v>8</x:v>
      </x:c>
      <x:c r="B72" s="88" t="str">
        <x:v>S08_MDO</x:v>
      </x:c>
      <x:c r="C72" s="88" t="n">
        <x:v>4</x:v>
      </x:c>
      <x:c r="D72" s="88" t="str">
        <x:v>3번 픽업-2</x:v>
      </x:c>
      <x:c r="E72" s="89" t="n">
        <x:v>721.928</x:v>
      </x:c>
      <x:c r="F72" s="89" t="n">
        <x:v>732.524</x:v>
      </x:c>
      <x:c r="G72" s="89" t="n">
        <x:f>IF(OR(E72="",F72=""),"",F72-E72)</x:f>
        <x:v>10.596000000000004</x:v>
      </x:c>
      <x:c r="H72" s="89" t="n">
        <x:v>5</x:v>
      </x:c>
      <x:c r="I72" s="89" t="n">
        <x:v>90</x:v>
      </x:c>
      <x:c r="J72" s="99" t="str">
        <x:f>IF(G72="","경계 누락",IF(AND(G72&gt;=H72,G72&lt;=I72),"시간 적합","시간 확인 필요"))</x:f>
        <x:v>시간 적합</x:v>
      </x:c>
      <x:c r="K72" s="88" t="str">
        <x:v>총시간 미기재</x:v>
      </x:c>
      <x:c r="L72" s="88" t="str">
        <x:v>$2 최종 선택</x:v>
      </x:c>
    </x:row>
    <x:row r="73">
      <x:c r="A73" s="88" t="n">
        <x:v>8</x:v>
      </x:c>
      <x:c r="B73" s="88" t="str">
        <x:v>S08_MDO</x:v>
      </x:c>
      <x:c r="C73" s="88" t="n">
        <x:v>5</x:v>
      </x:c>
      <x:c r="D73" s="88" t="str">
        <x:v>4번 낙상-즉시</x:v>
      </x:c>
      <x:c r="E73" s="89" t="n">
        <x:v>808.628</x:v>
      </x:c>
      <x:c r="F73" s="89" t="n">
        <x:v>822.044</x:v>
      </x:c>
      <x:c r="G73" s="89" t="n">
        <x:f>IF(OR(E73="",F73=""),"",F73-E73)</x:f>
        <x:v>13.41599999999994</x:v>
      </x:c>
      <x:c r="H73" s="89" t="n">
        <x:v>5</x:v>
      </x:c>
      <x:c r="I73" s="89" t="n">
        <x:v>30</x:v>
      </x:c>
      <x:c r="J73" s="99" t="str">
        <x:f>IF(G73="","경계 누락",IF(AND(G73&gt;=H73,G73&lt;=I73),"시간 적합","시간 확인 필요"))</x:f>
        <x:v>시간 적합</x:v>
      </x:c>
      <x:c r="K73" s="88" t="str">
        <x:v>즥시 일어나기</x:v>
      </x:c>
      <x:c r="L73" s="88" t="str">
        <x:v>$2 최종 선택</x:v>
      </x:c>
    </x:row>
    <x:row r="74">
      <x:c r="A74" s="88" t="n">
        <x:v>8</x:v>
      </x:c>
      <x:c r="B74" s="88" t="str">
        <x:v>S08_MDO</x:v>
      </x:c>
      <x:c r="C74" s="88" t="n">
        <x:v>6</x:v>
      </x:c>
      <x:c r="D74" s="88" t="str">
        <x:v>4번 낙상-30초 유지</x:v>
      </x:c>
      <x:c r="E74" s="89" t="n">
        <x:v>831.704</x:v>
      </x:c>
      <x:c r="F74" s="89" t="n">
        <x:v>876.16</x:v>
      </x:c>
      <x:c r="G74" s="89" t="n">
        <x:f>IF(OR(E74="",F74=""),"",F74-E74)</x:f>
        <x:v>44.45600000000002</x:v>
      </x:c>
      <x:c r="H74" s="89" t="n">
        <x:v>25</x:v>
      </x:c>
      <x:c r="I74" s="89" t="n">
        <x:v>75</x:v>
      </x:c>
      <x:c r="J74" s="99" t="str">
        <x:f>IF(G74="","경계 누락",IF(AND(G74&gt;=H74,G74&lt;=I74),"시간 적합","시간 확인 필요"))</x:f>
        <x:v>시간 적합</x:v>
      </x:c>
      <x:c r="K74" s="88" t="str">
        <x:v>30초 유지+이동</x:v>
      </x:c>
      <x:c r="L74" s="88" t="str">
        <x:v>$2 최종 선택</x:v>
      </x:c>
    </x:row>
    <x:row r="75">
      <x:c r="A75" s="88" t="n">
        <x:v>8</x:v>
      </x:c>
      <x:c r="B75" s="88" t="str">
        <x:v>S08_MDO</x:v>
      </x:c>
      <x:c r="C75" s="88" t="n">
        <x:v>7</x:v>
      </x:c>
      <x:c r="D75" s="88" t="str">
        <x:v>4번 낙상-천천히</x:v>
      </x:c>
      <x:c r="E75" s="89" t="n">
        <x:v>885.78</x:v>
      </x:c>
      <x:c r="F75" s="89" t="n">
        <x:v>933.436</x:v>
      </x:c>
      <x:c r="G75" s="89" t="n">
        <x:f>IF(OR(E75="",F75=""),"",F75-E75)</x:f>
        <x:v>47.65600000000006</x:v>
      </x:c>
      <x:c r="H75" s="89" t="n">
        <x:v>25</x:v>
      </x:c>
      <x:c r="I75" s="89" t="n">
        <x:v>90</x:v>
      </x:c>
      <x:c r="J75" s="99" t="str">
        <x:f>IF(G75="","경계 누락",IF(AND(G75&gt;=H75,G75&lt;=I75),"시간 적합","시간 확인 필요"))</x:f>
        <x:v>시간 적합</x:v>
      </x:c>
      <x:c r="K75" s="88" t="str">
        <x:v>천천히 눕기+30초 유지</x:v>
      </x:c>
      <x:c r="L75" s="88" t="str">
        <x:v>$2 최종 선택</x:v>
      </x:c>
    </x:row>
    <x:row r="76">
      <x:c r="A76" s="88" t="n">
        <x:v>8</x:v>
      </x:c>
      <x:c r="B76" s="88" t="str">
        <x:v>S08_MDO</x:v>
      </x:c>
      <x:c r="C76" s="88" t="n">
        <x:v>8</x:v>
      </x:c>
      <x:c r="D76" s="88" t="str">
        <x:v>4번 물건 집기</x:v>
      </x:c>
      <x:c r="E76" s="89" t="n">
        <x:v>948.336</x:v>
      </x:c>
      <x:c r="F76" s="89" t="n">
        <x:v>968.676</x:v>
      </x:c>
      <x:c r="G76" s="89" t="n">
        <x:f>IF(OR(E76="",F76=""),"",F76-E76)</x:f>
        <x:v>20.340000000000032</x:v>
      </x:c>
      <x:c r="H76" s="89" t="n">
        <x:v>5</x:v>
      </x:c>
      <x:c r="I76" s="89" t="n">
        <x:v>40</x:v>
      </x:c>
      <x:c r="J76" s="99" t="str">
        <x:f>IF(G76="","경계 누락",IF(AND(G76&gt;=H76,G76&lt;=I76),"시간 적합","시간 확인 필요"))</x:f>
        <x:v>시간 적합</x:v>
      </x:c>
      <x:c r="K76" s="88" t="str">
        <x:v>S04부터 추가된 것으로 판단</x:v>
      </x:c>
      <x:c r="L76" s="88" t="str">
        <x:v>$2 최종 선택</x:v>
      </x:c>
    </x:row>
    <x:row r="77">
      <x:c r="A77" s="88" t="n">
        <x:v>8</x:v>
      </x:c>
      <x:c r="B77" s="88" t="str">
        <x:v>S08_MDO</x:v>
      </x:c>
      <x:c r="C77" s="88" t="n">
        <x:v>9</x:v>
      </x:c>
      <x:c r="D77" s="88" t="str">
        <x:v>5번 코스</x:v>
      </x:c>
      <x:c r="E77" s="89" t="n">
        <x:v>1021.268</x:v>
      </x:c>
      <x:c r="F77" s="89" t="n">
        <x:v>1206.628</x:v>
      </x:c>
      <x:c r="G77" s="89" t="n">
        <x:f>IF(OR(E77="",F77=""),"",F77-E77)</x:f>
        <x:v>185.3599999999999</x:v>
      </x:c>
      <x:c r="H77" s="89" t="n">
        <x:v>130</x:v>
      </x:c>
      <x:c r="I77" s="89" t="n">
        <x:v>230</x:v>
      </x:c>
      <x:c r="J77" s="99" t="str">
        <x:f>IF(G77="","경계 누락",IF(AND(G77&gt;=H77,G77&lt;=I77),"시간 적합","시간 확인 필요"))</x:f>
        <x:v>시간 적합</x:v>
      </x:c>
      <x:c r="K77" s="88" t="str">
        <x:v>16칸×10초=약 160초+이동</x:v>
      </x:c>
      <x:c r="L77" s="88" t="str">
        <x:v>$2 최종 선택</x:v>
      </x:c>
    </x:row>
    <x:row r="78">
      <x:c r="A78" s="88" t="n">
        <x:v>8</x:v>
      </x:c>
      <x:c r="B78" s="88" t="str">
        <x:v>S08_MDO</x:v>
      </x:c>
      <x:c r="C78" s="88" t="n">
        <x:v>10</x:v>
      </x:c>
      <x:c r="D78" s="88" t="str">
        <x:v>6번 왕복</x:v>
      </x:c>
      <x:c r="E78" s="89" t="n">
        <x:v>1226.092</x:v>
      </x:c>
      <x:c r="F78" s="89" t="n">
        <x:v>1247.944</x:v>
      </x:c>
      <x:c r="G78" s="89" t="n">
        <x:f>IF(OR(E78="",F78=""),"",F78-E78)</x:f>
        <x:v>21.85199999999986</x:v>
      </x:c>
      <x:c r="H78" s="89" t="n">
        <x:v>5</x:v>
      </x:c>
      <x:c r="I78" s="89" t="n">
        <x:v>70</x:v>
      </x:c>
      <x:c r="J78" s="99" t="str">
        <x:f>IF(G78="","경계 누락",IF(AND(G78&gt;=H78,G78&lt;=I78),"시간 적합","시간 확인 필요"))</x:f>
        <x:v>시간 적합</x:v>
      </x:c>
      <x:c r="K78" s="88" t="str">
        <x:v>PPT 1분 미만</x:v>
      </x:c>
      <x:c r="L78" s="88" t="str">
        <x:v>$2 최종 선택</x:v>
      </x:c>
    </x:row>
    <x:row r="79">
      <x:c r="A79" s="88" t="n">
        <x:v>8</x:v>
      </x:c>
      <x:c r="B79" s="88" t="str">
        <x:v>S08_MDO</x:v>
      </x:c>
      <x:c r="C79" s="88" t="n">
        <x:v>11</x:v>
      </x:c>
      <x:c r="D79" s="88" t="str">
        <x:v>7번 자유</x:v>
      </x:c>
      <x:c r="E79" s="89" t="n">
        <x:v>1274.416</x:v>
      </x:c>
      <x:c r="F79" s="89" t="n">
        <x:v>1286.188</x:v>
      </x:c>
      <x:c r="G79" s="89" t="n">
        <x:f>IF(OR(E79="",F79=""),"",F79-E79)</x:f>
        <x:v>11.772000000000162</x:v>
      </x:c>
      <x:c r="H79" s="89" t="n">
        <x:v>5</x:v>
      </x:c>
      <x:c r="I79" s="89" t="n">
        <x:v>70</x:v>
      </x:c>
      <x:c r="J79" s="99" t="str">
        <x:f>IF(G79="","경계 누락",IF(AND(G79&gt;=H79,G79&lt;=I79),"시간 적합","시간 확인 필요"))</x:f>
        <x:v>시간 적합</x:v>
      </x:c>
      <x:c r="K79" s="88" t="str">
        <x:v>PPT 1분 미만</x:v>
      </x:c>
      <x:c r="L79" s="88" t="str">
        <x:v>$2 최종 선택</x:v>
      </x:c>
    </x:row>
    <x:row r="80">
      <x:c r="A80" s="88" t="n">
        <x:v>9</x:v>
      </x:c>
      <x:c r="B80" s="88" t="str">
        <x:v>S09_HDH</x:v>
      </x:c>
      <x:c r="C80" s="88" t="n">
        <x:v>1</x:v>
      </x:c>
      <x:c r="D80" s="88" t="str">
        <x:v>1번 호흡</x:v>
      </x:c>
      <x:c r="E80" s="89" t="n">
        <x:v>16.915000000000067</x:v>
      </x:c>
      <x:c r="F80" s="89" t="n">
        <x:v>209.82400000000007</x:v>
      </x:c>
      <x:c r="G80" s="89" t="n">
        <x:f>IF(OR(E80="",F80=""),"",F80-E80)</x:f>
        <x:v>192.909</x:v>
      </x:c>
      <x:c r="H80" s="89" t="n">
        <x:v>150</x:v>
      </x:c>
      <x:c r="I80" s="89" t="n">
        <x:v>240</x:v>
      </x:c>
      <x:c r="J80" s="99" t="str">
        <x:f>IF(G80="","경계 누락",IF(AND(G80&gt;=H80,G80&lt;=I80),"시간 적합","시간 확인 필요"))</x:f>
        <x:v>시간 적합</x:v>
      </x:c>
      <x:c r="K80" s="88" t="str">
        <x:v>PPT 3분</x:v>
      </x:c>
      <x:c r="L80" s="88" t="str">
        <x:v>$2 최종 선택</x:v>
      </x:c>
    </x:row>
    <x:row r="81">
      <x:c r="A81" s="88" t="n">
        <x:v>9</x:v>
      </x:c>
      <x:c r="B81" s="88" t="str">
        <x:v>S09_HDH</x:v>
      </x:c>
      <x:c r="C81" s="88" t="n">
        <x:v>2</x:v>
      </x:c>
      <x:c r="D81" s="88" t="str">
        <x:v>2번 호흡</x:v>
      </x:c>
      <x:c r="E81" s="89" t="n">
        <x:v>272.42800000000005</x:v>
      </x:c>
      <x:c r="F81" s="89" t="n">
        <x:v>647.296</x:v>
      </x:c>
      <x:c r="G81" s="89" t="n">
        <x:f>IF(OR(E81="",F81=""),"",F81-E81)</x:f>
        <x:v>374.868</x:v>
      </x:c>
      <x:c r="H81" s="89" t="n">
        <x:v>240</x:v>
      </x:c>
      <x:c r="I81" s="89" t="n">
        <x:v>450</x:v>
      </x:c>
      <x:c r="J81" s="99" t="str">
        <x:f>IF(G81="","경계 누락",IF(AND(G81&gt;=H81,G81&lt;=I81),"시간 적합","시간 확인 필요"))</x:f>
        <x:v>시간 적합</x:v>
      </x:c>
      <x:c r="K81" s="88" t="str">
        <x:v>PPT 표기 4분30초 / 세부 합계 약 6분</x:v>
      </x:c>
      <x:c r="L81" s="88" t="str">
        <x:v>$2 최종 선택</x:v>
      </x:c>
    </x:row>
    <x:row r="82">
      <x:c r="A82" s="88" t="n">
        <x:v>9</x:v>
      </x:c>
      <x:c r="B82" s="88" t="str">
        <x:v>S09_HDH</x:v>
      </x:c>
      <x:c r="C82" s="88" t="n">
        <x:v>3</x:v>
      </x:c>
      <x:c r="D82" s="88" t="str">
        <x:v>3번 픽업-1</x:v>
      </x:c>
      <x:c r="E82" s="89" t="n">
        <x:v>781.8704</x:v>
      </x:c>
      <x:c r="F82" s="89" t="n">
        <x:v>803.2750000000001</x:v>
      </x:c>
      <x:c r="G82" s="89" t="n">
        <x:f>IF(OR(E82="",F82=""),"",F82-E82)</x:f>
        <x:v>21.404600000000073</x:v>
      </x:c>
      <x:c r="H82" s="89" t="n">
        <x:v>5</x:v>
      </x:c>
      <x:c r="I82" s="89" t="n">
        <x:v>90</x:v>
      </x:c>
      <x:c r="J82" s="99" t="str">
        <x:f>IF(G82="","경계 누락",IF(AND(G82&gt;=H82,G82&lt;=I82),"시간 적합","시간 확인 필요"))</x:f>
        <x:v>시간 적합</x:v>
      </x:c>
      <x:c r="K82" s="88" t="str">
        <x:v>총시간 미기재</x:v>
      </x:c>
      <x:c r="L82" s="88" t="str">
        <x:v>$2 최종 선택</x:v>
      </x:c>
    </x:row>
    <x:row r="83">
      <x:c r="A83" s="88" t="n">
        <x:v>9</x:v>
      </x:c>
      <x:c r="B83" s="88" t="str">
        <x:v>S09_HDH</x:v>
      </x:c>
      <x:c r="C83" s="88" t="n">
        <x:v>4</x:v>
      </x:c>
      <x:c r="D83" s="88" t="str">
        <x:v>3번 픽업-2</x:v>
      </x:c>
      <x:c r="E83" s="89" t="n">
        <x:v>825.5600000000001</x:v>
      </x:c>
      <x:c r="F83" s="89" t="n">
        <x:v>841.4920000000001</x:v>
      </x:c>
      <x:c r="G83" s="89" t="n">
        <x:f>IF(OR(E83="",F83=""),"",F83-E83)</x:f>
        <x:v>15.932000000000016</x:v>
      </x:c>
      <x:c r="H83" s="89" t="n">
        <x:v>5</x:v>
      </x:c>
      <x:c r="I83" s="89" t="n">
        <x:v>90</x:v>
      </x:c>
      <x:c r="J83" s="99" t="str">
        <x:f>IF(G83="","경계 누락",IF(AND(G83&gt;=H83,G83&lt;=I83),"시간 적합","시간 확인 필요"))</x:f>
        <x:v>시간 적합</x:v>
      </x:c>
      <x:c r="K83" s="88" t="str">
        <x:v>총시간 미기재</x:v>
      </x:c>
      <x:c r="L83" s="88" t="str">
        <x:v>$2 최종 선택</x:v>
      </x:c>
    </x:row>
    <x:row r="84">
      <x:c r="A84" s="88" t="n">
        <x:v>9</x:v>
      </x:c>
      <x:c r="B84" s="88" t="str">
        <x:v>S09_HDH</x:v>
      </x:c>
      <x:c r="C84" s="88" t="n">
        <x:v>5</x:v>
      </x:c>
      <x:c r="D84" s="88" t="str">
        <x:v>4번 낙상-즉시</x:v>
      </x:c>
      <x:c r="E84" s="89" t="n">
        <x:v>951.802</x:v>
      </x:c>
      <x:c r="F84" s="89" t="n">
        <x:v>969.796</x:v>
      </x:c>
      <x:c r="G84" s="89" t="n">
        <x:f>IF(OR(E84="",F84=""),"",F84-E84)</x:f>
        <x:v>17.994000000000028</x:v>
      </x:c>
      <x:c r="H84" s="89" t="n">
        <x:v>5</x:v>
      </x:c>
      <x:c r="I84" s="89" t="n">
        <x:v>30</x:v>
      </x:c>
      <x:c r="J84" s="99" t="str">
        <x:f>IF(G84="","경계 누락",IF(AND(G84&gt;=H84,G84&lt;=I84),"시간 적합","시간 확인 필요"))</x:f>
        <x:v>시간 적합</x:v>
      </x:c>
      <x:c r="K84" s="88" t="str">
        <x:v>즥시 일어나기</x:v>
      </x:c>
      <x:c r="L84" s="88" t="str">
        <x:v>$2 최종 선택</x:v>
      </x:c>
    </x:row>
    <x:row r="85">
      <x:c r="A85" s="88" t="n">
        <x:v>9</x:v>
      </x:c>
      <x:c r="B85" s="88" t="str">
        <x:v>S09_HDH</x:v>
      </x:c>
      <x:c r="C85" s="88" t="n">
        <x:v>6</x:v>
      </x:c>
      <x:c r="D85" s="88" t="str">
        <x:v>4번 낙상-30초 유지</x:v>
      </x:c>
      <x:c r="E85" s="89" t="n">
        <x:v>987.9432</x:v>
      </x:c>
      <x:c r="F85" s="89" t="n">
        <x:v>1036.132</x:v>
      </x:c>
      <x:c r="G85" s="89" t="n">
        <x:f>IF(OR(E85="",F85=""),"",F85-E85)</x:f>
        <x:v>48.188800000000015</x:v>
      </x:c>
      <x:c r="H85" s="89" t="n">
        <x:v>25</x:v>
      </x:c>
      <x:c r="I85" s="89" t="n">
        <x:v>75</x:v>
      </x:c>
      <x:c r="J85" s="99" t="str">
        <x:f>IF(G85="","경계 누락",IF(AND(G85&gt;=H85,G85&lt;=I85),"시간 적합","시간 확인 필요"))</x:f>
        <x:v>시간 적합</x:v>
      </x:c>
      <x:c r="K85" s="88" t="str">
        <x:v>30초 유지+이동</x:v>
      </x:c>
      <x:c r="L85" s="88" t="str">
        <x:v>$2 최종 선택</x:v>
      </x:c>
    </x:row>
    <x:row r="86">
      <x:c r="A86" s="88" t="n">
        <x:v>9</x:v>
      </x:c>
      <x:c r="B86" s="88" t="str">
        <x:v>S09_HDH</x:v>
      </x:c>
      <x:c r="C86" s="88" t="n">
        <x:v>7</x:v>
      </x:c>
      <x:c r="D86" s="88" t="str">
        <x:v>4번 낙상-천천히</x:v>
      </x:c>
      <x:c r="E86" s="89" t="n">
        <x:v>1049.458</x:v>
      </x:c>
      <x:c r="F86" s="89" t="n">
        <x:v>1099.0800000000002</x:v>
      </x:c>
      <x:c r="G86" s="89" t="n">
        <x:f>IF(OR(E86="",F86=""),"",F86-E86)</x:f>
        <x:v>49.62200000000007</x:v>
      </x:c>
      <x:c r="H86" s="89" t="n">
        <x:v>25</x:v>
      </x:c>
      <x:c r="I86" s="89" t="n">
        <x:v>90</x:v>
      </x:c>
      <x:c r="J86" s="99" t="str">
        <x:f>IF(G86="","경계 누락",IF(AND(G86&gt;=H86,G86&lt;=I86),"시간 적합","시간 확인 필요"))</x:f>
        <x:v>시간 적합</x:v>
      </x:c>
      <x:c r="K86" s="88" t="str">
        <x:v>천천히 눕기+30초 유지</x:v>
      </x:c>
      <x:c r="L86" s="88" t="str">
        <x:v>$2 최종 선택</x:v>
      </x:c>
    </x:row>
    <x:row r="87">
      <x:c r="A87" s="88" t="n">
        <x:v>9</x:v>
      </x:c>
      <x:c r="B87" s="88" t="str">
        <x:v>S09_HDH</x:v>
      </x:c>
      <x:c r="C87" s="88" t="n">
        <x:v>8</x:v>
      </x:c>
      <x:c r="D87" s="88" t="str">
        <x:v>4번 물건 집기</x:v>
      </x:c>
      <x:c r="E87" s="89" t="n">
        <x:v>1121.848</x:v>
      </x:c>
      <x:c r="F87" s="89" t="n">
        <x:v>1134.633333</x:v>
      </x:c>
      <x:c r="G87" s="89" t="n">
        <x:f>IF(OR(E87="",F87=""),"",F87-E87)</x:f>
        <x:v>12.785333000000037</x:v>
      </x:c>
      <x:c r="H87" s="89" t="n">
        <x:v>5</x:v>
      </x:c>
      <x:c r="I87" s="89" t="n">
        <x:v>40</x:v>
      </x:c>
      <x:c r="J87" s="99" t="str">
        <x:f>IF(G87="","경계 누락",IF(AND(G87&gt;=H87,G87&lt;=I87),"시간 적합","시간 확인 필요"))</x:f>
        <x:v>시간 적합</x:v>
      </x:c>
      <x:c r="K87" s="88" t="str">
        <x:v>S04부터 추가된 것으로 판단</x:v>
      </x:c>
      <x:c r="L87" s="88" t="str">
        <x:v>$2 최종 선택</x:v>
      </x:c>
    </x:row>
    <x:row r="88">
      <x:c r="A88" s="88" t="n">
        <x:v>9</x:v>
      </x:c>
      <x:c r="B88" s="88" t="str">
        <x:v>S09_HDH</x:v>
      </x:c>
      <x:c r="C88" s="88" t="n">
        <x:v>9</x:v>
      </x:c>
      <x:c r="D88" s="88" t="str">
        <x:v>5번 코스</x:v>
      </x:c>
      <x:c r="E88" s="89" t="n">
        <x:v>1206.624</x:v>
      </x:c>
      <x:c r="F88" s="89" t="n">
        <x:v>1394.844</x:v>
      </x:c>
      <x:c r="G88" s="89" t="n">
        <x:f>IF(OR(E88="",F88=""),"",F88-E88)</x:f>
        <x:v>188.22000000000003</x:v>
      </x:c>
      <x:c r="H88" s="89" t="n">
        <x:v>130</x:v>
      </x:c>
      <x:c r="I88" s="89" t="n">
        <x:v>230</x:v>
      </x:c>
      <x:c r="J88" s="99" t="str">
        <x:f>IF(G88="","경계 누락",IF(AND(G88&gt;=H88,G88&lt;=I88),"시간 적합","시간 확인 필요"))</x:f>
        <x:v>시간 적합</x:v>
      </x:c>
      <x:c r="K88" s="88" t="str">
        <x:v>16칸×10초=약 160초+이동</x:v>
      </x:c>
      <x:c r="L88" s="88" t="str">
        <x:v>$2 최종 선택</x:v>
      </x:c>
    </x:row>
    <x:row r="89">
      <x:c r="A89" s="88" t="n">
        <x:v>9</x:v>
      </x:c>
      <x:c r="B89" s="88" t="str">
        <x:v>S09_HDH</x:v>
      </x:c>
      <x:c r="C89" s="88" t="n">
        <x:v>10</x:v>
      </x:c>
      <x:c r="D89" s="88" t="str">
        <x:v>6번 왕복</x:v>
      </x:c>
      <x:c r="E89" s="89" t="n">
        <x:v>1445.0352</x:v>
      </x:c>
      <x:c r="F89" s="89" t="n">
        <x:v>1473.045333</x:v>
      </x:c>
      <x:c r="G89" s="89" t="n">
        <x:f>IF(OR(E89="",F89=""),"",F89-E89)</x:f>
        <x:v>28.010132999999996</x:v>
      </x:c>
      <x:c r="H89" s="89" t="n">
        <x:v>5</x:v>
      </x:c>
      <x:c r="I89" s="89" t="n">
        <x:v>70</x:v>
      </x:c>
      <x:c r="J89" s="99" t="str">
        <x:f>IF(G89="","경계 누락",IF(AND(G89&gt;=H89,G89&lt;=I89),"시간 적합","시간 확인 필요"))</x:f>
        <x:v>시간 적합</x:v>
      </x:c>
      <x:c r="K89" s="88" t="str">
        <x:v>PPT 1분 미만</x:v>
      </x:c>
      <x:c r="L89" s="88" t="str">
        <x:v>$2 최종 선택</x:v>
      </x:c>
    </x:row>
    <x:row r="90">
      <x:c r="A90" s="88" t="n">
        <x:v>9</x:v>
      </x:c>
      <x:c r="B90" s="88" t="str">
        <x:v>S09_HDH</x:v>
      </x:c>
      <x:c r="C90" s="88" t="n">
        <x:v>11</x:v>
      </x:c>
      <x:c r="D90" s="88" t="str">
        <x:v>7번 자유</x:v>
      </x:c>
      <x:c r="E90" s="89" t="n">
        <x:v>1499.3208</x:v>
      </x:c>
      <x:c r="F90" s="89" t="n">
        <x:v>1510.877</x:v>
      </x:c>
      <x:c r="G90" s="89" t="n">
        <x:f>IF(OR(E90="",F90=""),"",F90-E90)</x:f>
        <x:v>11.55619999999999</x:v>
      </x:c>
      <x:c r="H90" s="89" t="n">
        <x:v>5</x:v>
      </x:c>
      <x:c r="I90" s="89" t="n">
        <x:v>70</x:v>
      </x:c>
      <x:c r="J90" s="99" t="str">
        <x:f>IF(G90="","경계 누락",IF(AND(G90&gt;=H90,G90&lt;=I90),"시간 적합","시간 확인 필요"))</x:f>
        <x:v>시간 적합</x:v>
      </x:c>
      <x:c r="K90" s="88" t="str">
        <x:v>PPT 1분 미만</x:v>
      </x:c>
      <x:c r="L90" s="88" t="str">
        <x:v>$2 최종 선택</x:v>
      </x:c>
    </x:row>
    <x:row r="91">
      <x:c r="A91" s="88" t="n">
        <x:v>10</x:v>
      </x:c>
      <x:c r="B91" s="88" t="str">
        <x:v>S10_JKH</x:v>
      </x:c>
      <x:c r="C91" s="88" t="n">
        <x:v>1</x:v>
      </x:c>
      <x:c r="D91" s="88" t="str">
        <x:v>1번 호흡</x:v>
      </x:c>
      <x:c r="E91" s="89" t="n">
        <x:v>26.144000000000062</x:v>
      </x:c>
      <x:c r="F91" s="89" t="n">
        <x:v>212.46800000000005</x:v>
      </x:c>
      <x:c r="G91" s="89" t="n">
        <x:f>IF(OR(E91="",F91=""),"",F91-E91)</x:f>
        <x:v>186.32399999999998</x:v>
      </x:c>
      <x:c r="H91" s="89" t="n">
        <x:v>150</x:v>
      </x:c>
      <x:c r="I91" s="89" t="n">
        <x:v>240</x:v>
      </x:c>
      <x:c r="J91" s="99" t="str">
        <x:f>IF(G91="","경계 누락",IF(AND(G91&gt;=H91,G91&lt;=I91),"시간 적합","시간 확인 필요"))</x:f>
        <x:v>시간 적합</x:v>
      </x:c>
      <x:c r="K91" s="88" t="str">
        <x:v>PPT 3분</x:v>
      </x:c>
      <x:c r="L91" s="88" t="str">
        <x:v>$2 최종 선택</x:v>
      </x:c>
    </x:row>
    <x:row r="92">
      <x:c r="A92" s="88" t="n">
        <x:v>10</x:v>
      </x:c>
      <x:c r="B92" s="88" t="str">
        <x:v>S10_JKH</x:v>
      </x:c>
      <x:c r="C92" s="88" t="n">
        <x:v>2</x:v>
      </x:c>
      <x:c r="D92" s="88" t="str">
        <x:v>2번 호흡</x:v>
      </x:c>
      <x:c r="E92" s="89" t="n">
        <x:v>244.70000000000005</x:v>
      </x:c>
      <x:c r="F92" s="89" t="n">
        <x:v>625.8240000000001</x:v>
      </x:c>
      <x:c r="G92" s="89" t="n">
        <x:f>IF(OR(E92="",F92=""),"",F92-E92)</x:f>
        <x:v>381.124</x:v>
      </x:c>
      <x:c r="H92" s="89" t="n">
        <x:v>240</x:v>
      </x:c>
      <x:c r="I92" s="89" t="n">
        <x:v>450</x:v>
      </x:c>
      <x:c r="J92" s="99" t="str">
        <x:f>IF(G92="","경계 누락",IF(AND(G92&gt;=H92,G92&lt;=I92),"시간 적합","시간 확인 필요"))</x:f>
        <x:v>시간 적합</x:v>
      </x:c>
      <x:c r="K92" s="88" t="str">
        <x:v>PPT 표기 4분30초 / 세부 합계 약 6분</x:v>
      </x:c>
      <x:c r="L92" s="88" t="str">
        <x:v>$2 최종 선택</x:v>
      </x:c>
    </x:row>
    <x:row r="93">
      <x:c r="A93" s="88" t="n">
        <x:v>10</x:v>
      </x:c>
      <x:c r="B93" s="88" t="str">
        <x:v>S10_JKH</x:v>
      </x:c>
      <x:c r="C93" s="88" t="n">
        <x:v>3</x:v>
      </x:c>
      <x:c r="D93" s="88" t="str">
        <x:v>3번 픽업-1</x:v>
      </x:c>
      <x:c r="E93" s="89" t="n">
        <x:v>652.6720000000001</x:v>
      </x:c>
      <x:c r="F93" s="89" t="n">
        <x:v>666.1960000000001</x:v>
      </x:c>
      <x:c r="G93" s="89" t="n">
        <x:f>IF(OR(E93="",F93=""),"",F93-E93)</x:f>
        <x:v>13.524000000000001</x:v>
      </x:c>
      <x:c r="H93" s="89" t="n">
        <x:v>5</x:v>
      </x:c>
      <x:c r="I93" s="89" t="n">
        <x:v>90</x:v>
      </x:c>
      <x:c r="J93" s="99" t="str">
        <x:f>IF(G93="","경계 누락",IF(AND(G93&gt;=H93,G93&lt;=I93),"시간 적합","시간 확인 필요"))</x:f>
        <x:v>시간 적합</x:v>
      </x:c>
      <x:c r="K93" s="88" t="str">
        <x:v>총시간 미기재</x:v>
      </x:c>
      <x:c r="L93" s="88" t="str">
        <x:v>$2 최종 선택</x:v>
      </x:c>
    </x:row>
    <x:row r="94">
      <x:c r="A94" s="88" t="n">
        <x:v>10</x:v>
      </x:c>
      <x:c r="B94" s="88" t="str">
        <x:v>S10_JKH</x:v>
      </x:c>
      <x:c r="C94" s="88" t="n">
        <x:v>4</x:v>
      </x:c>
      <x:c r="D94" s="88" t="str">
        <x:v>3번 픽업-2</x:v>
      </x:c>
      <x:c r="E94" s="89" t="n">
        <x:v>684.6240000000001</x:v>
      </x:c>
      <x:c r="F94" s="89" t="n">
        <x:v>701.3840000000001</x:v>
      </x:c>
      <x:c r="G94" s="89" t="n">
        <x:f>IF(OR(E94="",F94=""),"",F94-E94)</x:f>
        <x:v>16.75999999999999</x:v>
      </x:c>
      <x:c r="H94" s="89" t="n">
        <x:v>5</x:v>
      </x:c>
      <x:c r="I94" s="89" t="n">
        <x:v>90</x:v>
      </x:c>
      <x:c r="J94" s="99" t="str">
        <x:f>IF(G94="","경계 누락",IF(AND(G94&gt;=H94,G94&lt;=I94),"시간 적합","시간 확인 필요"))</x:f>
        <x:v>시간 적합</x:v>
      </x:c>
      <x:c r="K94" s="88" t="str">
        <x:v>총시간 미기재</x:v>
      </x:c>
      <x:c r="L94" s="88" t="str">
        <x:v>$2 최종 선택</x:v>
      </x:c>
    </x:row>
    <x:row r="95">
      <x:c r="A95" s="88" t="n">
        <x:v>10</x:v>
      </x:c>
      <x:c r="B95" s="88" t="str">
        <x:v>S10_JKH</x:v>
      </x:c>
      <x:c r="C95" s="88" t="n">
        <x:v>5</x:v>
      </x:c>
      <x:c r="D95" s="88" t="str">
        <x:v>4번 낙상-즉시</x:v>
      </x:c>
      <x:c r="E95" s="89" t="n">
        <x:v>751.7160000000001</x:v>
      </x:c>
      <x:c r="F95" s="89" t="n">
        <x:v>765.1600000000001</x:v>
      </x:c>
      <x:c r="G95" s="89" t="n">
        <x:f>IF(OR(E95="",F95=""),"",F95-E95)</x:f>
        <x:v>13.44399999999996</x:v>
      </x:c>
      <x:c r="H95" s="89" t="n">
        <x:v>5</x:v>
      </x:c>
      <x:c r="I95" s="89" t="n">
        <x:v>30</x:v>
      </x:c>
      <x:c r="J95" s="99" t="str">
        <x:f>IF(G95="","경계 누락",IF(AND(G95&gt;=H95,G95&lt;=I95),"시간 적합","시간 확인 필요"))</x:f>
        <x:v>시간 적합</x:v>
      </x:c>
      <x:c r="K95" s="88" t="str">
        <x:v>즥시 일어나기</x:v>
      </x:c>
      <x:c r="L95" s="88" t="str">
        <x:v>$2 최종 선택</x:v>
      </x:c>
    </x:row>
    <x:row r="96">
      <x:c r="A96" s="88" t="n">
        <x:v>10</x:v>
      </x:c>
      <x:c r="B96" s="88" t="str">
        <x:v>S10_JKH</x:v>
      </x:c>
      <x:c r="C96" s="88" t="n">
        <x:v>6</x:v>
      </x:c>
      <x:c r="D96" s="88" t="str">
        <x:v>4번 낙상-30초 유지</x:v>
      </x:c>
      <x:c r="E96" s="89" t="n">
        <x:v>777.5160000000001</x:v>
      </x:c>
      <x:c r="F96" s="89" t="n">
        <x:v>823.6880000000001</x:v>
      </x:c>
      <x:c r="G96" s="89" t="n">
        <x:f>IF(OR(E96="",F96=""),"",F96-E96)</x:f>
        <x:v>46.172000000000025</x:v>
      </x:c>
      <x:c r="H96" s="89" t="n">
        <x:v>25</x:v>
      </x:c>
      <x:c r="I96" s="89" t="n">
        <x:v>75</x:v>
      </x:c>
      <x:c r="J96" s="99" t="str">
        <x:f>IF(G96="","경계 누락",IF(AND(G96&gt;=H96,G96&lt;=I96),"시간 적합","시간 확인 필요"))</x:f>
        <x:v>시간 적합</x:v>
      </x:c>
      <x:c r="K96" s="88" t="str">
        <x:v>30초 유지+이동</x:v>
      </x:c>
      <x:c r="L96" s="88" t="str">
        <x:v>$2 최종 선택</x:v>
      </x:c>
    </x:row>
    <x:row r="97">
      <x:c r="A97" s="88" t="n">
        <x:v>10</x:v>
      </x:c>
      <x:c r="B97" s="88" t="str">
        <x:v>S10_JKH</x:v>
      </x:c>
      <x:c r="C97" s="88" t="n">
        <x:v>7</x:v>
      </x:c>
      <x:c r="D97" s="88" t="str">
        <x:v>4번 낙상-천천히</x:v>
      </x:c>
      <x:c r="E97" s="89" t="n">
        <x:v>835.2960000000002</x:v>
      </x:c>
      <x:c r="F97" s="89" t="n">
        <x:v>877.6040000000002</x:v>
      </x:c>
      <x:c r="G97" s="89" t="n">
        <x:f>IF(OR(E97="",F97=""),"",F97-E97)</x:f>
        <x:v>42.30799999999999</x:v>
      </x:c>
      <x:c r="H97" s="89" t="n">
        <x:v>25</x:v>
      </x:c>
      <x:c r="I97" s="89" t="n">
        <x:v>90</x:v>
      </x:c>
      <x:c r="J97" s="99" t="str">
        <x:f>IF(G97="","경계 누락",IF(AND(G97&gt;=H97,G97&lt;=I97),"시간 적합","시간 확인 필요"))</x:f>
        <x:v>시간 적합</x:v>
      </x:c>
      <x:c r="K97" s="88" t="str">
        <x:v>천천히 눕기+30초 유지</x:v>
      </x:c>
      <x:c r="L97" s="88" t="str">
        <x:v>$2 최종 선택</x:v>
      </x:c>
    </x:row>
    <x:row r="98">
      <x:c r="A98" s="88" t="n">
        <x:v>10</x:v>
      </x:c>
      <x:c r="B98" s="88" t="str">
        <x:v>S10_JKH</x:v>
      </x:c>
      <x:c r="C98" s="88" t="n">
        <x:v>8</x:v>
      </x:c>
      <x:c r="D98" s="88" t="str">
        <x:v>4번 물건 집기</x:v>
      </x:c>
      <x:c r="E98" s="89" t="n">
        <x:v>881.8720000000001</x:v>
      </x:c>
      <x:c r="F98" s="89" t="n">
        <x:v>910.5320000000002</x:v>
      </x:c>
      <x:c r="G98" s="89" t="n">
        <x:f>IF(OR(E98="",F98=""),"",F98-E98)</x:f>
        <x:v>28.660000000000082</x:v>
      </x:c>
      <x:c r="H98" s="89" t="n">
        <x:v>5</x:v>
      </x:c>
      <x:c r="I98" s="89" t="n">
        <x:v>40</x:v>
      </x:c>
      <x:c r="J98" s="99" t="str">
        <x:f>IF(G98="","경계 누락",IF(AND(G98&gt;=H98,G98&lt;=I98),"시간 적합","시간 확인 필요"))</x:f>
        <x:v>시간 적합</x:v>
      </x:c>
      <x:c r="K98" s="88" t="str">
        <x:v>S04부터 추가된 것으로 판단</x:v>
      </x:c>
      <x:c r="L98" s="88" t="str">
        <x:v>$2 최종 선택</x:v>
      </x:c>
    </x:row>
    <x:row r="99">
      <x:c r="A99" s="88" t="n">
        <x:v>10</x:v>
      </x:c>
      <x:c r="B99" s="88" t="str">
        <x:v>S10_JKH</x:v>
      </x:c>
      <x:c r="C99" s="88" t="n">
        <x:v>9</x:v>
      </x:c>
      <x:c r="D99" s="88" t="str">
        <x:v>5번 코스</x:v>
      </x:c>
      <x:c r="E99" s="89" t="n">
        <x:v>934.7880000000001</x:v>
      </x:c>
      <x:c r="F99" s="89" t="n">
        <x:v>1117.952</x:v>
      </x:c>
      <x:c r="G99" s="89" t="n">
        <x:f>IF(OR(E99="",F99=""),"",F99-E99)</x:f>
        <x:v>183.16399999999987</x:v>
      </x:c>
      <x:c r="H99" s="89" t="n">
        <x:v>130</x:v>
      </x:c>
      <x:c r="I99" s="89" t="n">
        <x:v>230</x:v>
      </x:c>
      <x:c r="J99" s="99" t="str">
        <x:f>IF(G99="","경계 누락",IF(AND(G99&gt;=H99,G99&lt;=I99),"시간 적합","시간 확인 필요"))</x:f>
        <x:v>시간 적합</x:v>
      </x:c>
      <x:c r="K99" s="88" t="str">
        <x:v>16칸×10초=약 160초+이동</x:v>
      </x:c>
      <x:c r="L99" s="88" t="str">
        <x:v>$2 최종 선택</x:v>
      </x:c>
    </x:row>
    <x:row r="100">
      <x:c r="A100" s="88" t="n">
        <x:v>10</x:v>
      </x:c>
      <x:c r="B100" s="88" t="str">
        <x:v>S10_JKH</x:v>
      </x:c>
      <x:c r="C100" s="88" t="n">
        <x:v>10</x:v>
      </x:c>
      <x:c r="D100" s="88" t="str">
        <x:v>6번 왕복</x:v>
      </x:c>
      <x:c r="E100" s="89" t="n">
        <x:v>1134.608</x:v>
      </x:c>
      <x:c r="F100" s="89" t="n">
        <x:v>1158.2</x:v>
      </x:c>
      <x:c r="G100" s="89" t="n">
        <x:f>IF(OR(E100="",F100=""),"",F100-E100)</x:f>
        <x:v>23.5920000000001</x:v>
      </x:c>
      <x:c r="H100" s="89" t="n">
        <x:v>5</x:v>
      </x:c>
      <x:c r="I100" s="89" t="n">
        <x:v>70</x:v>
      </x:c>
      <x:c r="J100" s="99" t="str">
        <x:f>IF(G100="","경계 누락",IF(AND(G100&gt;=H100,G100&lt;=I100),"시간 적합","시간 확인 필요"))</x:f>
        <x:v>시간 적합</x:v>
      </x:c>
      <x:c r="K100" s="88" t="str">
        <x:v>PPT 1분 미만</x:v>
      </x:c>
      <x:c r="L100" s="88" t="str">
        <x:v>$2 최종 선택</x:v>
      </x:c>
    </x:row>
    <x:row r="101">
      <x:c r="A101" s="88" t="n">
        <x:v>10</x:v>
      </x:c>
      <x:c r="B101" s="88" t="str">
        <x:v>S10_JKH</x:v>
      </x:c>
      <x:c r="C101" s="88" t="n">
        <x:v>11</x:v>
      </x:c>
      <x:c r="D101" s="88" t="str">
        <x:v>7번 자유</x:v>
      </x:c>
      <x:c r="E101" s="89" t="n">
        <x:v>1173.664</x:v>
      </x:c>
      <x:c r="F101" s="89" t="n">
        <x:v>1187.068</x:v>
      </x:c>
      <x:c r="G101" s="89" t="n">
        <x:f>IF(OR(E101="",F101=""),"",F101-E101)</x:f>
        <x:v>13.403999999999996</x:v>
      </x:c>
      <x:c r="H101" s="89" t="n">
        <x:v>5</x:v>
      </x:c>
      <x:c r="I101" s="89" t="n">
        <x:v>70</x:v>
      </x:c>
      <x:c r="J101" s="99" t="str">
        <x:f>IF(G101="","경계 누락",IF(AND(G101&gt;=H101,G101&lt;=I101),"시간 적합","시간 확인 필요"))</x:f>
        <x:v>시간 적합</x:v>
      </x:c>
      <x:c r="K101" s="88" t="str">
        <x:v>PPT 1분 미만</x:v>
      </x:c>
      <x:c r="L101" s="88" t="str">
        <x:v>$2 최종 선택</x:v>
      </x:c>
    </x:row>
    <x:row r="102">
      <x:c r="A102" s="88" t="n">
        <x:v>11</x:v>
      </x:c>
      <x:c r="B102" s="88" t="str">
        <x:v>S11_SJE</x:v>
      </x:c>
      <x:c r="C102" s="88" t="n">
        <x:v>1</x:v>
      </x:c>
      <x:c r="D102" s="88" t="str">
        <x:v>1번 호흡</x:v>
      </x:c>
      <x:c r="E102" s="89" t="n">
        <x:v>15.264000000000037</x:v>
      </x:c>
      <x:c r="F102" s="89" t="n">
        <x:v>207.4813333333334</x:v>
      </x:c>
      <x:c r="G102" s="89" t="n">
        <x:f>IF(OR(E102="",F102=""),"",F102-E102)</x:f>
        <x:v>192.21733333333336</x:v>
      </x:c>
      <x:c r="H102" s="89" t="n">
        <x:v>150</x:v>
      </x:c>
      <x:c r="I102" s="89" t="n">
        <x:v>240</x:v>
      </x:c>
      <x:c r="J102" s="99" t="str">
        <x:f>IF(G102="","경계 누락",IF(AND(G102&gt;=H102,G102&lt;=I102),"시간 적합","시간 확인 필요"))</x:f>
        <x:v>시간 적합</x:v>
      </x:c>
      <x:c r="K102" s="88" t="str">
        <x:v>PPT 3분</x:v>
      </x:c>
      <x:c r="L102" s="88" t="str">
        <x:v>시간패턴 추천(미확정)</x:v>
      </x:c>
    </x:row>
    <x:row r="103">
      <x:c r="A103" s="88" t="n">
        <x:v>11</x:v>
      </x:c>
      <x:c r="B103" s="88" t="str">
        <x:v>S11_SJE</x:v>
      </x:c>
      <x:c r="C103" s="88" t="n">
        <x:v>2</x:v>
      </x:c>
      <x:c r="D103" s="88" t="str">
        <x:v>2번 호흡</x:v>
      </x:c>
      <x:c r="E103" s="89" t="n">
        <x:v>260.616</x:v>
      </x:c>
      <x:c r="F103" s="89" t="n">
        <x:v>635.6160000000001</x:v>
      </x:c>
      <x:c r="G103" s="89" t="n">
        <x:f>IF(OR(E103="",F103=""),"",F103-E103)</x:f>
        <x:v>375.0000000000001</x:v>
      </x:c>
      <x:c r="H103" s="89" t="n">
        <x:v>240</x:v>
      </x:c>
      <x:c r="I103" s="89" t="n">
        <x:v>450</x:v>
      </x:c>
      <x:c r="J103" s="99" t="str">
        <x:f>IF(G103="","경계 누락",IF(AND(G103&gt;=H103,G103&lt;=I103),"시간 적합","시간 확인 필요"))</x:f>
        <x:v>시간 적합</x:v>
      </x:c>
      <x:c r="K103" s="88" t="str">
        <x:v>PPT 표기 4분30초 / 세부 합계 약 6분</x:v>
      </x:c>
      <x:c r="L103" s="88" t="str">
        <x:v>시간패턴 추천(미확정)</x:v>
      </x:c>
    </x:row>
    <x:row r="104">
      <x:c r="A104" s="88" t="n">
        <x:v>11</x:v>
      </x:c>
      <x:c r="B104" s="88" t="str">
        <x:v>S11_SJE</x:v>
      </x:c>
      <x:c r="C104" s="88" t="n">
        <x:v>3</x:v>
      </x:c>
      <x:c r="D104" s="88" t="str">
        <x:v>3번 픽업-1</x:v>
      </x:c>
      <x:c r="E104" s="89" t="n">
        <x:v>759.2120000000001</x:v>
      </x:c>
      <x:c r="F104" s="89" t="n">
        <x:v>771.8960000000001</x:v>
      </x:c>
      <x:c r="G104" s="89" t="n">
        <x:f>IF(OR(E104="",F104=""),"",F104-E104)</x:f>
        <x:v>12.683999999999969</x:v>
      </x:c>
      <x:c r="H104" s="89" t="n">
        <x:v>5</x:v>
      </x:c>
      <x:c r="I104" s="89" t="n">
        <x:v>90</x:v>
      </x:c>
      <x:c r="J104" s="99" t="str">
        <x:f>IF(G104="","경계 누락",IF(AND(G104&gt;=H104,G104&lt;=I104),"시간 적합","시간 확인 필요"))</x:f>
        <x:v>시간 적합</x:v>
      </x:c>
      <x:c r="K104" s="88" t="str">
        <x:v>총시간 미기재</x:v>
      </x:c>
      <x:c r="L104" s="88" t="str">
        <x:v>시간패턴 추천(미확정)</x:v>
      </x:c>
    </x:row>
    <x:row r="105">
      <x:c r="A105" s="88" t="n">
        <x:v>11</x:v>
      </x:c>
      <x:c r="B105" s="88" t="str">
        <x:v>S11_SJE</x:v>
      </x:c>
      <x:c r="C105" s="88" t="n">
        <x:v>4</x:v>
      </x:c>
      <x:c r="D105" s="88" t="str">
        <x:v>3번 픽업-2</x:v>
      </x:c>
      <x:c r="E105" s="89" t="n">
        <x:v>791.696</x:v>
      </x:c>
      <x:c r="F105" s="89" t="n">
        <x:v>802.0680000000001</x:v>
      </x:c>
      <x:c r="G105" s="89" t="n">
        <x:f>IF(OR(E105="",F105=""),"",F105-E105)</x:f>
        <x:v>10.372000000000071</x:v>
      </x:c>
      <x:c r="H105" s="89" t="n">
        <x:v>5</x:v>
      </x:c>
      <x:c r="I105" s="89" t="n">
        <x:v>90</x:v>
      </x:c>
      <x:c r="J105" s="99" t="str">
        <x:f>IF(G105="","경계 누락",IF(AND(G105&gt;=H105,G105&lt;=I105),"시간 적합","시간 확인 필요"))</x:f>
        <x:v>시간 적합</x:v>
      </x:c>
      <x:c r="K105" s="88" t="str">
        <x:v>총시간 미기재</x:v>
      </x:c>
      <x:c r="L105" s="88" t="str">
        <x:v>시간패턴 추천(미확정)</x:v>
      </x:c>
    </x:row>
    <x:row r="106">
      <x:c r="A106" s="88" t="n">
        <x:v>11</x:v>
      </x:c>
      <x:c r="B106" s="88" t="str">
        <x:v>S11_SJE</x:v>
      </x:c>
      <x:c r="C106" s="88" t="n">
        <x:v>5</x:v>
      </x:c>
      <x:c r="D106" s="88" t="str">
        <x:v>4번 낙상-즉시</x:v>
      </x:c>
      <x:c r="E106" s="89" t="n">
        <x:v>894.912</x:v>
      </x:c>
      <x:c r="F106" s="89" t="n">
        <x:v>903.9720000000001</x:v>
      </x:c>
      <x:c r="G106" s="89" t="n">
        <x:f>IF(OR(E106="",F106=""),"",F106-E106)</x:f>
        <x:v>9.06000000000006</x:v>
      </x:c>
      <x:c r="H106" s="89" t="n">
        <x:v>5</x:v>
      </x:c>
      <x:c r="I106" s="89" t="n">
        <x:v>30</x:v>
      </x:c>
      <x:c r="J106" s="99" t="str">
        <x:f>IF(G106="","경계 누락",IF(AND(G106&gt;=H106,G106&lt;=I106),"시간 적합","시간 확인 필요"))</x:f>
        <x:v>시간 적합</x:v>
      </x:c>
      <x:c r="K106" s="88" t="str">
        <x:v>즥시 일어나기</x:v>
      </x:c>
      <x:c r="L106" s="88" t="str">
        <x:v>시간패턴 추천(미확정)</x:v>
      </x:c>
    </x:row>
    <x:row r="107">
      <x:c r="A107" s="88" t="n">
        <x:v>11</x:v>
      </x:c>
      <x:c r="B107" s="88" t="str">
        <x:v>S11_SJE</x:v>
      </x:c>
      <x:c r="C107" s="88" t="n">
        <x:v>6</x:v>
      </x:c>
      <x:c r="D107" s="88" t="str">
        <x:v>4번 낙상-30초 유지</x:v>
      </x:c>
      <x:c r="E107" s="89" t="n">
        <x:v>909.368</x:v>
      </x:c>
      <x:c r="F107" s="89" t="n">
        <x:v>914.0920000000001</x:v>
      </x:c>
      <x:c r="G107" s="89" t="n">
        <x:f>IF(OR(E107="",F107=""),"",F107-E107)</x:f>
        <x:v>4.724000000000046</x:v>
      </x:c>
      <x:c r="H107" s="89" t="n">
        <x:v>25</x:v>
      </x:c>
      <x:c r="I107" s="89" t="n">
        <x:v>75</x:v>
      </x:c>
      <x:c r="J107" s="98" t="str">
        <x:f>IF(G107="","경계 누락",IF(AND(G107&gt;=H107,G107&lt;=I107),"시간 적합","시간 확인 필요"))</x:f>
        <x:v>시간 확인 필요</x:v>
      </x:c>
      <x:c r="K107" s="88" t="str">
        <x:v>30초 유지+이동</x:v>
      </x:c>
      <x:c r="L107" s="88" t="str">
        <x:v>시간패턴 추천(미확정)</x:v>
      </x:c>
    </x:row>
    <x:row r="108">
      <x:c r="A108" s="88" t="n">
        <x:v>11</x:v>
      </x:c>
      <x:c r="B108" s="88" t="str">
        <x:v>S11_SJE</x:v>
      </x:c>
      <x:c r="C108" s="88" t="n">
        <x:v>7</x:v>
      </x:c>
      <x:c r="D108" s="88" t="str">
        <x:v>4번 낙상-천천히</x:v>
      </x:c>
      <x:c r="E108" s="89" t="n">
        <x:v>938.5920000000001</x:v>
      </x:c>
      <x:c r="F108" s="89" t="n">
        <x:v>950.2700000000001</x:v>
      </x:c>
      <x:c r="G108" s="89" t="n">
        <x:f>IF(OR(E108="",F108=""),"",F108-E108)</x:f>
        <x:v>11.677999999999997</x:v>
      </x:c>
      <x:c r="H108" s="89" t="n">
        <x:v>25</x:v>
      </x:c>
      <x:c r="I108" s="89" t="n">
        <x:v>90</x:v>
      </x:c>
      <x:c r="J108" s="98" t="str">
        <x:f>IF(G108="","경계 누락",IF(AND(G108&gt;=H108,G108&lt;=I108),"시간 적합","시간 확인 필요"))</x:f>
        <x:v>시간 확인 필요</x:v>
      </x:c>
      <x:c r="K108" s="88" t="str">
        <x:v>천천히 눕기+30초 유지</x:v>
      </x:c>
      <x:c r="L108" s="88" t="str">
        <x:v>시간패턴 추천(미확정)</x:v>
      </x:c>
    </x:row>
    <x:row r="109">
      <x:c r="A109" s="88" t="n">
        <x:v>11</x:v>
      </x:c>
      <x:c r="B109" s="88" t="str">
        <x:v>S11_SJE</x:v>
      </x:c>
      <x:c r="C109" s="88" t="n">
        <x:v>8</x:v>
      </x:c>
      <x:c r="D109" s="88" t="str">
        <x:v>4번 물건 집기</x:v>
      </x:c>
      <x:c r="E109" s="89" t="n">
        <x:v>957.388</x:v>
      </x:c>
      <x:c r="F109" s="89" t="n">
        <x:v>1011.2160000000001</x:v>
      </x:c>
      <x:c r="G109" s="89" t="n">
        <x:f>IF(OR(E109="",F109=""),"",F109-E109)</x:f>
        <x:v>53.82800000000009</x:v>
      </x:c>
      <x:c r="H109" s="89" t="n">
        <x:v>5</x:v>
      </x:c>
      <x:c r="I109" s="89" t="n">
        <x:v>40</x:v>
      </x:c>
      <x:c r="J109" s="98" t="str">
        <x:f>IF(G109="","경계 누락",IF(AND(G109&gt;=H109,G109&lt;=I109),"시간 적합","시간 확인 필요"))</x:f>
        <x:v>시간 확인 필요</x:v>
      </x:c>
      <x:c r="K109" s="88" t="str">
        <x:v>S04부터 추가된 것으로 판단</x:v>
      </x:c>
      <x:c r="L109" s="88" t="str">
        <x:v>시간패턴 추천(미확정)</x:v>
      </x:c>
    </x:row>
    <x:row r="110">
      <x:c r="A110" s="88" t="n">
        <x:v>11</x:v>
      </x:c>
      <x:c r="B110" s="88" t="str">
        <x:v>S11_SJE</x:v>
      </x:c>
      <x:c r="C110" s="88" t="n">
        <x:v>9</x:v>
      </x:c>
      <x:c r="D110" s="88" t="str">
        <x:v>5번 코스</x:v>
      </x:c>
      <x:c r="E110" s="89" t="n">
        <x:v>1044.084</x:v>
      </x:c>
      <x:c r="F110" s="89" t="n">
        <x:v>1049.052</x:v>
      </x:c>
      <x:c r="G110" s="89" t="n">
        <x:f>IF(OR(E110="",F110=""),"",F110-E110)</x:f>
        <x:v>4.967999999999847</x:v>
      </x:c>
      <x:c r="H110" s="89" t="n">
        <x:v>130</x:v>
      </x:c>
      <x:c r="I110" s="89" t="n">
        <x:v>230</x:v>
      </x:c>
      <x:c r="J110" s="98" t="str">
        <x:f>IF(G110="","경계 누락",IF(AND(G110&gt;=H110,G110&lt;=I110),"시간 적합","시간 확인 필요"))</x:f>
        <x:v>시간 확인 필요</x:v>
      </x:c>
      <x:c r="K110" s="88" t="str">
        <x:v>16칸×10초=약 160초+이동</x:v>
      </x:c>
      <x:c r="L110" s="88" t="str">
        <x:v>시간패턴 추천(미확정)</x:v>
      </x:c>
    </x:row>
    <x:row r="111">
      <x:c r="A111" s="88" t="n">
        <x:v>11</x:v>
      </x:c>
      <x:c r="B111" s="88" t="str">
        <x:v>S11_SJE</x:v>
      </x:c>
      <x:c r="C111" s="88" t="n">
        <x:v>10</x:v>
      </x:c>
      <x:c r="D111" s="88" t="str">
        <x:v>6번 왕복</x:v>
      </x:c>
      <x:c r="E111" s="89" t="n">
        <x:v>1062.816</x:v>
      </x:c>
      <x:c r="F111" s="89" t="n">
        <x:v>1072.508</x:v>
      </x:c>
      <x:c r="G111" s="89" t="n">
        <x:f>IF(OR(E111="",F111=""),"",F111-E111)</x:f>
        <x:v>9.692000000000007</x:v>
      </x:c>
      <x:c r="H111" s="89" t="n">
        <x:v>5</x:v>
      </x:c>
      <x:c r="I111" s="89" t="n">
        <x:v>70</x:v>
      </x:c>
      <x:c r="J111" s="99" t="str">
        <x:f>IF(G111="","경계 누락",IF(AND(G111&gt;=H111,G111&lt;=I111),"시간 적합","시간 확인 필요"))</x:f>
        <x:v>시간 적합</x:v>
      </x:c>
      <x:c r="K111" s="88" t="str">
        <x:v>PPT 1분 미만</x:v>
      </x:c>
      <x:c r="L111" s="88" t="str">
        <x:v>시간패턴 추천(미확정)</x:v>
      </x:c>
    </x:row>
    <x:row r="112">
      <x:c r="A112" s="88" t="n">
        <x:v>11</x:v>
      </x:c>
      <x:c r="B112" s="88" t="str">
        <x:v>S11_SJE</x:v>
      </x:c>
      <x:c r="C112" s="88" t="n">
        <x:v>11</x:v>
      </x:c>
      <x:c r="D112" s="88" t="str">
        <x:v>7번 자유</x:v>
      </x:c>
      <x:c r="E112" s="89" t="n">
        <x:v>1158.956</x:v>
      </x:c>
      <x:c r="F112" s="89" t="n">
        <x:v>1461.282</x:v>
      </x:c>
      <x:c r="G112" s="89" t="n">
        <x:f>IF(OR(E112="",F112=""),"",F112-E112)</x:f>
        <x:v>302.326</x:v>
      </x:c>
      <x:c r="H112" s="89" t="n">
        <x:v>5</x:v>
      </x:c>
      <x:c r="I112" s="89" t="n">
        <x:v>70</x:v>
      </x:c>
      <x:c r="J112" s="98" t="str">
        <x:f>IF(G112="","경계 누락",IF(AND(G112&gt;=H112,G112&lt;=I112),"시간 적합","시간 확인 필요"))</x:f>
        <x:v>시간 확인 필요</x:v>
      </x:c>
      <x:c r="K112" s="88" t="str">
        <x:v>PPT 1분 미만</x:v>
      </x:c>
      <x:c r="L112" s="88" t="str">
        <x:v>시간패턴 추천(미확정)</x:v>
      </x:c>
    </x:row>
    <x:row r="113">
      <x:c r="A113" s="88" t="n">
        <x:v>12</x:v>
      </x:c>
      <x:c r="B113" s="88" t="str">
        <x:v>S12_KDH</x:v>
      </x:c>
      <x:c r="C113" s="88" t="n">
        <x:v>1</x:v>
      </x:c>
      <x:c r="D113" s="88" t="str">
        <x:v>1번 호흡</x:v>
      </x:c>
      <x:c r="E113" s="89" t="n">
        <x:v>24.524</x:v>
      </x:c>
      <x:c r="F113" s="89" t="n">
        <x:v>222.644</x:v>
      </x:c>
      <x:c r="G113" s="89" t="n">
        <x:f>IF(OR(E113="",F113=""),"",F113-E113)</x:f>
        <x:v>198.12</x:v>
      </x:c>
      <x:c r="H113" s="89" t="n">
        <x:v>150</x:v>
      </x:c>
      <x:c r="I113" s="89" t="n">
        <x:v>240</x:v>
      </x:c>
      <x:c r="J113" s="99" t="str">
        <x:f>IF(G113="","경계 누락",IF(AND(G113&gt;=H113,G113&lt;=I113),"시간 적합","시간 확인 필요"))</x:f>
        <x:v>시간 적합</x:v>
      </x:c>
      <x:c r="K113" s="88" t="str">
        <x:v>PPT 3분</x:v>
      </x:c>
      <x:c r="L113" s="88" t="str">
        <x:v>시간패턴 추천(미확정)</x:v>
      </x:c>
    </x:row>
    <x:row r="114">
      <x:c r="A114" s="88" t="n">
        <x:v>12</x:v>
      </x:c>
      <x:c r="B114" s="88" t="str">
        <x:v>S12_KDH</x:v>
      </x:c>
      <x:c r="C114" s="88" t="n">
        <x:v>2</x:v>
      </x:c>
      <x:c r="D114" s="88" t="str">
        <x:v>2번 호흡</x:v>
      </x:c>
      <x:c r="E114" s="89" t="n">
        <x:v>270.448</x:v>
      </x:c>
      <x:c r="F114" s="89" t="n">
        <x:v>764.472</x:v>
      </x:c>
      <x:c r="G114" s="89" t="n">
        <x:f>IF(OR(E114="",F114=""),"",F114-E114)</x:f>
        <x:v>494.024</x:v>
      </x:c>
      <x:c r="H114" s="89" t="n">
        <x:v>240</x:v>
      </x:c>
      <x:c r="I114" s="89" t="n">
        <x:v>450</x:v>
      </x:c>
      <x:c r="J114" s="98" t="str">
        <x:f>IF(G114="","경계 누락",IF(AND(G114&gt;=H114,G114&lt;=I114),"시간 적합","시간 확인 필요"))</x:f>
        <x:v>시간 확인 필요</x:v>
      </x:c>
      <x:c r="K114" s="88" t="str">
        <x:v>PPT 표기 4분30초 / 세부 합계 약 6분</x:v>
      </x:c>
      <x:c r="L114" s="88" t="str">
        <x:v>시간패턴 추천(미확정)</x:v>
      </x:c>
    </x:row>
    <x:row r="115">
      <x:c r="A115" s="88" t="n">
        <x:v>12</x:v>
      </x:c>
      <x:c r="B115" s="88" t="str">
        <x:v>S12_KDH</x:v>
      </x:c>
      <x:c r="C115" s="88" t="n">
        <x:v>3</x:v>
      </x:c>
      <x:c r="D115" s="88" t="str">
        <x:v>3번 픽업-1</x:v>
      </x:c>
      <x:c r="E115" s="89" t="n">
        <x:v>781.492</x:v>
      </x:c>
      <x:c r="F115" s="89" t="n">
        <x:v>797.544</x:v>
      </x:c>
      <x:c r="G115" s="89" t="n">
        <x:f>IF(OR(E115="",F115=""),"",F115-E115)</x:f>
        <x:v>16.05200000000002</x:v>
      </x:c>
      <x:c r="H115" s="89" t="n">
        <x:v>5</x:v>
      </x:c>
      <x:c r="I115" s="89" t="n">
        <x:v>90</x:v>
      </x:c>
      <x:c r="J115" s="99" t="str">
        <x:f>IF(G115="","경계 누락",IF(AND(G115&gt;=H115,G115&lt;=I115),"시간 적합","시간 확인 필요"))</x:f>
        <x:v>시간 적합</x:v>
      </x:c>
      <x:c r="K115" s="88" t="str">
        <x:v>총시간 미기재</x:v>
      </x:c>
      <x:c r="L115" s="88" t="str">
        <x:v>시간패턴 추천(미확정)</x:v>
      </x:c>
    </x:row>
    <x:row r="116">
      <x:c r="A116" s="88" t="n">
        <x:v>12</x:v>
      </x:c>
      <x:c r="B116" s="88" t="str">
        <x:v>S12_KDH</x:v>
      </x:c>
      <x:c r="C116" s="88" t="n">
        <x:v>4</x:v>
      </x:c>
      <x:c r="D116" s="88" t="str">
        <x:v>3번 픽업-2</x:v>
      </x:c>
      <x:c r="E116" s="89" t="n">
        <x:v>806.852</x:v>
      </x:c>
      <x:c r="F116" s="89" t="n">
        <x:v>812.872</x:v>
      </x:c>
      <x:c r="G116" s="89" t="n">
        <x:f>IF(OR(E116="",F116=""),"",F116-E116)</x:f>
        <x:v>6.019999999999982</x:v>
      </x:c>
      <x:c r="H116" s="89" t="n">
        <x:v>5</x:v>
      </x:c>
      <x:c r="I116" s="89" t="n">
        <x:v>90</x:v>
      </x:c>
      <x:c r="J116" s="99" t="str">
        <x:f>IF(G116="","경계 누락",IF(AND(G116&gt;=H116,G116&lt;=I116),"시간 적합","시간 확인 필요"))</x:f>
        <x:v>시간 적합</x:v>
      </x:c>
      <x:c r="K116" s="88" t="str">
        <x:v>총시간 미기재</x:v>
      </x:c>
      <x:c r="L116" s="88" t="str">
        <x:v>시간패턴 추천(미확정)</x:v>
      </x:c>
    </x:row>
    <x:row r="117">
      <x:c r="A117" s="88" t="n">
        <x:v>12</x:v>
      </x:c>
      <x:c r="B117" s="88" t="str">
        <x:v>S12_KDH</x:v>
      </x:c>
      <x:c r="C117" s="88" t="n">
        <x:v>5</x:v>
      </x:c>
      <x:c r="D117" s="88" t="str">
        <x:v>4번 낙상-즉시</x:v>
      </x:c>
      <x:c r="E117" s="89" t="n">
        <x:v>936.484</x:v>
      </x:c>
      <x:c r="F117" s="89" t="n">
        <x:v>941.544</x:v>
      </x:c>
      <x:c r="G117" s="89" t="n">
        <x:f>IF(OR(E117="",F117=""),"",F117-E117)</x:f>
        <x:v>5.059999999999945</x:v>
      </x:c>
      <x:c r="H117" s="89" t="n">
        <x:v>5</x:v>
      </x:c>
      <x:c r="I117" s="89" t="n">
        <x:v>30</x:v>
      </x:c>
      <x:c r="J117" s="99" t="str">
        <x:f>IF(G117="","경계 누락",IF(AND(G117&gt;=H117,G117&lt;=I117),"시간 적합","시간 확인 필요"))</x:f>
        <x:v>시간 적합</x:v>
      </x:c>
      <x:c r="K117" s="88" t="str">
        <x:v>즥시 일어나기</x:v>
      </x:c>
      <x:c r="L117" s="88" t="str">
        <x:v>시간패턴 추천(미확정)</x:v>
      </x:c>
    </x:row>
    <x:row r="118">
      <x:c r="A118" s="88" t="n">
        <x:v>12</x:v>
      </x:c>
      <x:c r="B118" s="88" t="str">
        <x:v>S12_KDH</x:v>
      </x:c>
      <x:c r="C118" s="88" t="n">
        <x:v>6</x:v>
      </x:c>
      <x:c r="D118" s="88" t="str">
        <x:v>4번 낙상-30초 유지</x:v>
      </x:c>
      <x:c r="E118" s="89" t="n">
        <x:v>946.644</x:v>
      </x:c>
      <x:c r="F118" s="89" t="n">
        <x:v>965.288</x:v>
      </x:c>
      <x:c r="G118" s="89" t="n">
        <x:f>IF(OR(E118="",F118=""),"",F118-E118)</x:f>
        <x:v>18.644000000000005</x:v>
      </x:c>
      <x:c r="H118" s="89" t="n">
        <x:v>25</x:v>
      </x:c>
      <x:c r="I118" s="89" t="n">
        <x:v>75</x:v>
      </x:c>
      <x:c r="J118" s="98" t="str">
        <x:f>IF(G118="","경계 누락",IF(AND(G118&gt;=H118,G118&lt;=I118),"시간 적합","시간 확인 필요"))</x:f>
        <x:v>시간 확인 필요</x:v>
      </x:c>
      <x:c r="K118" s="88" t="str">
        <x:v>30초 유지+이동</x:v>
      </x:c>
      <x:c r="L118" s="88" t="str">
        <x:v>시간패턴 추천(미확정)</x:v>
      </x:c>
    </x:row>
    <x:row r="119">
      <x:c r="A119" s="88" t="n">
        <x:v>12</x:v>
      </x:c>
      <x:c r="B119" s="88" t="str">
        <x:v>S12_KDH</x:v>
      </x:c>
      <x:c r="C119" s="88" t="n">
        <x:v>7</x:v>
      </x:c>
      <x:c r="D119" s="88" t="str">
        <x:v>4번 낙상-천천히</x:v>
      </x:c>
      <x:c r="E119" s="89" t="n">
        <x:v>973.068</x:v>
      </x:c>
      <x:c r="F119" s="89" t="n">
        <x:v>1010.792</x:v>
      </x:c>
      <x:c r="G119" s="89" t="n">
        <x:f>IF(OR(E119="",F119=""),"",F119-E119)</x:f>
        <x:v>37.724000000000046</x:v>
      </x:c>
      <x:c r="H119" s="89" t="n">
        <x:v>25</x:v>
      </x:c>
      <x:c r="I119" s="89" t="n">
        <x:v>90</x:v>
      </x:c>
      <x:c r="J119" s="99" t="str">
        <x:f>IF(G119="","경계 누락",IF(AND(G119&gt;=H119,G119&lt;=I119),"시간 적합","시간 확인 필요"))</x:f>
        <x:v>시간 적합</x:v>
      </x:c>
      <x:c r="K119" s="88" t="str">
        <x:v>천천히 눕기+30초 유지</x:v>
      </x:c>
      <x:c r="L119" s="88" t="str">
        <x:v>시간패턴 추천(미확정)</x:v>
      </x:c>
    </x:row>
    <x:row r="120">
      <x:c r="A120" s="88" t="n">
        <x:v>12</x:v>
      </x:c>
      <x:c r="B120" s="88" t="str">
        <x:v>S12_KDH</x:v>
      </x:c>
      <x:c r="C120" s="88" t="n">
        <x:v>8</x:v>
      </x:c>
      <x:c r="D120" s="88" t="str">
        <x:v>4번 물건 집기</x:v>
      </x:c>
      <x:c r="E120" s="89" t="n">
        <x:v>1024.304</x:v>
      </x:c>
      <x:c r="F120" s="89" t="n">
        <x:v>1033</x:v>
      </x:c>
      <x:c r="G120" s="89" t="n">
        <x:f>IF(OR(E120="",F120=""),"",F120-E120)</x:f>
        <x:v>8.695999999999913</x:v>
      </x:c>
      <x:c r="H120" s="89" t="n">
        <x:v>5</x:v>
      </x:c>
      <x:c r="I120" s="89" t="n">
        <x:v>40</x:v>
      </x:c>
      <x:c r="J120" s="99" t="str">
        <x:f>IF(G120="","경계 누락",IF(AND(G120&gt;=H120,G120&lt;=I120),"시간 적합","시간 확인 필요"))</x:f>
        <x:v>시간 적합</x:v>
      </x:c>
      <x:c r="K120" s="88" t="str">
        <x:v>S04부터 추가된 것으로 판단</x:v>
      </x:c>
      <x:c r="L120" s="88" t="str">
        <x:v>시간패턴 추천(미확정)</x:v>
      </x:c>
    </x:row>
    <x:row r="121">
      <x:c r="A121" s="88" t="n">
        <x:v>12</x:v>
      </x:c>
      <x:c r="B121" s="88" t="str">
        <x:v>S12_KDH</x:v>
      </x:c>
      <x:c r="C121" s="88" t="n">
        <x:v>9</x:v>
      </x:c>
      <x:c r="D121" s="88" t="str">
        <x:v>5번 코스</x:v>
      </x:c>
      <x:c r="E121" s="89" t="n">
        <x:v>1089.332</x:v>
      </x:c>
      <x:c r="F121" s="89" t="n">
        <x:v>1358.624</x:v>
      </x:c>
      <x:c r="G121" s="89" t="n">
        <x:f>IF(OR(E121="",F121=""),"",F121-E121)</x:f>
        <x:v>269.2919999999999</x:v>
      </x:c>
      <x:c r="H121" s="89" t="n">
        <x:v>130</x:v>
      </x:c>
      <x:c r="I121" s="89" t="n">
        <x:v>230</x:v>
      </x:c>
      <x:c r="J121" s="98" t="str">
        <x:f>IF(G121="","경계 누락",IF(AND(G121&gt;=H121,G121&lt;=I121),"시간 적합","시간 확인 필요"))</x:f>
        <x:v>시간 확인 필요</x:v>
      </x:c>
      <x:c r="K121" s="88" t="str">
        <x:v>16칸×10초=약 160초+이동</x:v>
      </x:c>
      <x:c r="L121" s="88" t="str">
        <x:v>시간패턴 추천(미확정)</x:v>
      </x:c>
    </x:row>
    <x:row r="122">
      <x:c r="A122" s="88" t="n">
        <x:v>12</x:v>
      </x:c>
      <x:c r="B122" s="88" t="str">
        <x:v>S12_KDH</x:v>
      </x:c>
      <x:c r="C122" s="88" t="n">
        <x:v>10</x:v>
      </x:c>
      <x:c r="D122" s="88" t="str">
        <x:v>6번 왕복</x:v>
      </x:c>
      <x:c r="E122" s="89" t="n">
        <x:v>1416.58</x:v>
      </x:c>
      <x:c r="F122" s="89" t="n">
        <x:v>1446.1</x:v>
      </x:c>
      <x:c r="G122" s="89" t="n">
        <x:f>IF(OR(E122="",F122=""),"",F122-E122)</x:f>
        <x:v>29.519999999999982</x:v>
      </x:c>
      <x:c r="H122" s="89" t="n">
        <x:v>5</x:v>
      </x:c>
      <x:c r="I122" s="89" t="n">
        <x:v>70</x:v>
      </x:c>
      <x:c r="J122" s="99" t="str">
        <x:f>IF(G122="","경계 누락",IF(AND(G122&gt;=H122,G122&lt;=I122),"시간 적합","시간 확인 필요"))</x:f>
        <x:v>시간 적합</x:v>
      </x:c>
      <x:c r="K122" s="88" t="str">
        <x:v>PPT 1분 미만</x:v>
      </x:c>
      <x:c r="L122" s="88" t="str">
        <x:v>시간패턴 추천(미확정)</x:v>
      </x:c>
    </x:row>
    <x:row r="123">
      <x:c r="A123" s="88" t="n">
        <x:v>12</x:v>
      </x:c>
      <x:c r="B123" s="88" t="str">
        <x:v>S12_KDH</x:v>
      </x:c>
      <x:c r="C123" s="88" t="n">
        <x:v>11</x:v>
      </x:c>
      <x:c r="D123" s="88" t="str">
        <x:v>7번 자유</x:v>
      </x:c>
      <x:c r="E123" s="89" t="n">
        <x:v>1488.404</x:v>
      </x:c>
      <x:c r="F123" s="89" t="n">
        <x:v>1498.612</x:v>
      </x:c>
      <x:c r="G123" s="89" t="n">
        <x:f>IF(OR(E123="",F123=""),"",F123-E123)</x:f>
        <x:v>10.208000000000084</x:v>
      </x:c>
      <x:c r="H123" s="89" t="n">
        <x:v>5</x:v>
      </x:c>
      <x:c r="I123" s="89" t="n">
        <x:v>70</x:v>
      </x:c>
      <x:c r="J123" s="99" t="str">
        <x:f>IF(G123="","경계 누락",IF(AND(G123&gt;=H123,G123&lt;=I123),"시간 적합","시간 확인 필요"))</x:f>
        <x:v>시간 적합</x:v>
      </x:c>
      <x:c r="K123" s="88" t="str">
        <x:v>PPT 1분 미만</x:v>
      </x:c>
      <x:c r="L123" s="88" t="str">
        <x:v>시간패턴 추천(미확정)</x:v>
      </x:c>
    </x:row>
    <x:row r="124">
      <x:c r="A124" s="88" t="n">
        <x:v>13</x:v>
      </x:c>
      <x:c r="B124" s="88" t="str">
        <x:v>S13_KTW</x:v>
      </x:c>
      <x:c r="C124" s="88" t="n">
        <x:v>1</x:v>
      </x:c>
      <x:c r="D124" s="88" t="str">
        <x:v>1번 호흡</x:v>
      </x:c>
      <x:c r="E124" s="89" t="n">
        <x:v>11.5</x:v>
      </x:c>
      <x:c r="F124" s="89" t="n">
        <x:v>205.2</x:v>
      </x:c>
      <x:c r="G124" s="89" t="n">
        <x:f>IF(OR(E124="",F124=""),"",F124-E124)</x:f>
        <x:v>193.7</x:v>
      </x:c>
      <x:c r="H124" s="89" t="n">
        <x:v>150</x:v>
      </x:c>
      <x:c r="I124" s="89" t="n">
        <x:v>240</x:v>
      </x:c>
      <x:c r="J124" s="99" t="str">
        <x:f>IF(G124="","경계 누락",IF(AND(G124&gt;=H124,G124&lt;=I124),"시간 적합","시간 확인 필요"))</x:f>
        <x:v>시간 적합</x:v>
      </x:c>
      <x:c r="K124" s="88" t="str">
        <x:v>PPT 3분</x:v>
      </x:c>
      <x:c r="L124" s="88" t="str">
        <x:v>$2 최종 선택</x:v>
      </x:c>
    </x:row>
    <x:row r="125">
      <x:c r="A125" s="88" t="n">
        <x:v>13</x:v>
      </x:c>
      <x:c r="B125" s="88" t="str">
        <x:v>S13_KTW</x:v>
      </x:c>
      <x:c r="C125" s="88" t="n">
        <x:v>2</x:v>
      </x:c>
      <x:c r="D125" s="88" t="str">
        <x:v>2번 호흡</x:v>
      </x:c>
      <x:c r="E125" s="89" t="n">
        <x:v>228.3</x:v>
      </x:c>
      <x:c r="F125" s="89" t="n">
        <x:v>597.4</x:v>
      </x:c>
      <x:c r="G125" s="89" t="n">
        <x:f>IF(OR(E125="",F125=""),"",F125-E125)</x:f>
        <x:v>369.09999999999997</x:v>
      </x:c>
      <x:c r="H125" s="89" t="n">
        <x:v>240</x:v>
      </x:c>
      <x:c r="I125" s="89" t="n">
        <x:v>450</x:v>
      </x:c>
      <x:c r="J125" s="99" t="str">
        <x:f>IF(G125="","경계 누락",IF(AND(G125&gt;=H125,G125&lt;=I125),"시간 적합","시간 확인 필요"))</x:f>
        <x:v>시간 적합</x:v>
      </x:c>
      <x:c r="K125" s="88" t="str">
        <x:v>PPT 표기 4분30초 / 세부 합계 약 6분</x:v>
      </x:c>
      <x:c r="L125" s="88" t="str">
        <x:v>$2 최종 선택</x:v>
      </x:c>
    </x:row>
    <x:row r="126">
      <x:c r="A126" s="88" t="n">
        <x:v>13</x:v>
      </x:c>
      <x:c r="B126" s="88" t="str">
        <x:v>S13_KTW</x:v>
      </x:c>
      <x:c r="C126" s="88" t="n">
        <x:v>3</x:v>
      </x:c>
      <x:c r="D126" s="88" t="str">
        <x:v>3번 픽업-1</x:v>
      </x:c>
      <x:c r="E126" s="89" t="n">
        <x:v>643.4</x:v>
      </x:c>
      <x:c r="F126" s="89" t="n">
        <x:v>656.8</x:v>
      </x:c>
      <x:c r="G126" s="89" t="n">
        <x:f>IF(OR(E126="",F126=""),"",F126-E126)</x:f>
        <x:v>13.399999999999977</x:v>
      </x:c>
      <x:c r="H126" s="89" t="n">
        <x:v>5</x:v>
      </x:c>
      <x:c r="I126" s="89" t="n">
        <x:v>90</x:v>
      </x:c>
      <x:c r="J126" s="99" t="str">
        <x:f>IF(G126="","경계 누락",IF(AND(G126&gt;=H126,G126&lt;=I126),"시간 적합","시간 확인 필요"))</x:f>
        <x:v>시간 적합</x:v>
      </x:c>
      <x:c r="K126" s="88" t="str">
        <x:v>총시간 미기재</x:v>
      </x:c>
      <x:c r="L126" s="88" t="str">
        <x:v>$2 최종 선택</x:v>
      </x:c>
    </x:row>
    <x:row r="127">
      <x:c r="A127" s="88" t="n">
        <x:v>13</x:v>
      </x:c>
      <x:c r="B127" s="88" t="str">
        <x:v>S13_KTW</x:v>
      </x:c>
      <x:c r="C127" s="88" t="n">
        <x:v>4</x:v>
      </x:c>
      <x:c r="D127" s="88" t="str">
        <x:v>3번 픽업-2</x:v>
      </x:c>
      <x:c r="E127" s="89" t="n">
        <x:v>675.5</x:v>
      </x:c>
      <x:c r="F127" s="89" t="n">
        <x:v>684.9</x:v>
      </x:c>
      <x:c r="G127" s="89" t="n">
        <x:f>IF(OR(E127="",F127=""),"",F127-E127)</x:f>
        <x:v>9.399999999999977</x:v>
      </x:c>
      <x:c r="H127" s="89" t="n">
        <x:v>5</x:v>
      </x:c>
      <x:c r="I127" s="89" t="n">
        <x:v>90</x:v>
      </x:c>
      <x:c r="J127" s="99" t="str">
        <x:f>IF(G127="","경계 누락",IF(AND(G127&gt;=H127,G127&lt;=I127),"시간 적합","시간 확인 필요"))</x:f>
        <x:v>시간 적합</x:v>
      </x:c>
      <x:c r="K127" s="88" t="str">
        <x:v>총시간 미기재</x:v>
      </x:c>
      <x:c r="L127" s="88" t="str">
        <x:v>$2 최종 선택</x:v>
      </x:c>
    </x:row>
    <x:row r="128">
      <x:c r="A128" s="88" t="n">
        <x:v>13</x:v>
      </x:c>
      <x:c r="B128" s="88" t="str">
        <x:v>S13_KTW</x:v>
      </x:c>
      <x:c r="C128" s="88" t="n">
        <x:v>5</x:v>
      </x:c>
      <x:c r="D128" s="88" t="str">
        <x:v>4번 낙상-즉시</x:v>
      </x:c>
      <x:c r="E128" s="89" t="n">
        <x:v>699.2</x:v>
      </x:c>
      <x:c r="F128" s="89" t="n">
        <x:v>743</x:v>
      </x:c>
      <x:c r="G128" s="89" t="n">
        <x:f>IF(OR(E128="",F128=""),"",F128-E128)</x:f>
        <x:v>43.799999999999955</x:v>
      </x:c>
      <x:c r="H128" s="89" t="n">
        <x:v>5</x:v>
      </x:c>
      <x:c r="I128" s="89" t="n">
        <x:v>30</x:v>
      </x:c>
      <x:c r="J128" s="98" t="str">
        <x:f>IF(G128="","경계 누락",IF(AND(G128&gt;=H128,G128&lt;=I128),"시간 적합","시간 확인 필요"))</x:f>
        <x:v>시간 확인 필요</x:v>
      </x:c>
      <x:c r="K128" s="88" t="str">
        <x:v>즥시 일어나기</x:v>
      </x:c>
      <x:c r="L128" s="88" t="str">
        <x:v>$2 최종 선택</x:v>
      </x:c>
    </x:row>
    <x:row r="129">
      <x:c r="A129" s="88" t="n">
        <x:v>13</x:v>
      </x:c>
      <x:c r="B129" s="88" t="str">
        <x:v>S13_KTW</x:v>
      </x:c>
      <x:c r="C129" s="88" t="n">
        <x:v>6</x:v>
      </x:c>
      <x:c r="D129" s="88" t="str">
        <x:v>4번 낙상-30초 유지</x:v>
      </x:c>
      <x:c r="E129" s="89" t="n">
        <x:v>757.9</x:v>
      </x:c>
      <x:c r="F129" s="89" t="n">
        <x:v>795.8</x:v>
      </x:c>
      <x:c r="G129" s="89" t="n">
        <x:f>IF(OR(E129="",F129=""),"",F129-E129)</x:f>
        <x:v>37.89999999999998</x:v>
      </x:c>
      <x:c r="H129" s="89" t="n">
        <x:v>25</x:v>
      </x:c>
      <x:c r="I129" s="89" t="n">
        <x:v>75</x:v>
      </x:c>
      <x:c r="J129" s="99" t="str">
        <x:f>IF(G129="","경계 누락",IF(AND(G129&gt;=H129,G129&lt;=I129),"시간 적합","시간 확인 필요"))</x:f>
        <x:v>시간 적합</x:v>
      </x:c>
      <x:c r="K129" s="88" t="str">
        <x:v>30초 유지+이동</x:v>
      </x:c>
      <x:c r="L129" s="88" t="str">
        <x:v>$2 최종 선택</x:v>
      </x:c>
    </x:row>
    <x:row r="130">
      <x:c r="A130" s="88" t="n">
        <x:v>13</x:v>
      </x:c>
      <x:c r="B130" s="88" t="str">
        <x:v>S13_KTW</x:v>
      </x:c>
      <x:c r="C130" s="88" t="n">
        <x:v>7</x:v>
      </x:c>
      <x:c r="D130" s="88" t="str">
        <x:v>4번 낙상-천천히</x:v>
      </x:c>
      <x:c r="E130" s="89" t="n">
        <x:v>813.2</x:v>
      </x:c>
      <x:c r="F130" s="89" t="n">
        <x:v>864.7</x:v>
      </x:c>
      <x:c r="G130" s="89" t="n">
        <x:f>IF(OR(E130="",F130=""),"",F130-E130)</x:f>
        <x:v>51.5</x:v>
      </x:c>
      <x:c r="H130" s="89" t="n">
        <x:v>25</x:v>
      </x:c>
      <x:c r="I130" s="89" t="n">
        <x:v>90</x:v>
      </x:c>
      <x:c r="J130" s="99" t="str">
        <x:f>IF(G130="","경계 누락",IF(AND(G130&gt;=H130,G130&lt;=I130),"시간 적합","시간 확인 필요"))</x:f>
        <x:v>시간 적합</x:v>
      </x:c>
      <x:c r="K130" s="88" t="str">
        <x:v>천천히 눕기+30초 유지</x:v>
      </x:c>
      <x:c r="L130" s="88" t="str">
        <x:v>$2 최종 선택</x:v>
      </x:c>
    </x:row>
    <x:row r="131">
      <x:c r="A131" s="88" t="n">
        <x:v>13</x:v>
      </x:c>
      <x:c r="B131" s="88" t="str">
        <x:v>S13_KTW</x:v>
      </x:c>
      <x:c r="C131" s="88" t="n">
        <x:v>8</x:v>
      </x:c>
      <x:c r="D131" s="88" t="str">
        <x:v>4번 물건 집기</x:v>
      </x:c>
      <x:c r="E131" s="89" t="n">
        <x:v>874.3</x:v>
      </x:c>
      <x:c r="F131" s="89" t="n">
        <x:v>886.4</x:v>
      </x:c>
      <x:c r="G131" s="89" t="n">
        <x:f>IF(OR(E131="",F131=""),"",F131-E131)</x:f>
        <x:v>12.100000000000023</x:v>
      </x:c>
      <x:c r="H131" s="89" t="n">
        <x:v>5</x:v>
      </x:c>
      <x:c r="I131" s="89" t="n">
        <x:v>40</x:v>
      </x:c>
      <x:c r="J131" s="99" t="str">
        <x:f>IF(G131="","경계 누락",IF(AND(G131&gt;=H131,G131&lt;=I131),"시간 적합","시간 확인 필요"))</x:f>
        <x:v>시간 적합</x:v>
      </x:c>
      <x:c r="K131" s="88" t="str">
        <x:v>S04부터 추가된 것으로 판단</x:v>
      </x:c>
      <x:c r="L131" s="88" t="str">
        <x:v>$2 최종 선택</x:v>
      </x:c>
    </x:row>
    <x:row r="132">
      <x:c r="A132" s="88" t="n">
        <x:v>13</x:v>
      </x:c>
      <x:c r="B132" s="88" t="str">
        <x:v>S13_KTW</x:v>
      </x:c>
      <x:c r="C132" s="88" t="n">
        <x:v>9</x:v>
      </x:c>
      <x:c r="D132" s="88" t="str">
        <x:v>5번 코스</x:v>
      </x:c>
      <x:c r="E132" s="89" t="n">
        <x:v>920.5</x:v>
      </x:c>
      <x:c r="F132" s="89" t="n">
        <x:v>1109.9</x:v>
      </x:c>
      <x:c r="G132" s="89" t="n">
        <x:f>IF(OR(E132="",F132=""),"",F132-E132)</x:f>
        <x:v>189.4000000000001</x:v>
      </x:c>
      <x:c r="H132" s="89" t="n">
        <x:v>130</x:v>
      </x:c>
      <x:c r="I132" s="89" t="n">
        <x:v>230</x:v>
      </x:c>
      <x:c r="J132" s="99" t="str">
        <x:f>IF(G132="","경계 누락",IF(AND(G132&gt;=H132,G132&lt;=I132),"시간 적합","시간 확인 필요"))</x:f>
        <x:v>시간 적합</x:v>
      </x:c>
      <x:c r="K132" s="88" t="str">
        <x:v>16칸×10초=약 160초+이동</x:v>
      </x:c>
      <x:c r="L132" s="88" t="str">
        <x:v>$2 최종 선택</x:v>
      </x:c>
    </x:row>
    <x:row r="133">
      <x:c r="A133" s="88" t="n">
        <x:v>13</x:v>
      </x:c>
      <x:c r="B133" s="88" t="str">
        <x:v>S13_KTW</x:v>
      </x:c>
      <x:c r="C133" s="88" t="n">
        <x:v>10</x:v>
      </x:c>
      <x:c r="D133" s="88" t="str">
        <x:v>6번 왕복</x:v>
      </x:c>
      <x:c r="E133" s="89" t="n">
        <x:v>1129.3</x:v>
      </x:c>
      <x:c r="F133" s="89" t="n">
        <x:v>1153.3</x:v>
      </x:c>
      <x:c r="G133" s="89" t="n">
        <x:f>IF(OR(E133="",F133=""),"",F133-E133)</x:f>
        <x:v>24</x:v>
      </x:c>
      <x:c r="H133" s="89" t="n">
        <x:v>5</x:v>
      </x:c>
      <x:c r="I133" s="89" t="n">
        <x:v>70</x:v>
      </x:c>
      <x:c r="J133" s="99" t="str">
        <x:f>IF(G133="","경계 누락",IF(AND(G133&gt;=H133,G133&lt;=I133),"시간 적합","시간 확인 필요"))</x:f>
        <x:v>시간 적합</x:v>
      </x:c>
      <x:c r="K133" s="88" t="str">
        <x:v>PPT 1분 미만</x:v>
      </x:c>
      <x:c r="L133" s="88" t="str">
        <x:v>$2 최종 선택</x:v>
      </x:c>
    </x:row>
    <x:row r="134">
      <x:c r="A134" s="88" t="n">
        <x:v>13</x:v>
      </x:c>
      <x:c r="B134" s="88" t="str">
        <x:v>S13_KTW</x:v>
      </x:c>
      <x:c r="C134" s="88" t="n">
        <x:v>11</x:v>
      </x:c>
      <x:c r="D134" s="88" t="str">
        <x:v>7번 자유</x:v>
      </x:c>
      <x:c r="E134" s="89" t="n">
        <x:v>1159.6</x:v>
      </x:c>
      <x:c r="F134" s="89" t="n">
        <x:v>1178.9</x:v>
      </x:c>
      <x:c r="G134" s="89" t="n">
        <x:f>IF(OR(E134="",F134=""),"",F134-E134)</x:f>
        <x:v>19.300000000000182</x:v>
      </x:c>
      <x:c r="H134" s="89" t="n">
        <x:v>5</x:v>
      </x:c>
      <x:c r="I134" s="89" t="n">
        <x:v>70</x:v>
      </x:c>
      <x:c r="J134" s="99" t="str">
        <x:f>IF(G134="","경계 누락",IF(AND(G134&gt;=H134,G134&lt;=I134),"시간 적합","시간 확인 필요"))</x:f>
        <x:v>시간 적합</x:v>
      </x:c>
      <x:c r="K134" s="88" t="str">
        <x:v>PPT 1분 미만</x:v>
      </x:c>
      <x:c r="L134" s="88" t="str">
        <x:v>$2 최종 선택</x:v>
      </x:c>
    </x:row>
    <x:row r="135">
      <x:c r="A135" s="88" t="n">
        <x:v>14</x:v>
      </x:c>
      <x:c r="B135" s="88" t="str">
        <x:v>S14_MDO</x:v>
      </x:c>
      <x:c r="C135" s="88" t="n">
        <x:v>1</x:v>
      </x:c>
      <x:c r="D135" s="88" t="str">
        <x:v>1번 호흡</x:v>
      </x:c>
      <x:c r="E135" s="89" t="n">
        <x:v>13.64800000000007</x:v>
      </x:c>
      <x:c r="F135" s="89" t="n">
        <x:v>208.91200000000006</x:v>
      </x:c>
      <x:c r="G135" s="89" t="n">
        <x:f>IF(OR(E135="",F135=""),"",F135-E135)</x:f>
        <x:v>195.26399999999998</x:v>
      </x:c>
      <x:c r="H135" s="89" t="n">
        <x:v>150</x:v>
      </x:c>
      <x:c r="I135" s="89" t="n">
        <x:v>240</x:v>
      </x:c>
      <x:c r="J135" s="99" t="str">
        <x:f>IF(G135="","경계 누락",IF(AND(G135&gt;=H135,G135&lt;=I135),"시간 적합","시간 확인 필요"))</x:f>
        <x:v>시간 적합</x:v>
      </x:c>
      <x:c r="K135" s="88" t="str">
        <x:v>PPT 3분</x:v>
      </x:c>
      <x:c r="L135" s="88" t="str">
        <x:v>$2 최종 선택</x:v>
      </x:c>
    </x:row>
    <x:row r="136">
      <x:c r="A136" s="88" t="n">
        <x:v>14</x:v>
      </x:c>
      <x:c r="B136" s="88" t="str">
        <x:v>S14_MDO</x:v>
      </x:c>
      <x:c r="C136" s="88" t="n">
        <x:v>2</x:v>
      </x:c>
      <x:c r="D136" s="88" t="str">
        <x:v>2번 호흡</x:v>
      </x:c>
      <x:c r="E136" s="89" t="n">
        <x:v>233.95200000000006</x:v>
      </x:c>
      <x:c r="F136" s="89" t="n">
        <x:v>607.4200000000001</x:v>
      </x:c>
      <x:c r="G136" s="89" t="n">
        <x:f>IF(OR(E136="",F136=""),"",F136-E136)</x:f>
        <x:v>373.468</x:v>
      </x:c>
      <x:c r="H136" s="89" t="n">
        <x:v>240</x:v>
      </x:c>
      <x:c r="I136" s="89" t="n">
        <x:v>450</x:v>
      </x:c>
      <x:c r="J136" s="99" t="str">
        <x:f>IF(G136="","경계 누락",IF(AND(G136&gt;=H136,G136&lt;=I136),"시간 적합","시간 확인 필요"))</x:f>
        <x:v>시간 적합</x:v>
      </x:c>
      <x:c r="K136" s="88" t="str">
        <x:v>PPT 표기 4분30초 / 세부 합계 약 6분</x:v>
      </x:c>
      <x:c r="L136" s="88" t="str">
        <x:v>$2 최종 선택</x:v>
      </x:c>
    </x:row>
    <x:row r="137">
      <x:c r="A137" s="88" t="n">
        <x:v>14</x:v>
      </x:c>
      <x:c r="B137" s="88" t="str">
        <x:v>S14_MDO</x:v>
      </x:c>
      <x:c r="C137" s="88" t="n">
        <x:v>3</x:v>
      </x:c>
      <x:c r="D137" s="88" t="str">
        <x:v>3번 픽업-1</x:v>
      </x:c>
      <x:c r="E137" s="89" t="n">
        <x:v>636.1480000000001</x:v>
      </x:c>
      <x:c r="F137" s="89" t="n">
        <x:v>649.344</x:v>
      </x:c>
      <x:c r="G137" s="89" t="n">
        <x:f>IF(OR(E137="",F137=""),"",F137-E137)</x:f>
        <x:v>13.195999999999913</x:v>
      </x:c>
      <x:c r="H137" s="89" t="n">
        <x:v>5</x:v>
      </x:c>
      <x:c r="I137" s="89" t="n">
        <x:v>90</x:v>
      </x:c>
      <x:c r="J137" s="99" t="str">
        <x:f>IF(G137="","경계 누락",IF(AND(G137&gt;=H137,G137&lt;=I137),"시간 적합","시간 확인 필요"))</x:f>
        <x:v>시간 적합</x:v>
      </x:c>
      <x:c r="K137" s="88" t="str">
        <x:v>총시간 미기재</x:v>
      </x:c>
      <x:c r="L137" s="88" t="str">
        <x:v>$2 최종 선택</x:v>
      </x:c>
    </x:row>
    <x:row r="138">
      <x:c r="A138" s="88" t="n">
        <x:v>14</x:v>
      </x:c>
      <x:c r="B138" s="88" t="str">
        <x:v>S14_MDO</x:v>
      </x:c>
      <x:c r="C138" s="88" t="n">
        <x:v>4</x:v>
      </x:c>
      <x:c r="D138" s="88" t="str">
        <x:v>3번 픽업-2</x:v>
      </x:c>
      <x:c r="E138" s="89" t="n">
        <x:v>668.104</x:v>
      </x:c>
      <x:c r="F138" s="89" t="n">
        <x:v>679.0120000000001</x:v>
      </x:c>
      <x:c r="G138" s="89" t="n">
        <x:f>IF(OR(E138="",F138=""),"",F138-E138)</x:f>
        <x:v>10.908000000000015</x:v>
      </x:c>
      <x:c r="H138" s="89" t="n">
        <x:v>5</x:v>
      </x:c>
      <x:c r="I138" s="89" t="n">
        <x:v>90</x:v>
      </x:c>
      <x:c r="J138" s="99" t="str">
        <x:f>IF(G138="","경계 누락",IF(AND(G138&gt;=H138,G138&lt;=I138),"시간 적합","시간 확인 필요"))</x:f>
        <x:v>시간 적합</x:v>
      </x:c>
      <x:c r="K138" s="88" t="str">
        <x:v>총시간 미기재</x:v>
      </x:c>
      <x:c r="L138" s="88" t="str">
        <x:v>$2 최종 선택</x:v>
      </x:c>
    </x:row>
    <x:row r="139">
      <x:c r="A139" s="88" t="n">
        <x:v>14</x:v>
      </x:c>
      <x:c r="B139" s="88" t="str">
        <x:v>S14_MDO</x:v>
      </x:c>
      <x:c r="C139" s="88" t="n">
        <x:v>5</x:v>
      </x:c>
      <x:c r="D139" s="88" t="str">
        <x:v>4번 낙상-즉시</x:v>
      </x:c>
      <x:c r="E139" s="89" t="n">
        <x:v>729.0680000000001</x:v>
      </x:c>
      <x:c r="F139" s="89" t="n">
        <x:v>741.3840000000001</x:v>
      </x:c>
      <x:c r="G139" s="89" t="n">
        <x:f>IF(OR(E139="",F139=""),"",F139-E139)</x:f>
        <x:v>12.316000000000031</x:v>
      </x:c>
      <x:c r="H139" s="89" t="n">
        <x:v>5</x:v>
      </x:c>
      <x:c r="I139" s="89" t="n">
        <x:v>30</x:v>
      </x:c>
      <x:c r="J139" s="99" t="str">
        <x:f>IF(G139="","경계 누락",IF(AND(G139&gt;=H139,G139&lt;=I139),"시간 적합","시간 확인 필요"))</x:f>
        <x:v>시간 적합</x:v>
      </x:c>
      <x:c r="K139" s="88" t="str">
        <x:v>즥시 일어나기</x:v>
      </x:c>
      <x:c r="L139" s="88" t="str">
        <x:v>$2 최종 선택</x:v>
      </x:c>
    </x:row>
    <x:row r="140">
      <x:c r="A140" s="88" t="n">
        <x:v>14</x:v>
      </x:c>
      <x:c r="B140" s="88" t="str">
        <x:v>S14_MDO</x:v>
      </x:c>
      <x:c r="C140" s="88" t="n">
        <x:v>6</x:v>
      </x:c>
      <x:c r="D140" s="88" t="str">
        <x:v>4번 낙상-30초 유지</x:v>
      </x:c>
      <x:c r="E140" s="89" t="n">
        <x:v>749.5480000000001</x:v>
      </x:c>
      <x:c r="F140" s="89" t="n">
        <x:v>790.892</x:v>
      </x:c>
      <x:c r="G140" s="89" t="n">
        <x:f>IF(OR(E140="",F140=""),"",F140-E140)</x:f>
        <x:v>41.34399999999994</x:v>
      </x:c>
      <x:c r="H140" s="89" t="n">
        <x:v>25</x:v>
      </x:c>
      <x:c r="I140" s="89" t="n">
        <x:v>75</x:v>
      </x:c>
      <x:c r="J140" s="99" t="str">
        <x:f>IF(G140="","경계 누락",IF(AND(G140&gt;=H140,G140&lt;=I140),"시간 적합","시간 확인 필요"))</x:f>
        <x:v>시간 적합</x:v>
      </x:c>
      <x:c r="K140" s="88" t="str">
        <x:v>30초 유지+이동</x:v>
      </x:c>
      <x:c r="L140" s="88" t="str">
        <x:v>$2 최종 선택</x:v>
      </x:c>
    </x:row>
    <x:row r="141">
      <x:c r="A141" s="88" t="n">
        <x:v>14</x:v>
      </x:c>
      <x:c r="B141" s="88" t="str">
        <x:v>S14_MDO</x:v>
      </x:c>
      <x:c r="C141" s="88" t="n">
        <x:v>7</x:v>
      </x:c>
      <x:c r="D141" s="88" t="str">
        <x:v>4번 낙상-천천히</x:v>
      </x:c>
      <x:c r="E141" s="89" t="n">
        <x:v>802.3320000000001</x:v>
      </x:c>
      <x:c r="F141" s="89" t="n">
        <x:v>844.8960000000001</x:v>
      </x:c>
      <x:c r="G141" s="89" t="n">
        <x:f>IF(OR(E141="",F141=""),"",F141-E141)</x:f>
        <x:v>42.563999999999965</x:v>
      </x:c>
      <x:c r="H141" s="89" t="n">
        <x:v>25</x:v>
      </x:c>
      <x:c r="I141" s="89" t="n">
        <x:v>90</x:v>
      </x:c>
      <x:c r="J141" s="99" t="str">
        <x:f>IF(G141="","경계 누락",IF(AND(G141&gt;=H141,G141&lt;=I141),"시간 적합","시간 확인 필요"))</x:f>
        <x:v>시간 적합</x:v>
      </x:c>
      <x:c r="K141" s="88" t="str">
        <x:v>천천히 눕기+30초 유지</x:v>
      </x:c>
      <x:c r="L141" s="88" t="str">
        <x:v>$2 최종 선택</x:v>
      </x:c>
    </x:row>
    <x:row r="142">
      <x:c r="A142" s="88" t="n">
        <x:v>14</x:v>
      </x:c>
      <x:c r="B142" s="88" t="str">
        <x:v>S14_MDO</x:v>
      </x:c>
      <x:c r="C142" s="88" t="n">
        <x:v>8</x:v>
      </x:c>
      <x:c r="D142" s="88" t="str">
        <x:v>4번 물건 집기</x:v>
      </x:c>
      <x:c r="E142" s="89" t="n">
        <x:v>860.676</x:v>
      </x:c>
      <x:c r="F142" s="89" t="n">
        <x:v>867.7280000000001</x:v>
      </x:c>
      <x:c r="G142" s="89" t="n">
        <x:f>IF(OR(E142="",F142=""),"",F142-E142)</x:f>
        <x:v>7.052000000000021</x:v>
      </x:c>
      <x:c r="H142" s="89" t="n">
        <x:v>5</x:v>
      </x:c>
      <x:c r="I142" s="89" t="n">
        <x:v>40</x:v>
      </x:c>
      <x:c r="J142" s="99" t="str">
        <x:f>IF(G142="","경계 누락",IF(AND(G142&gt;=H142,G142&lt;=I142),"시간 적합","시간 확인 필요"))</x:f>
        <x:v>시간 적합</x:v>
      </x:c>
      <x:c r="K142" s="88" t="str">
        <x:v>S04부터 추가된 것으로 판단</x:v>
      </x:c>
      <x:c r="L142" s="88" t="str">
        <x:v>$2 최종 선택</x:v>
      </x:c>
    </x:row>
    <x:row r="143">
      <x:c r="A143" s="88" t="n">
        <x:v>14</x:v>
      </x:c>
      <x:c r="B143" s="88" t="str">
        <x:v>S14_MDO</x:v>
      </x:c>
      <x:c r="C143" s="88" t="n">
        <x:v>9</x:v>
      </x:c>
      <x:c r="D143" s="88" t="str">
        <x:v>5번 코스</x:v>
      </x:c>
      <x:c r="E143" s="89" t="n">
        <x:v>892.368</x:v>
      </x:c>
      <x:c r="F143" s="89" t="n">
        <x:v>1077.236</x:v>
      </x:c>
      <x:c r="G143" s="89" t="n">
        <x:f>IF(OR(E143="",F143=""),"",F143-E143)</x:f>
        <x:v>184.86800000000005</x:v>
      </x:c>
      <x:c r="H143" s="89" t="n">
        <x:v>130</x:v>
      </x:c>
      <x:c r="I143" s="89" t="n">
        <x:v>230</x:v>
      </x:c>
      <x:c r="J143" s="99" t="str">
        <x:f>IF(G143="","경계 누락",IF(AND(G143&gt;=H143,G143&lt;=I143),"시간 적합","시간 확인 필요"))</x:f>
        <x:v>시간 적합</x:v>
      </x:c>
      <x:c r="K143" s="88" t="str">
        <x:v>16칸×10초=약 160초+이동</x:v>
      </x:c>
      <x:c r="L143" s="88" t="str">
        <x:v>$2 최종 선택</x:v>
      </x:c>
    </x:row>
    <x:row r="144">
      <x:c r="A144" s="88" t="n">
        <x:v>14</x:v>
      </x:c>
      <x:c r="B144" s="88" t="str">
        <x:v>S14_MDO</x:v>
      </x:c>
      <x:c r="C144" s="88" t="n">
        <x:v>10</x:v>
      </x:c>
      <x:c r="D144" s="88" t="str">
        <x:v>6번 왕복</x:v>
      </x:c>
      <x:c r="E144" s="89" t="n">
        <x:v>1089.304</x:v>
      </x:c>
      <x:c r="F144" s="89" t="n">
        <x:v>1109.664</x:v>
      </x:c>
      <x:c r="G144" s="89" t="n">
        <x:f>IF(OR(E144="",F144=""),"",F144-E144)</x:f>
        <x:v>20.3599999999999</x:v>
      </x:c>
      <x:c r="H144" s="89" t="n">
        <x:v>5</x:v>
      </x:c>
      <x:c r="I144" s="89" t="n">
        <x:v>70</x:v>
      </x:c>
      <x:c r="J144" s="99" t="str">
        <x:f>IF(G144="","경계 누락",IF(AND(G144&gt;=H144,G144&lt;=I144),"시간 적합","시간 확인 필요"))</x:f>
        <x:v>시간 적합</x:v>
      </x:c>
      <x:c r="K144" s="88" t="str">
        <x:v>PPT 1분 미만</x:v>
      </x:c>
      <x:c r="L144" s="88" t="str">
        <x:v>$2 최종 선택</x:v>
      </x:c>
    </x:row>
    <x:row r="145">
      <x:c r="A145" s="88" t="n">
        <x:v>14</x:v>
      </x:c>
      <x:c r="B145" s="88" t="str">
        <x:v>S14_MDO</x:v>
      </x:c>
      <x:c r="C145" s="88" t="n">
        <x:v>11</x:v>
      </x:c>
      <x:c r="D145" s="88" t="str">
        <x:v>7번 자유</x:v>
      </x:c>
      <x:c r="E145" s="89" t="n">
        <x:v>1124.24</x:v>
      </x:c>
      <x:c r="F145" s="89" t="n">
        <x:v>1135.3200000000002</x:v>
      </x:c>
      <x:c r="G145" s="89" t="n">
        <x:f>IF(OR(E145="",F145=""),"",F145-E145)</x:f>
        <x:v>11.080000000000155</x:v>
      </x:c>
      <x:c r="H145" s="89" t="n">
        <x:v>5</x:v>
      </x:c>
      <x:c r="I145" s="89" t="n">
        <x:v>70</x:v>
      </x:c>
      <x:c r="J145" s="99" t="str">
        <x:f>IF(G145="","경계 누락",IF(AND(G145&gt;=H145,G145&lt;=I145),"시간 적합","시간 확인 필요"))</x:f>
        <x:v>시간 적합</x:v>
      </x:c>
      <x:c r="K145" s="88" t="str">
        <x:v>PPT 1분 미만</x:v>
      </x:c>
      <x:c r="L145" s="88" t="str">
        <x:v>$2 최종 선택</x:v>
      </x:c>
    </x:row>
    <x:row r="146">
      <x:c r="A146" s="88" t="n">
        <x:v>15</x:v>
      </x:c>
      <x:c r="B146" s="88" t="str">
        <x:v>S15_JKH</x:v>
      </x:c>
      <x:c r="C146" s="88" t="n">
        <x:v>1</x:v>
      </x:c>
      <x:c r="D146" s="88" t="str">
        <x:v>1번 호흡</x:v>
      </x:c>
      <x:c r="E146" s="89" t="n">
        <x:v>5.524000000000086</x:v>
      </x:c>
      <x:c r="F146" s="89" t="n">
        <x:v>199.3360000000001</x:v>
      </x:c>
      <x:c r="G146" s="89" t="n">
        <x:f>IF(OR(E146="",F146=""),"",F146-E146)</x:f>
        <x:v>193.812</x:v>
      </x:c>
      <x:c r="H146" s="89" t="n">
        <x:v>150</x:v>
      </x:c>
      <x:c r="I146" s="89" t="n">
        <x:v>240</x:v>
      </x:c>
      <x:c r="J146" s="99" t="str">
        <x:f>IF(G146="","경계 누락",IF(AND(G146&gt;=H146,G146&lt;=I146),"시간 적합","시간 확인 필요"))</x:f>
        <x:v>시간 적합</x:v>
      </x:c>
      <x:c r="K146" s="88" t="str">
        <x:v>PPT 3분</x:v>
      </x:c>
      <x:c r="L146" s="88" t="str">
        <x:v>$2 최종 선택</x:v>
      </x:c>
    </x:row>
    <x:row r="147">
      <x:c r="A147" s="88" t="n">
        <x:v>15</x:v>
      </x:c>
      <x:c r="B147" s="88" t="str">
        <x:v>S15_JKH</x:v>
      </x:c>
      <x:c r="C147" s="88" t="n">
        <x:v>2</x:v>
      </x:c>
      <x:c r="D147" s="88" t="str">
        <x:v>2번 호흡</x:v>
      </x:c>
      <x:c r="E147" s="89" t="n">
        <x:v>234.2160000000001</x:v>
      </x:c>
      <x:c r="F147" s="89" t="n">
        <x:v>599.1800000000001</x:v>
      </x:c>
      <x:c r="G147" s="89" t="n">
        <x:f>IF(OR(E147="",F147=""),"",F147-E147)</x:f>
        <x:v>364.96399999999994</x:v>
      </x:c>
      <x:c r="H147" s="89" t="n">
        <x:v>240</x:v>
      </x:c>
      <x:c r="I147" s="89" t="n">
        <x:v>450</x:v>
      </x:c>
      <x:c r="J147" s="99" t="str">
        <x:f>IF(G147="","경계 누락",IF(AND(G147&gt;=H147,G147&lt;=I147),"시간 적합","시간 확인 필요"))</x:f>
        <x:v>시간 적합</x:v>
      </x:c>
      <x:c r="K147" s="88" t="str">
        <x:v>PPT 표기 4분30초 / 세부 합계 약 6분</x:v>
      </x:c>
      <x:c r="L147" s="88" t="str">
        <x:v>$2 최종 선택</x:v>
      </x:c>
    </x:row>
    <x:row r="148">
      <x:c r="A148" s="88" t="n">
        <x:v>15</x:v>
      </x:c>
      <x:c r="B148" s="88" t="str">
        <x:v>S15_JKH</x:v>
      </x:c>
      <x:c r="C148" s="88" t="n">
        <x:v>3</x:v>
      </x:c>
      <x:c r="D148" s="88" t="str">
        <x:v>3번 픽업-1</x:v>
      </x:c>
      <x:c r="E148" s="89" t="n">
        <x:v>631.4640000000002</x:v>
      </x:c>
      <x:c r="F148" s="89" t="n">
        <x:v>642.4000000000001</x:v>
      </x:c>
      <x:c r="G148" s="89" t="n">
        <x:f>IF(OR(E148="",F148=""),"",F148-E148)</x:f>
        <x:v>10.935999999999922</x:v>
      </x:c>
      <x:c r="H148" s="89" t="n">
        <x:v>5</x:v>
      </x:c>
      <x:c r="I148" s="89" t="n">
        <x:v>90</x:v>
      </x:c>
      <x:c r="J148" s="99" t="str">
        <x:f>IF(G148="","경계 누락",IF(AND(G148&gt;=H148,G148&lt;=I148),"시간 적합","시간 확인 필요"))</x:f>
        <x:v>시간 적합</x:v>
      </x:c>
      <x:c r="K148" s="88" t="str">
        <x:v>총시간 미기재</x:v>
      </x:c>
      <x:c r="L148" s="88" t="str">
        <x:v>$2 최종 선택</x:v>
      </x:c>
    </x:row>
    <x:row r="149">
      <x:c r="A149" s="88" t="n">
        <x:v>15</x:v>
      </x:c>
      <x:c r="B149" s="88" t="str">
        <x:v>S15_JKH</x:v>
      </x:c>
      <x:c r="C149" s="88" t="n">
        <x:v>4</x:v>
      </x:c>
      <x:c r="D149" s="88" t="str">
        <x:v>3번 픽업-2</x:v>
      </x:c>
      <x:c r="E149" s="89" t="n">
        <x:v>657.8480000000001</x:v>
      </x:c>
      <x:c r="F149" s="89" t="n">
        <x:v>673.8000000000001</x:v>
      </x:c>
      <x:c r="G149" s="89" t="n">
        <x:f>IF(OR(E149="",F149=""),"",F149-E149)</x:f>
        <x:v>15.951999999999998</x:v>
      </x:c>
      <x:c r="H149" s="89" t="n">
        <x:v>5</x:v>
      </x:c>
      <x:c r="I149" s="89" t="n">
        <x:v>90</x:v>
      </x:c>
      <x:c r="J149" s="99" t="str">
        <x:f>IF(G149="","경계 누락",IF(AND(G149&gt;=H149,G149&lt;=I149),"시간 적합","시간 확인 필요"))</x:f>
        <x:v>시간 적합</x:v>
      </x:c>
      <x:c r="K149" s="88" t="str">
        <x:v>총시간 미기재</x:v>
      </x:c>
      <x:c r="L149" s="88" t="str">
        <x:v>$2 최종 선택</x:v>
      </x:c>
    </x:row>
    <x:row r="150">
      <x:c r="A150" s="88" t="n">
        <x:v>15</x:v>
      </x:c>
      <x:c r="B150" s="88" t="str">
        <x:v>S15_JKH</x:v>
      </x:c>
      <x:c r="C150" s="88" t="n">
        <x:v>5</x:v>
      </x:c>
      <x:c r="D150" s="88" t="str">
        <x:v>4번 낙상-즉시</x:v>
      </x:c>
      <x:c r="E150" s="89" t="n">
        <x:v>708.3960000000001</x:v>
      </x:c>
      <x:c r="F150" s="89" t="n">
        <x:v>724.7840000000001</x:v>
      </x:c>
      <x:c r="G150" s="89" t="n">
        <x:f>IF(OR(E150="",F150=""),"",F150-E150)</x:f>
        <x:v>16.388000000000034</x:v>
      </x:c>
      <x:c r="H150" s="89" t="n">
        <x:v>5</x:v>
      </x:c>
      <x:c r="I150" s="89" t="n">
        <x:v>30</x:v>
      </x:c>
      <x:c r="J150" s="99" t="str">
        <x:f>IF(G150="","경계 누락",IF(AND(G150&gt;=H150,G150&lt;=I150),"시간 적합","시간 확인 필요"))</x:f>
        <x:v>시간 적합</x:v>
      </x:c>
      <x:c r="K150" s="88" t="str">
        <x:v>즥시 일어나기</x:v>
      </x:c>
      <x:c r="L150" s="88" t="str">
        <x:v>$2 최종 선택</x:v>
      </x:c>
    </x:row>
    <x:row r="151">
      <x:c r="A151" s="88" t="n">
        <x:v>15</x:v>
      </x:c>
      <x:c r="B151" s="88" t="str">
        <x:v>S15_JKH</x:v>
      </x:c>
      <x:c r="C151" s="88" t="n">
        <x:v>6</x:v>
      </x:c>
      <x:c r="D151" s="88" t="str">
        <x:v>4번 낙상-30초 유지</x:v>
      </x:c>
      <x:c r="E151" s="89" t="n">
        <x:v>732.8800000000001</x:v>
      </x:c>
      <x:c r="F151" s="89" t="n">
        <x:v>782.1360000000001</x:v>
      </x:c>
      <x:c r="G151" s="89" t="n">
        <x:f>IF(OR(E151="",F151=""),"",F151-E151)</x:f>
        <x:v>49.25599999999997</x:v>
      </x:c>
      <x:c r="H151" s="89" t="n">
        <x:v>25</x:v>
      </x:c>
      <x:c r="I151" s="89" t="n">
        <x:v>75</x:v>
      </x:c>
      <x:c r="J151" s="99" t="str">
        <x:f>IF(G151="","경계 누락",IF(AND(G151&gt;=H151,G151&lt;=I151),"시간 적합","시간 확인 필요"))</x:f>
        <x:v>시간 적합</x:v>
      </x:c>
      <x:c r="K151" s="88" t="str">
        <x:v>30초 유지+이동</x:v>
      </x:c>
      <x:c r="L151" s="88" t="str">
        <x:v>$2 최종 선택</x:v>
      </x:c>
    </x:row>
    <x:row r="152">
      <x:c r="A152" s="88" t="n">
        <x:v>15</x:v>
      </x:c>
      <x:c r="B152" s="88" t="str">
        <x:v>S15_JKH</x:v>
      </x:c>
      <x:c r="C152" s="88" t="n">
        <x:v>7</x:v>
      </x:c>
      <x:c r="D152" s="88" t="str">
        <x:v>4번 낙상-천천히</x:v>
      </x:c>
      <x:c r="E152" s="89" t="n">
        <x:v>790.7320000000001</x:v>
      </x:c>
      <x:c r="F152" s="89" t="n">
        <x:v>836.4340000000001</x:v>
      </x:c>
      <x:c r="G152" s="89" t="n">
        <x:f>IF(OR(E152="",F152=""),"",F152-E152)</x:f>
        <x:v>45.702</x:v>
      </x:c>
      <x:c r="H152" s="89" t="n">
        <x:v>25</x:v>
      </x:c>
      <x:c r="I152" s="89" t="n">
        <x:v>90</x:v>
      </x:c>
      <x:c r="J152" s="99" t="str">
        <x:f>IF(G152="","경계 누락",IF(AND(G152&gt;=H152,G152&lt;=I152),"시간 적합","시간 확인 필요"))</x:f>
        <x:v>시간 적합</x:v>
      </x:c>
      <x:c r="K152" s="88" t="str">
        <x:v>천천히 눕기+30초 유지</x:v>
      </x:c>
      <x:c r="L152" s="88" t="str">
        <x:v>$2 최종 선택</x:v>
      </x:c>
    </x:row>
    <x:row r="153">
      <x:c r="A153" s="88" t="n">
        <x:v>15</x:v>
      </x:c>
      <x:c r="B153" s="88" t="str">
        <x:v>S15_JKH</x:v>
      </x:c>
      <x:c r="C153" s="88" t="n">
        <x:v>8</x:v>
      </x:c>
      <x:c r="D153" s="88" t="str">
        <x:v>4번 물건 집기</x:v>
      </x:c>
      <x:c r="E153" s="89" t="n">
        <x:v>849.2120000000001</x:v>
      </x:c>
      <x:c r="F153" s="89" t="n">
        <x:v>871.4640000000002</x:v>
      </x:c>
      <x:c r="G153" s="89" t="n">
        <x:f>IF(OR(E153="",F153=""),"",F153-E153)</x:f>
        <x:v>22.252000000000066</x:v>
      </x:c>
      <x:c r="H153" s="89" t="n">
        <x:v>5</x:v>
      </x:c>
      <x:c r="I153" s="89" t="n">
        <x:v>40</x:v>
      </x:c>
      <x:c r="J153" s="99" t="str">
        <x:f>IF(G153="","경계 누락",IF(AND(G153&gt;=H153,G153&lt;=I153),"시간 적합","시간 확인 필요"))</x:f>
        <x:v>시간 적합</x:v>
      </x:c>
      <x:c r="K153" s="88" t="str">
        <x:v>S04부터 추가된 것으로 판단</x:v>
      </x:c>
      <x:c r="L153" s="88" t="str">
        <x:v>$2 최종 선택</x:v>
      </x:c>
    </x:row>
    <x:row r="154">
      <x:c r="A154" s="88" t="n">
        <x:v>15</x:v>
      </x:c>
      <x:c r="B154" s="88" t="str">
        <x:v>S15_JKH</x:v>
      </x:c>
      <x:c r="C154" s="88" t="n">
        <x:v>9</x:v>
      </x:c>
      <x:c r="D154" s="88" t="str">
        <x:v>5번 코스</x:v>
      </x:c>
      <x:c r="E154" s="89" t="n">
        <x:v>889.3600000000001</x:v>
      </x:c>
      <x:c r="F154" s="89" t="n">
        <x:v>1077.292</x:v>
      </x:c>
      <x:c r="G154" s="89" t="n">
        <x:f>IF(OR(E154="",F154=""),"",F154-E154)</x:f>
        <x:v>187.9319999999998</x:v>
      </x:c>
      <x:c r="H154" s="89" t="n">
        <x:v>130</x:v>
      </x:c>
      <x:c r="I154" s="89" t="n">
        <x:v>230</x:v>
      </x:c>
      <x:c r="J154" s="99" t="str">
        <x:f>IF(G154="","경계 누락",IF(AND(G154&gt;=H154,G154&lt;=I154),"시간 적합","시간 확인 필요"))</x:f>
        <x:v>시간 적합</x:v>
      </x:c>
      <x:c r="K154" s="88" t="str">
        <x:v>16칸×10초=약 160초+이동</x:v>
      </x:c>
      <x:c r="L154" s="88" t="str">
        <x:v>$2 최종 선택</x:v>
      </x:c>
    </x:row>
    <x:row r="155">
      <x:c r="A155" s="88" t="n">
        <x:v>15</x:v>
      </x:c>
      <x:c r="B155" s="88" t="str">
        <x:v>S15_JKH</x:v>
      </x:c>
      <x:c r="C155" s="88" t="n">
        <x:v>10</x:v>
      </x:c>
      <x:c r="D155" s="88" t="str">
        <x:v>6번 왕복</x:v>
      </x:c>
      <x:c r="E155" s="89" t="n">
        <x:v>1094.244</x:v>
      </x:c>
      <x:c r="F155" s="89" t="n">
        <x:v>1120.156</x:v>
      </x:c>
      <x:c r="G155" s="89" t="n">
        <x:f>IF(OR(E155="",F155=""),"",F155-E155)</x:f>
        <x:v>25.912000000000035</x:v>
      </x:c>
      <x:c r="H155" s="89" t="n">
        <x:v>5</x:v>
      </x:c>
      <x:c r="I155" s="89" t="n">
        <x:v>70</x:v>
      </x:c>
      <x:c r="J155" s="99" t="str">
        <x:f>IF(G155="","경계 누락",IF(AND(G155&gt;=H155,G155&lt;=I155),"시간 적합","시간 확인 필요"))</x:f>
        <x:v>시간 적합</x:v>
      </x:c>
      <x:c r="K155" s="88" t="str">
        <x:v>PPT 1분 미만</x:v>
      </x:c>
      <x:c r="L155" s="88" t="str">
        <x:v>$2 최종 선택</x:v>
      </x:c>
    </x:row>
    <x:row r="156">
      <x:c r="A156" s="88" t="n">
        <x:v>15</x:v>
      </x:c>
      <x:c r="B156" s="88" t="str">
        <x:v>S15_JKH</x:v>
      </x:c>
      <x:c r="C156" s="88" t="n">
        <x:v>11</x:v>
      </x:c>
      <x:c r="D156" s="88" t="str">
        <x:v>7번 자유</x:v>
      </x:c>
      <x:c r="E156" s="89" t="n">
        <x:v>1134.564</x:v>
      </x:c>
      <x:c r="F156" s="89" t="n">
        <x:v>1147.924</x:v>
      </x:c>
      <x:c r="G156" s="89" t="n">
        <x:f>IF(OR(E156="",F156=""),"",F156-E156)</x:f>
        <x:v>13.3599999999999</x:v>
      </x:c>
      <x:c r="H156" s="89" t="n">
        <x:v>5</x:v>
      </x:c>
      <x:c r="I156" s="89" t="n">
        <x:v>70</x:v>
      </x:c>
      <x:c r="J156" s="99" t="str">
        <x:f>IF(G156="","경계 누락",IF(AND(G156&gt;=H156,G156&lt;=I156),"시간 적합","시간 확인 필요"))</x:f>
        <x:v>시간 적합</x:v>
      </x:c>
      <x:c r="K156" s="88" t="str">
        <x:v>PPT 1분 미만</x:v>
      </x:c>
      <x:c r="L156" s="88" t="str">
        <x:v>$2 최종 선택</x:v>
      </x:c>
    </x:row>
    <x:row r="157">
      <x:c r="A157" s="88" t="n">
        <x:v>16</x:v>
      </x:c>
      <x:c r="B157" s="88" t="str">
        <x:v>S16_LJH</x:v>
      </x:c>
      <x:c r="C157" s="88" t="n">
        <x:v>1</x:v>
      </x:c>
      <x:c r="D157" s="88" t="str">
        <x:v>1번 호흡</x:v>
      </x:c>
      <x:c r="E157" s="89" t="n">
        <x:v>12.91600000000005</x:v>
      </x:c>
      <x:c r="F157" s="89" t="n">
        <x:v>206.04400000000004</x:v>
      </x:c>
      <x:c r="G157" s="89" t="n">
        <x:f>IF(OR(E157="",F157=""),"",F157-E157)</x:f>
        <x:v>193.128</x:v>
      </x:c>
      <x:c r="H157" s="89" t="n">
        <x:v>150</x:v>
      </x:c>
      <x:c r="I157" s="89" t="n">
        <x:v>240</x:v>
      </x:c>
      <x:c r="J157" s="99" t="str">
        <x:f>IF(G157="","경계 누락",IF(AND(G157&gt;=H157,G157&lt;=I157),"시간 적합","시간 확인 필요"))</x:f>
        <x:v>시간 적합</x:v>
      </x:c>
      <x:c r="K157" s="88" t="str">
        <x:v>PPT 3분</x:v>
      </x:c>
      <x:c r="L157" s="88" t="str">
        <x:v>$2 최종 선택</x:v>
      </x:c>
    </x:row>
    <x:row r="158">
      <x:c r="A158" s="88" t="n">
        <x:v>16</x:v>
      </x:c>
      <x:c r="B158" s="88" t="str">
        <x:v>S16_LJH</x:v>
      </x:c>
      <x:c r="C158" s="88" t="n">
        <x:v>2</x:v>
      </x:c>
      <x:c r="D158" s="88" t="str">
        <x:v>2번 호흡</x:v>
      </x:c>
      <x:c r="E158" s="89" t="n">
        <x:v>282.012</x:v>
      </x:c>
      <x:c r="F158" s="89" t="n">
        <x:v>759.14</x:v>
      </x:c>
      <x:c r="G158" s="89" t="n">
        <x:f>IF(OR(E158="",F158=""),"",F158-E158)</x:f>
        <x:v>477.128</x:v>
      </x:c>
      <x:c r="H158" s="89" t="n">
        <x:v>240</x:v>
      </x:c>
      <x:c r="I158" s="89" t="n">
        <x:v>450</x:v>
      </x:c>
      <x:c r="J158" s="98" t="str">
        <x:f>IF(G158="","경계 누락",IF(AND(G158&gt;=H158,G158&lt;=I158),"시간 적합","시간 확인 필요"))</x:f>
        <x:v>시간 확인 필요</x:v>
      </x:c>
      <x:c r="K158" s="88" t="str">
        <x:v>PPT 표기 4분30초 / 세부 합계 약 6분</x:v>
      </x:c>
      <x:c r="L158" s="88" t="str">
        <x:v>$2 최종 선택</x:v>
      </x:c>
    </x:row>
    <x:row r="159">
      <x:c r="A159" s="88" t="n">
        <x:v>16</x:v>
      </x:c>
      <x:c r="B159" s="88" t="str">
        <x:v>S16_LJH</x:v>
      </x:c>
      <x:c r="C159" s="88" t="n">
        <x:v>3</x:v>
      </x:c>
      <x:c r="D159" s="88" t="str">
        <x:v>3번 픽업-1</x:v>
      </x:c>
      <x:c r="E159" s="89" t="n">
        <x:v>771.148</x:v>
      </x:c>
      <x:c r="F159" s="89" t="n">
        <x:v>780.772</x:v>
      </x:c>
      <x:c r="G159" s="89" t="n">
        <x:f>IF(OR(E159="",F159=""),"",F159-E159)</x:f>
        <x:v>9.624000000000024</x:v>
      </x:c>
      <x:c r="H159" s="89" t="n">
        <x:v>5</x:v>
      </x:c>
      <x:c r="I159" s="89" t="n">
        <x:v>90</x:v>
      </x:c>
      <x:c r="J159" s="99" t="str">
        <x:f>IF(G159="","경계 누락",IF(AND(G159&gt;=H159,G159&lt;=I159),"시간 적합","시간 확인 필요"))</x:f>
        <x:v>시간 적합</x:v>
      </x:c>
      <x:c r="K159" s="88" t="str">
        <x:v>총시간 미기재</x:v>
      </x:c>
      <x:c r="L159" s="88" t="str">
        <x:v>$2 최종 선택</x:v>
      </x:c>
    </x:row>
    <x:row r="160">
      <x:c r="A160" s="88" t="n">
        <x:v>16</x:v>
      </x:c>
      <x:c r="B160" s="88" t="str">
        <x:v>S16_LJH</x:v>
      </x:c>
      <x:c r="C160" s="88" t="n">
        <x:v>4</x:v>
      </x:c>
      <x:c r="D160" s="88" t="str">
        <x:v>3번 픽업-2</x:v>
      </x:c>
      <x:c r="E160" s="89" t="n">
        <x:v>800.294</x:v>
      </x:c>
      <x:c r="F160" s="89" t="n">
        <x:v>814.0880000000001</x:v>
      </x:c>
      <x:c r="G160" s="89" t="n">
        <x:f>IF(OR(E160="",F160=""),"",F160-E160)</x:f>
        <x:v>13.794000000000096</x:v>
      </x:c>
      <x:c r="H160" s="89" t="n">
        <x:v>5</x:v>
      </x:c>
      <x:c r="I160" s="89" t="n">
        <x:v>90</x:v>
      </x:c>
      <x:c r="J160" s="99" t="str">
        <x:f>IF(G160="","경계 누락",IF(AND(G160&gt;=H160,G160&lt;=I160),"시간 적합","시간 확인 필요"))</x:f>
        <x:v>시간 적합</x:v>
      </x:c>
      <x:c r="K160" s="88" t="str">
        <x:v>총시간 미기재</x:v>
      </x:c>
      <x:c r="L160" s="88" t="str">
        <x:v>$2 최종 선택</x:v>
      </x:c>
    </x:row>
    <x:row r="161">
      <x:c r="A161" s="88" t="n">
        <x:v>16</x:v>
      </x:c>
      <x:c r="B161" s="88" t="str">
        <x:v>S16_LJH</x:v>
      </x:c>
      <x:c r="C161" s="88" t="n">
        <x:v>5</x:v>
      </x:c>
      <x:c r="D161" s="88" t="str">
        <x:v>4번 낙상-즉시</x:v>
      </x:c>
      <x:c r="E161" s="89" t="n">
        <x:v>928.9680000000001</x:v>
      </x:c>
      <x:c r="F161" s="89" t="n">
        <x:v>945.196</x:v>
      </x:c>
      <x:c r="G161" s="89" t="n">
        <x:f>IF(OR(E161="",F161=""),"",F161-E161)</x:f>
        <x:v>16.227999999999952</x:v>
      </x:c>
      <x:c r="H161" s="89" t="n">
        <x:v>5</x:v>
      </x:c>
      <x:c r="I161" s="89" t="n">
        <x:v>30</x:v>
      </x:c>
      <x:c r="J161" s="99" t="str">
        <x:f>IF(G161="","경계 누락",IF(AND(G161&gt;=H161,G161&lt;=I161),"시간 적합","시간 확인 필요"))</x:f>
        <x:v>시간 적합</x:v>
      </x:c>
      <x:c r="K161" s="88" t="str">
        <x:v>즥시 일어나기</x:v>
      </x:c>
      <x:c r="L161" s="88" t="str">
        <x:v>$2 최종 선택</x:v>
      </x:c>
    </x:row>
    <x:row r="162">
      <x:c r="A162" s="88" t="n">
        <x:v>16</x:v>
      </x:c>
      <x:c r="B162" s="88" t="str">
        <x:v>S16_LJH</x:v>
      </x:c>
      <x:c r="C162" s="88" t="n">
        <x:v>6</x:v>
      </x:c>
      <x:c r="D162" s="88" t="str">
        <x:v>4번 낙상-30초 유지</x:v>
      </x:c>
      <x:c r="E162" s="89" t="n">
        <x:v>956.196</x:v>
      </x:c>
      <x:c r="F162" s="89" t="n">
        <x:v>1004.2180000000001</x:v>
      </x:c>
      <x:c r="G162" s="89" t="n">
        <x:f>IF(OR(E162="",F162=""),"",F162-E162)</x:f>
        <x:v>48.02200000000005</x:v>
      </x:c>
      <x:c r="H162" s="89" t="n">
        <x:v>25</x:v>
      </x:c>
      <x:c r="I162" s="89" t="n">
        <x:v>75</x:v>
      </x:c>
      <x:c r="J162" s="99" t="str">
        <x:f>IF(G162="","경계 누락",IF(AND(G162&gt;=H162,G162&lt;=I162),"시간 적합","시간 확인 필요"))</x:f>
        <x:v>시간 적합</x:v>
      </x:c>
      <x:c r="K162" s="88" t="str">
        <x:v>30초 유지+이동</x:v>
      </x:c>
      <x:c r="L162" s="88" t="str">
        <x:v>$2 최종 선택</x:v>
      </x:c>
    </x:row>
    <x:row r="163">
      <x:c r="A163" s="88" t="n">
        <x:v>16</x:v>
      </x:c>
      <x:c r="B163" s="88" t="str">
        <x:v>S16_LJH</x:v>
      </x:c>
      <x:c r="C163" s="88" t="n">
        <x:v>7</x:v>
      </x:c>
      <x:c r="D163" s="88" t="str">
        <x:v>4번 낙상-천천히</x:v>
      </x:c>
      <x:c r="E163" s="89" t="n">
        <x:v>1016.964</x:v>
      </x:c>
      <x:c r="F163" s="89" t="n">
        <x:v>1062.2600000000002</x:v>
      </x:c>
      <x:c r="G163" s="89" t="n">
        <x:f>IF(OR(E163="",F163=""),"",F163-E163)</x:f>
        <x:v>45.29600000000016</x:v>
      </x:c>
      <x:c r="H163" s="89" t="n">
        <x:v>25</x:v>
      </x:c>
      <x:c r="I163" s="89" t="n">
        <x:v>90</x:v>
      </x:c>
      <x:c r="J163" s="99" t="str">
        <x:f>IF(G163="","경계 누락",IF(AND(G163&gt;=H163,G163&lt;=I163),"시간 적합","시간 확인 필요"))</x:f>
        <x:v>시간 적합</x:v>
      </x:c>
      <x:c r="K163" s="88" t="str">
        <x:v>천천히 눕기+30초 유지</x:v>
      </x:c>
      <x:c r="L163" s="88" t="str">
        <x:v>$2 최종 선택</x:v>
      </x:c>
    </x:row>
    <x:row r="164">
      <x:c r="A164" s="88" t="n">
        <x:v>16</x:v>
      </x:c>
      <x:c r="B164" s="88" t="str">
        <x:v>S16_LJH</x:v>
      </x:c>
      <x:c r="C164" s="88" t="n">
        <x:v>8</x:v>
      </x:c>
      <x:c r="D164" s="88" t="str">
        <x:v>4번 물건 집기</x:v>
      </x:c>
      <x:c r="E164" s="89" t="n">
        <x:v>1077.6160000000002</x:v>
      </x:c>
      <x:c r="F164" s="89" t="n">
        <x:v>1088.9560000000001</x:v>
      </x:c>
      <x:c r="G164" s="89" t="n">
        <x:f>IF(OR(E164="",F164=""),"",F164-E164)</x:f>
        <x:v>11.339999999999918</x:v>
      </x:c>
      <x:c r="H164" s="89" t="n">
        <x:v>5</x:v>
      </x:c>
      <x:c r="I164" s="89" t="n">
        <x:v>40</x:v>
      </x:c>
      <x:c r="J164" s="99" t="str">
        <x:f>IF(G164="","경계 누락",IF(AND(G164&gt;=H164,G164&lt;=I164),"시간 적합","시간 확인 필요"))</x:f>
        <x:v>시간 적합</x:v>
      </x:c>
      <x:c r="K164" s="88" t="str">
        <x:v>S04부터 추가된 것으로 판단</x:v>
      </x:c>
      <x:c r="L164" s="88" t="str">
        <x:v>$2 최종 선택</x:v>
      </x:c>
    </x:row>
    <x:row r="165">
      <x:c r="A165" s="88" t="n">
        <x:v>16</x:v>
      </x:c>
      <x:c r="B165" s="88" t="str">
        <x:v>S16_LJH</x:v>
      </x:c>
      <x:c r="C165" s="88" t="n">
        <x:v>9</x:v>
      </x:c>
      <x:c r="D165" s="88" t="str">
        <x:v>5번 코스</x:v>
      </x:c>
      <x:c r="E165" s="89" t="n">
        <x:v>1179.3480000000002</x:v>
      </x:c>
      <x:c r="F165" s="89" t="n">
        <x:v>1372.268</x:v>
      </x:c>
      <x:c r="G165" s="89" t="n">
        <x:f>IF(OR(E165="",F165=""),"",F165-E165)</x:f>
        <x:v>192.91999999999985</x:v>
      </x:c>
      <x:c r="H165" s="89" t="n">
        <x:v>130</x:v>
      </x:c>
      <x:c r="I165" s="89" t="n">
        <x:v>230</x:v>
      </x:c>
      <x:c r="J165" s="99" t="str">
        <x:f>IF(G165="","경계 누락",IF(AND(G165&gt;=H165,G165&lt;=I165),"시간 적합","시간 확인 필요"))</x:f>
        <x:v>시간 적합</x:v>
      </x:c>
      <x:c r="K165" s="88" t="str">
        <x:v>16칸×10초=약 160초+이동</x:v>
      </x:c>
      <x:c r="L165" s="88" t="str">
        <x:v>$2 최종 선택</x:v>
      </x:c>
    </x:row>
    <x:row r="166">
      <x:c r="A166" s="88" t="n">
        <x:v>16</x:v>
      </x:c>
      <x:c r="B166" s="88" t="str">
        <x:v>S16_LJH</x:v>
      </x:c>
      <x:c r="C166" s="88" t="n">
        <x:v>10</x:v>
      </x:c>
      <x:c r="D166" s="88" t="str">
        <x:v>6번 왕복</x:v>
      </x:c>
      <x:c r="E166" s="89" t="n">
        <x:v>1424.5800000000002</x:v>
      </x:c>
      <x:c r="F166" s="89" t="n">
        <x:v>1455.8080000000002</x:v>
      </x:c>
      <x:c r="G166" s="89" t="n">
        <x:f>IF(OR(E166="",F166=""),"",F166-E166)</x:f>
        <x:v>31.228000000000065</x:v>
      </x:c>
      <x:c r="H166" s="89" t="n">
        <x:v>5</x:v>
      </x:c>
      <x:c r="I166" s="89" t="n">
        <x:v>70</x:v>
      </x:c>
      <x:c r="J166" s="99" t="str">
        <x:f>IF(G166="","경계 누락",IF(AND(G166&gt;=H166,G166&lt;=I166),"시간 적합","시간 확인 필요"))</x:f>
        <x:v>시간 적합</x:v>
      </x:c>
      <x:c r="K166" s="88" t="str">
        <x:v>PPT 1분 미만</x:v>
      </x:c>
      <x:c r="L166" s="88" t="str">
        <x:v>$2 최종 선택</x:v>
      </x:c>
    </x:row>
    <x:row r="167">
      <x:c r="A167" s="88" t="n">
        <x:v>16</x:v>
      </x:c>
      <x:c r="B167" s="88" t="str">
        <x:v>S16_LJH</x:v>
      </x:c>
      <x:c r="C167" s="88" t="n">
        <x:v>11</x:v>
      </x:c>
      <x:c r="D167" s="88" t="str">
        <x:v>7번 자유</x:v>
      </x:c>
      <x:c r="E167" s="89" t="n">
        <x:v>1486.3120000000001</x:v>
      </x:c>
      <x:c r="F167" s="89" t="n">
        <x:v>1506.3560000000002</x:v>
      </x:c>
      <x:c r="G167" s="89" t="n">
        <x:f>IF(OR(E167="",F167=""),"",F167-E167)</x:f>
        <x:v>20.044000000000096</x:v>
      </x:c>
      <x:c r="H167" s="89" t="n">
        <x:v>5</x:v>
      </x:c>
      <x:c r="I167" s="89" t="n">
        <x:v>70</x:v>
      </x:c>
      <x:c r="J167" s="99" t="str">
        <x:f>IF(G167="","경계 누락",IF(AND(G167&gt;=H167,G167&lt;=I167),"시간 적합","시간 확인 필요"))</x:f>
        <x:v>시간 적합</x:v>
      </x:c>
      <x:c r="K167" s="88" t="str">
        <x:v>PPT 1분 미만</x:v>
      </x:c>
      <x:c r="L167" s="88" t="str">
        <x:v>$2 최종 선택</x:v>
      </x:c>
    </x:row>
    <x:row r="168">
      <x:c r="A168" s="88" t="n">
        <x:v>17</x:v>
      </x:c>
      <x:c r="B168" s="88" t="str">
        <x:v>S17_RJS</x:v>
      </x:c>
      <x:c r="C168" s="88" t="n">
        <x:v>1</x:v>
      </x:c>
      <x:c r="D168" s="88" t="str">
        <x:v>1번 호흡</x:v>
      </x:c>
      <x:c r="E168" s="89" t="n">
        <x:v>15.872500000000063</x:v>
      </x:c>
      <x:c r="F168" s="89" t="n">
        <x:v>209.80933300000004</x:v>
      </x:c>
      <x:c r="G168" s="89" t="n">
        <x:f>IF(OR(E168="",F168=""),"",F168-E168)</x:f>
        <x:v>193.93683299999998</x:v>
      </x:c>
      <x:c r="H168" s="89" t="n">
        <x:v>150</x:v>
      </x:c>
      <x:c r="I168" s="89" t="n">
        <x:v>240</x:v>
      </x:c>
      <x:c r="J168" s="99" t="str">
        <x:f>IF(G168="","경계 누락",IF(AND(G168&gt;=H168,G168&lt;=I168),"시간 적합","시간 확인 필요"))</x:f>
        <x:v>시간 적합</x:v>
      </x:c>
      <x:c r="K168" s="88" t="str">
        <x:v>PPT 3분</x:v>
      </x:c>
      <x:c r="L168" s="88" t="str">
        <x:v>$2 최종 선택</x:v>
      </x:c>
    </x:row>
    <x:row r="169">
      <x:c r="A169" s="88" t="n">
        <x:v>17</x:v>
      </x:c>
      <x:c r="B169" s="88" t="str">
        <x:v>S17_RJS</x:v>
      </x:c>
      <x:c r="C169" s="88" t="n">
        <x:v>2</x:v>
      </x:c>
      <x:c r="D169" s="88" t="str">
        <x:v>2번 호흡</x:v>
      </x:c>
      <x:c r="E169" s="89" t="n">
        <x:v>232.94600000000005</x:v>
      </x:c>
      <x:c r="F169" s="89" t="n">
        <x:v>604.3144</x:v>
      </x:c>
      <x:c r="G169" s="89" t="n">
        <x:f>IF(OR(E169="",F169=""),"",F169-E169)</x:f>
        <x:v>371.36839999999995</x:v>
      </x:c>
      <x:c r="H169" s="89" t="n">
        <x:v>240</x:v>
      </x:c>
      <x:c r="I169" s="89" t="n">
        <x:v>450</x:v>
      </x:c>
      <x:c r="J169" s="99" t="str">
        <x:f>IF(G169="","경계 누락",IF(AND(G169&gt;=H169,G169&lt;=I169),"시간 적합","시간 확인 필요"))</x:f>
        <x:v>시간 적합</x:v>
      </x:c>
      <x:c r="K169" s="88" t="str">
        <x:v>PPT 표기 4분30초 / 세부 합계 약 6분</x:v>
      </x:c>
      <x:c r="L169" s="88" t="str">
        <x:v>$2 최종 선택</x:v>
      </x:c>
    </x:row>
    <x:row r="170">
      <x:c r="A170" s="88" t="n">
        <x:v>17</x:v>
      </x:c>
      <x:c r="B170" s="88" t="str">
        <x:v>S17_RJS</x:v>
      </x:c>
      <x:c r="C170" s="88" t="n">
        <x:v>3</x:v>
      </x:c>
      <x:c r="D170" s="88" t="str">
        <x:v>3번 픽업-1</x:v>
      </x:c>
      <x:c r="E170" s="89" t="n">
        <x:v>663.212</x:v>
      </x:c>
      <x:c r="F170" s="89" t="n">
        <x:v>676.838667</x:v>
      </x:c>
      <x:c r="G170" s="89" t="n">
        <x:f>IF(OR(E170="",F170=""),"",F170-E170)</x:f>
        <x:v>13.626666999999998</x:v>
      </x:c>
      <x:c r="H170" s="89" t="n">
        <x:v>5</x:v>
      </x:c>
      <x:c r="I170" s="89" t="n">
        <x:v>90</x:v>
      </x:c>
      <x:c r="J170" s="99" t="str">
        <x:f>IF(G170="","경계 누락",IF(AND(G170&gt;=H170,G170&lt;=I170),"시간 적합","시간 확인 필요"))</x:f>
        <x:v>시간 적합</x:v>
      </x:c>
      <x:c r="K170" s="88" t="str">
        <x:v>총시간 미기재</x:v>
      </x:c>
      <x:c r="L170" s="88" t="str">
        <x:v>$2 최종 선택</x:v>
      </x:c>
    </x:row>
    <x:row r="171">
      <x:c r="A171" s="88" t="n">
        <x:v>17</x:v>
      </x:c>
      <x:c r="B171" s="88" t="str">
        <x:v>S17_RJS</x:v>
      </x:c>
      <x:c r="C171" s="88" t="n">
        <x:v>4</x:v>
      </x:c>
      <x:c r="D171" s="88" t="str">
        <x:v>3번 픽업-2</x:v>
      </x:c>
      <x:c r="E171" s="89" t="n">
        <x:v>692.6408</x:v>
      </x:c>
      <x:c r="F171" s="89" t="n">
        <x:v>705.416</x:v>
      </x:c>
      <x:c r="G171" s="89" t="n">
        <x:f>IF(OR(E171="",F171=""),"",F171-E171)</x:f>
        <x:v>12.77520000000004</x:v>
      </x:c>
      <x:c r="H171" s="89" t="n">
        <x:v>5</x:v>
      </x:c>
      <x:c r="I171" s="89" t="n">
        <x:v>90</x:v>
      </x:c>
      <x:c r="J171" s="99" t="str">
        <x:f>IF(G171="","경계 누락",IF(AND(G171&gt;=H171,G171&lt;=I171),"시간 적합","시간 확인 필요"))</x:f>
        <x:v>시간 적합</x:v>
      </x:c>
      <x:c r="K171" s="88" t="str">
        <x:v>총시간 미기재</x:v>
      </x:c>
      <x:c r="L171" s="88" t="str">
        <x:v>$2 최종 선택</x:v>
      </x:c>
    </x:row>
    <x:row r="172">
      <x:c r="A172" s="88" t="n">
        <x:v>17</x:v>
      </x:c>
      <x:c r="B172" s="88" t="str">
        <x:v>S17_RJS</x:v>
      </x:c>
      <x:c r="C172" s="88" t="n">
        <x:v>5</x:v>
      </x:c>
      <x:c r="D172" s="88" t="str">
        <x:v>4번 낙상-즉시</x:v>
      </x:c>
      <x:c r="E172" s="89" t="n">
        <x:v>756.346667</x:v>
      </x:c>
      <x:c r="F172" s="89" t="n">
        <x:v>770.616667</x:v>
      </x:c>
      <x:c r="G172" s="89" t="n">
        <x:f>IF(OR(E172="",F172=""),"",F172-E172)</x:f>
        <x:v>14.269999999999982</x:v>
      </x:c>
      <x:c r="H172" s="89" t="n">
        <x:v>5</x:v>
      </x:c>
      <x:c r="I172" s="89" t="n">
        <x:v>30</x:v>
      </x:c>
      <x:c r="J172" s="99" t="str">
        <x:f>IF(G172="","경계 누락",IF(AND(G172&gt;=H172,G172&lt;=I172),"시간 적합","시간 확인 필요"))</x:f>
        <x:v>시간 적합</x:v>
      </x:c>
      <x:c r="K172" s="88" t="str">
        <x:v>즥시 일어나기</x:v>
      </x:c>
      <x:c r="L172" s="88" t="str">
        <x:v>$2 최종 선택</x:v>
      </x:c>
    </x:row>
    <x:row r="173">
      <x:c r="A173" s="88" t="n">
        <x:v>17</x:v>
      </x:c>
      <x:c r="B173" s="88" t="str">
        <x:v>S17_RJS</x:v>
      </x:c>
      <x:c r="C173" s="88" t="n">
        <x:v>6</x:v>
      </x:c>
      <x:c r="D173" s="88" t="str">
        <x:v>4번 낙상-30초 유지</x:v>
      </x:c>
      <x:c r="E173" s="89" t="n">
        <x:v>782.38</x:v>
      </x:c>
      <x:c r="F173" s="89" t="n">
        <x:v>828.0905</x:v>
      </x:c>
      <x:c r="G173" s="89" t="n">
        <x:f>IF(OR(E173="",F173=""),"",F173-E173)</x:f>
        <x:v>45.710500000000025</x:v>
      </x:c>
      <x:c r="H173" s="89" t="n">
        <x:v>25</x:v>
      </x:c>
      <x:c r="I173" s="89" t="n">
        <x:v>75</x:v>
      </x:c>
      <x:c r="J173" s="99" t="str">
        <x:f>IF(G173="","경계 누락",IF(AND(G173&gt;=H173,G173&lt;=I173),"시간 적합","시간 확인 필요"))</x:f>
        <x:v>시간 적합</x:v>
      </x:c>
      <x:c r="K173" s="88" t="str">
        <x:v>30초 유지+이동</x:v>
      </x:c>
      <x:c r="L173" s="88" t="str">
        <x:v>$2 최종 선택</x:v>
      </x:c>
    </x:row>
    <x:row r="174">
      <x:c r="A174" s="88" t="n">
        <x:v>17</x:v>
      </x:c>
      <x:c r="B174" s="88" t="str">
        <x:v>S17_RJS</x:v>
      </x:c>
      <x:c r="C174" s="88" t="n">
        <x:v>7</x:v>
      </x:c>
      <x:c r="D174" s="88" t="str">
        <x:v>4번 낙상-천천히</x:v>
      </x:c>
      <x:c r="E174" s="89" t="n">
        <x:v>842.662857</x:v>
      </x:c>
      <x:c r="F174" s="89" t="n">
        <x:v>892.4200000000001</x:v>
      </x:c>
      <x:c r="G174" s="89" t="n">
        <x:f>IF(OR(E174="",F174=""),"",F174-E174)</x:f>
        <x:v>49.75714300000004</x:v>
      </x:c>
      <x:c r="H174" s="89" t="n">
        <x:v>25</x:v>
      </x:c>
      <x:c r="I174" s="89" t="n">
        <x:v>90</x:v>
      </x:c>
      <x:c r="J174" s="99" t="str">
        <x:f>IF(G174="","경계 누락",IF(AND(G174&gt;=H174,G174&lt;=I174),"시간 적합","시간 확인 필요"))</x:f>
        <x:v>시간 적합</x:v>
      </x:c>
      <x:c r="K174" s="88" t="str">
        <x:v>천천히 눕기+30초 유지</x:v>
      </x:c>
      <x:c r="L174" s="88" t="str">
        <x:v>$2 최종 선택</x:v>
      </x:c>
    </x:row>
    <x:row r="175">
      <x:c r="A175" s="88" t="n">
        <x:v>17</x:v>
      </x:c>
      <x:c r="B175" s="88" t="str">
        <x:v>S17_RJS</x:v>
      </x:c>
      <x:c r="C175" s="88" t="n">
        <x:v>8</x:v>
      </x:c>
      <x:c r="D175" s="88" t="str">
        <x:v>4번 물건 집기</x:v>
      </x:c>
      <x:c r="E175" s="89" t="n">
        <x:v>910.9165</x:v>
      </x:c>
      <x:c r="F175" s="89" t="n">
        <x:v>923.938667</x:v>
      </x:c>
      <x:c r="G175" s="89" t="n">
        <x:f>IF(OR(E175="",F175=""),"",F175-E175)</x:f>
        <x:v>13.022166999999968</x:v>
      </x:c>
      <x:c r="H175" s="89" t="n">
        <x:v>5</x:v>
      </x:c>
      <x:c r="I175" s="89" t="n">
        <x:v>40</x:v>
      </x:c>
      <x:c r="J175" s="99" t="str">
        <x:f>IF(G175="","경계 누락",IF(AND(G175&gt;=H175,G175&lt;=I175),"시간 적합","시간 확인 필요"))</x:f>
        <x:v>시간 적합</x:v>
      </x:c>
      <x:c r="K175" s="88" t="str">
        <x:v>S04부터 추가된 것으로 판단</x:v>
      </x:c>
      <x:c r="L175" s="88" t="str">
        <x:v>$2 최종 선택</x:v>
      </x:c>
    </x:row>
    <x:row r="176">
      <x:c r="A176" s="88" t="n">
        <x:v>17</x:v>
      </x:c>
      <x:c r="B176" s="88" t="str">
        <x:v>S17_RJS</x:v>
      </x:c>
      <x:c r="C176" s="88" t="n">
        <x:v>9</x:v>
      </x:c>
      <x:c r="D176" s="88" t="str">
        <x:v>5번 코스</x:v>
      </x:c>
      <x:c r="E176" s="89" t="n">
        <x:v>960.7520000000001</x:v>
      </x:c>
      <x:c r="F176" s="89" t="n">
        <x:v>1148.8215000000002</x:v>
      </x:c>
      <x:c r="G176" s="89" t="n">
        <x:f>IF(OR(E176="",F176=""),"",F176-E176)</x:f>
        <x:v>188.06950000000018</x:v>
      </x:c>
      <x:c r="H176" s="89" t="n">
        <x:v>130</x:v>
      </x:c>
      <x:c r="I176" s="89" t="n">
        <x:v>230</x:v>
      </x:c>
      <x:c r="J176" s="99" t="str">
        <x:f>IF(G176="","경계 누락",IF(AND(G176&gt;=H176,G176&lt;=I176),"시간 적합","시간 확인 필요"))</x:f>
        <x:v>시간 적합</x:v>
      </x:c>
      <x:c r="K176" s="88" t="str">
        <x:v>16칸×10초=약 160초+이동</x:v>
      </x:c>
      <x:c r="L176" s="88" t="str">
        <x:v>$2 최종 선택</x:v>
      </x:c>
    </x:row>
    <x:row r="177">
      <x:c r="A177" s="88" t="n">
        <x:v>17</x:v>
      </x:c>
      <x:c r="B177" s="88" t="str">
        <x:v>S17_RJS</x:v>
      </x:c>
      <x:c r="C177" s="88" t="n">
        <x:v>10</x:v>
      </x:c>
      <x:c r="D177" s="88" t="str">
        <x:v>6번 왕복</x:v>
      </x:c>
      <x:c r="E177" s="89" t="n">
        <x:v>1189.3660000000002</x:v>
      </x:c>
      <x:c r="F177" s="89" t="n">
        <x:v>1214.3860000000002</x:v>
      </x:c>
      <x:c r="G177" s="89" t="n">
        <x:f>IF(OR(E177="",F177=""),"",F177-E177)</x:f>
        <x:v>25.019999999999982</x:v>
      </x:c>
      <x:c r="H177" s="89" t="n">
        <x:v>5</x:v>
      </x:c>
      <x:c r="I177" s="89" t="n">
        <x:v>70</x:v>
      </x:c>
      <x:c r="J177" s="99" t="str">
        <x:f>IF(G177="","경계 누락",IF(AND(G177&gt;=H177,G177&lt;=I177),"시간 적합","시간 확인 필요"))</x:f>
        <x:v>시간 적합</x:v>
      </x:c>
      <x:c r="K177" s="88" t="str">
        <x:v>PPT 1분 미만</x:v>
      </x:c>
      <x:c r="L177" s="88" t="str">
        <x:v>$2 최종 선택</x:v>
      </x:c>
    </x:row>
    <x:row r="178">
      <x:c r="A178" s="88" t="n">
        <x:v>17</x:v>
      </x:c>
      <x:c r="B178" s="88" t="str">
        <x:v>S17_RJS</x:v>
      </x:c>
      <x:c r="C178" s="88" t="n">
        <x:v>11</x:v>
      </x:c>
      <x:c r="D178" s="88" t="str">
        <x:v>7번 자유</x:v>
      </x:c>
      <x:c r="E178" s="89" t="n">
        <x:v>1240.4320000000002</x:v>
      </x:c>
      <x:c r="F178" s="89" t="n">
        <x:v>1253.5580000000002</x:v>
      </x:c>
      <x:c r="G178" s="89" t="n">
        <x:f>IF(OR(E178="",F178=""),"",F178-E178)</x:f>
        <x:v>13.125999999999976</x:v>
      </x:c>
      <x:c r="H178" s="89" t="n">
        <x:v>5</x:v>
      </x:c>
      <x:c r="I178" s="89" t="n">
        <x:v>70</x:v>
      </x:c>
      <x:c r="J178" s="99" t="str">
        <x:f>IF(G178="","경계 누락",IF(AND(G178&gt;=H178,G178&lt;=I178),"시간 적합","시간 확인 필요"))</x:f>
        <x:v>시간 적합</x:v>
      </x:c>
      <x:c r="K178" s="88" t="str">
        <x:v>PPT 1분 미만</x:v>
      </x:c>
      <x:c r="L178" s="88" t="str">
        <x:v>$2 최종 선택</x:v>
      </x:c>
    </x:row>
    <x:row r="179">
      <x:c r="A179" s="88" t="n">
        <x:v>18</x:v>
      </x:c>
      <x:c r="B179" s="88" t="str">
        <x:v>S18_LJH</x:v>
      </x:c>
      <x:c r="C179" s="88" t="n">
        <x:v>1</x:v>
      </x:c>
      <x:c r="D179" s="88" t="str">
        <x:v>1번 호흡</x:v>
      </x:c>
      <x:c r="E179" s="89" t="n">
        <x:v>15.296000000000042</x:v>
      </x:c>
      <x:c r="F179" s="89" t="n">
        <x:v>211.68000000000004</x:v>
      </x:c>
      <x:c r="G179" s="89" t="n">
        <x:f>IF(OR(E179="",F179=""),"",F179-E179)</x:f>
        <x:v>196.384</x:v>
      </x:c>
      <x:c r="H179" s="89" t="n">
        <x:v>150</x:v>
      </x:c>
      <x:c r="I179" s="89" t="n">
        <x:v>240</x:v>
      </x:c>
      <x:c r="J179" s="99" t="str">
        <x:f>IF(G179="","경계 누락",IF(AND(G179&gt;=H179,G179&lt;=I179),"시간 적합","시간 확인 필요"))</x:f>
        <x:v>시간 적합</x:v>
      </x:c>
      <x:c r="K179" s="88" t="str">
        <x:v>PPT 3분</x:v>
      </x:c>
      <x:c r="L179" s="88" t="str">
        <x:v>$2 최종 선택</x:v>
      </x:c>
    </x:row>
    <x:row r="180">
      <x:c r="A180" s="88" t="n">
        <x:v>18</x:v>
      </x:c>
      <x:c r="B180" s="88" t="str">
        <x:v>S18_LJH</x:v>
      </x:c>
      <x:c r="C180" s="88" t="n">
        <x:v>2</x:v>
      </x:c>
      <x:c r="D180" s="88" t="str">
        <x:v>2번 호흡</x:v>
      </x:c>
      <x:c r="E180" s="89" t="n">
        <x:v>231.17600000000004</x:v>
      </x:c>
      <x:c r="F180" s="89" t="n">
        <x:v>603.692</x:v>
      </x:c>
      <x:c r="G180" s="89" t="n">
        <x:f>IF(OR(E180="",F180=""),"",F180-E180)</x:f>
        <x:v>372.51599999999996</x:v>
      </x:c>
      <x:c r="H180" s="89" t="n">
        <x:v>240</x:v>
      </x:c>
      <x:c r="I180" s="89" t="n">
        <x:v>450</x:v>
      </x:c>
      <x:c r="J180" s="99" t="str">
        <x:f>IF(G180="","경계 누락",IF(AND(G180&gt;=H180,G180&lt;=I180),"시간 적합","시간 확인 필요"))</x:f>
        <x:v>시간 적합</x:v>
      </x:c>
      <x:c r="K180" s="88" t="str">
        <x:v>PPT 표기 4분30초 / 세부 합계 약 6분</x:v>
      </x:c>
      <x:c r="L180" s="88" t="str">
        <x:v>$2 최종 선택</x:v>
      </x:c>
    </x:row>
    <x:row r="181">
      <x:c r="A181" s="88" t="n">
        <x:v>18</x:v>
      </x:c>
      <x:c r="B181" s="88" t="str">
        <x:v>S18_LJH</x:v>
      </x:c>
      <x:c r="C181" s="88" t="n">
        <x:v>3</x:v>
      </x:c>
      <x:c r="D181" s="88" t="str">
        <x:v>3번 픽업-1</x:v>
      </x:c>
      <x:c r="E181" s="89" t="n">
        <x:v>637.644</x:v>
      </x:c>
      <x:c r="F181" s="89" t="n">
        <x:v>652.888</x:v>
      </x:c>
      <x:c r="G181" s="89" t="n">
        <x:f>IF(OR(E181="",F181=""),"",F181-E181)</x:f>
        <x:v>15.244000000000028</x:v>
      </x:c>
      <x:c r="H181" s="89" t="n">
        <x:v>5</x:v>
      </x:c>
      <x:c r="I181" s="89" t="n">
        <x:v>90</x:v>
      </x:c>
      <x:c r="J181" s="99" t="str">
        <x:f>IF(G181="","경계 누락",IF(AND(G181&gt;=H181,G181&lt;=I181),"시간 적합","시간 확인 필요"))</x:f>
        <x:v>시간 적합</x:v>
      </x:c>
      <x:c r="K181" s="88" t="str">
        <x:v>총시간 미기재</x:v>
      </x:c>
      <x:c r="L181" s="88" t="str">
        <x:v>$2 최종 선택</x:v>
      </x:c>
    </x:row>
    <x:row r="182">
      <x:c r="A182" s="88" t="n">
        <x:v>18</x:v>
      </x:c>
      <x:c r="B182" s="88" t="str">
        <x:v>S18_LJH</x:v>
      </x:c>
      <x:c r="C182" s="88" t="n">
        <x:v>4</x:v>
      </x:c>
      <x:c r="D182" s="88" t="str">
        <x:v>3번 픽업-2</x:v>
      </x:c>
      <x:c r="E182" s="89" t="n">
        <x:v>669.5400000000001</x:v>
      </x:c>
      <x:c r="F182" s="89" t="n">
        <x:v>681.076</x:v>
      </x:c>
      <x:c r="G182" s="89" t="n">
        <x:f>IF(OR(E182="",F182=""),"",F182-E182)</x:f>
        <x:v>11.535999999999945</x:v>
      </x:c>
      <x:c r="H182" s="89" t="n">
        <x:v>5</x:v>
      </x:c>
      <x:c r="I182" s="89" t="n">
        <x:v>90</x:v>
      </x:c>
      <x:c r="J182" s="99" t="str">
        <x:f>IF(G182="","경계 누락",IF(AND(G182&gt;=H182,G182&lt;=I182),"시간 적합","시간 확인 필요"))</x:f>
        <x:v>시간 적합</x:v>
      </x:c>
      <x:c r="K182" s="88" t="str">
        <x:v>총시간 미기재</x:v>
      </x:c>
      <x:c r="L182" s="88" t="str">
        <x:v>$2 최종 선택</x:v>
      </x:c>
    </x:row>
    <x:row r="183">
      <x:c r="A183" s="88" t="n">
        <x:v>18</x:v>
      </x:c>
      <x:c r="B183" s="88" t="str">
        <x:v>S18_LJH</x:v>
      </x:c>
      <x:c r="C183" s="88" t="n">
        <x:v>5</x:v>
      </x:c>
      <x:c r="D183" s="88" t="str">
        <x:v>4번 낙상-즉시</x:v>
      </x:c>
      <x:c r="E183" s="89" t="n">
        <x:v>723.024</x:v>
      </x:c>
      <x:c r="F183" s="89" t="n">
        <x:v>737.3000000000001</x:v>
      </x:c>
      <x:c r="G183" s="89" t="n">
        <x:f>IF(OR(E183="",F183=""),"",F183-E183)</x:f>
        <x:v>14.276000000000067</x:v>
      </x:c>
      <x:c r="H183" s="89" t="n">
        <x:v>5</x:v>
      </x:c>
      <x:c r="I183" s="89" t="n">
        <x:v>30</x:v>
      </x:c>
      <x:c r="J183" s="99" t="str">
        <x:f>IF(G183="","경계 누락",IF(AND(G183&gt;=H183,G183&lt;=I183),"시간 적합","시간 확인 필요"))</x:f>
        <x:v>시간 적합</x:v>
      </x:c>
      <x:c r="K183" s="88" t="str">
        <x:v>즥시 일어나기</x:v>
      </x:c>
      <x:c r="L183" s="88" t="str">
        <x:v>$2 최종 선택</x:v>
      </x:c>
    </x:row>
    <x:row r="184">
      <x:c r="A184" s="88" t="n">
        <x:v>18</x:v>
      </x:c>
      <x:c r="B184" s="88" t="str">
        <x:v>S18_LJH</x:v>
      </x:c>
      <x:c r="C184" s="88" t="n">
        <x:v>6</x:v>
      </x:c>
      <x:c r="D184" s="88" t="str">
        <x:v>4번 낙상-30초 유지</x:v>
      </x:c>
      <x:c r="E184" s="89" t="n">
        <x:v>746.856</x:v>
      </x:c>
      <x:c r="F184" s="89" t="n">
        <x:v>792.1840000000001</x:v>
      </x:c>
      <x:c r="G184" s="89" t="n">
        <x:f>IF(OR(E184="",F184=""),"",F184-E184)</x:f>
        <x:v>45.32800000000009</x:v>
      </x:c>
      <x:c r="H184" s="89" t="n">
        <x:v>25</x:v>
      </x:c>
      <x:c r="I184" s="89" t="n">
        <x:v>75</x:v>
      </x:c>
      <x:c r="J184" s="99" t="str">
        <x:f>IF(G184="","경계 누락",IF(AND(G184&gt;=H184,G184&lt;=I184),"시간 적합","시간 확인 필요"))</x:f>
        <x:v>시간 적합</x:v>
      </x:c>
      <x:c r="K184" s="88" t="str">
        <x:v>30초 유지+이동</x:v>
      </x:c>
      <x:c r="L184" s="88" t="str">
        <x:v>$2 최종 선택</x:v>
      </x:c>
    </x:row>
    <x:row r="185">
      <x:c r="A185" s="88" t="n">
        <x:v>18</x:v>
      </x:c>
      <x:c r="B185" s="88" t="str">
        <x:v>S18_LJH</x:v>
      </x:c>
      <x:c r="C185" s="88" t="n">
        <x:v>7</x:v>
      </x:c>
      <x:c r="D185" s="88" t="str">
        <x:v>4번 낙상-천천히</x:v>
      </x:c>
      <x:c r="E185" s="89" t="n">
        <x:v>802.32</x:v>
      </x:c>
      <x:c r="F185" s="89" t="n">
        <x:v>848.24</x:v>
      </x:c>
      <x:c r="G185" s="89" t="n">
        <x:f>IF(OR(E185="",F185=""),"",F185-E185)</x:f>
        <x:v>45.91999999999996</x:v>
      </x:c>
      <x:c r="H185" s="89" t="n">
        <x:v>25</x:v>
      </x:c>
      <x:c r="I185" s="89" t="n">
        <x:v>90</x:v>
      </x:c>
      <x:c r="J185" s="99" t="str">
        <x:f>IF(G185="","경계 누락",IF(AND(G185&gt;=H185,G185&lt;=I185),"시간 적합","시간 확인 필요"))</x:f>
        <x:v>시간 적합</x:v>
      </x:c>
      <x:c r="K185" s="88" t="str">
        <x:v>천천히 눕기+30초 유지</x:v>
      </x:c>
      <x:c r="L185" s="88" t="str">
        <x:v>$2 최종 선택</x:v>
      </x:c>
    </x:row>
    <x:row r="186">
      <x:c r="A186" s="88" t="n">
        <x:v>18</x:v>
      </x:c>
      <x:c r="B186" s="88" t="str">
        <x:v>S18_LJH</x:v>
      </x:c>
      <x:c r="C186" s="88" t="n">
        <x:v>8</x:v>
      </x:c>
      <x:c r="D186" s="88" t="str">
        <x:v>4번 물건 집기</x:v>
      </x:c>
      <x:c r="E186" s="89" t="n">
        <x:v>863.268</x:v>
      </x:c>
      <x:c r="F186" s="89" t="n">
        <x:v>874.356</x:v>
      </x:c>
      <x:c r="G186" s="89" t="n">
        <x:f>IF(OR(E186="",F186=""),"",F186-E186)</x:f>
        <x:v>11.087999999999965</x:v>
      </x:c>
      <x:c r="H186" s="89" t="n">
        <x:v>5</x:v>
      </x:c>
      <x:c r="I186" s="89" t="n">
        <x:v>40</x:v>
      </x:c>
      <x:c r="J186" s="99" t="str">
        <x:f>IF(G186="","경계 누락",IF(AND(G186&gt;=H186,G186&lt;=I186),"시간 적합","시간 확인 필요"))</x:f>
        <x:v>시간 적합</x:v>
      </x:c>
      <x:c r="K186" s="88" t="str">
        <x:v>S04부터 추가된 것으로 판단</x:v>
      </x:c>
      <x:c r="L186" s="88" t="str">
        <x:v>$2 최종 선택</x:v>
      </x:c>
    </x:row>
    <x:row r="187">
      <x:c r="A187" s="88" t="n">
        <x:v>18</x:v>
      </x:c>
      <x:c r="B187" s="88" t="str">
        <x:v>S18_LJH</x:v>
      </x:c>
      <x:c r="C187" s="88" t="n">
        <x:v>9</x:v>
      </x:c>
      <x:c r="D187" s="88" t="str">
        <x:v>5번 코스</x:v>
      </x:c>
      <x:c r="E187" s="89" t="n">
        <x:v>901.676</x:v>
      </x:c>
      <x:c r="F187" s="89" t="n">
        <x:v>1085.964</x:v>
      </x:c>
      <x:c r="G187" s="89" t="n">
        <x:f>IF(OR(E187="",F187=""),"",F187-E187)</x:f>
        <x:v>184.2879999999999</x:v>
      </x:c>
      <x:c r="H187" s="89" t="n">
        <x:v>130</x:v>
      </x:c>
      <x:c r="I187" s="89" t="n">
        <x:v>230</x:v>
      </x:c>
      <x:c r="J187" s="99" t="str">
        <x:f>IF(G187="","경계 누락",IF(AND(G187&gt;=H187,G187&lt;=I187),"시간 적합","시간 확인 필요"))</x:f>
        <x:v>시간 적합</x:v>
      </x:c>
      <x:c r="K187" s="88" t="str">
        <x:v>16칸×10초=약 160초+이동</x:v>
      </x:c>
      <x:c r="L187" s="88" t="str">
        <x:v>$2 최종 선택</x:v>
      </x:c>
    </x:row>
    <x:row r="188">
      <x:c r="A188" s="88" t="n">
        <x:v>18</x:v>
      </x:c>
      <x:c r="B188" s="88" t="str">
        <x:v>S18_LJH</x:v>
      </x:c>
      <x:c r="C188" s="88" t="n">
        <x:v>10</x:v>
      </x:c>
      <x:c r="D188" s="88" t="str">
        <x:v>6번 왕복</x:v>
      </x:c>
      <x:c r="E188" s="89" t="n">
        <x:v>1103.384</x:v>
      </x:c>
      <x:c r="F188" s="89" t="n">
        <x:v>1127.688</x:v>
      </x:c>
      <x:c r="G188" s="89" t="n">
        <x:f>IF(OR(E188="",F188=""),"",F188-E188)</x:f>
        <x:v>24.304000000000087</x:v>
      </x:c>
      <x:c r="H188" s="89" t="n">
        <x:v>5</x:v>
      </x:c>
      <x:c r="I188" s="89" t="n">
        <x:v>70</x:v>
      </x:c>
      <x:c r="J188" s="99" t="str">
        <x:f>IF(G188="","경계 누락",IF(AND(G188&gt;=H188,G188&lt;=I188),"시간 적합","시간 확인 필요"))</x:f>
        <x:v>시간 적합</x:v>
      </x:c>
      <x:c r="K188" s="88" t="str">
        <x:v>PPT 1분 미만</x:v>
      </x:c>
      <x:c r="L188" s="88" t="str">
        <x:v>$2 최종 선택</x:v>
      </x:c>
    </x:row>
    <x:row r="189">
      <x:c r="A189" s="88" t="n">
        <x:v>18</x:v>
      </x:c>
      <x:c r="B189" s="88" t="str">
        <x:v>S18_LJH</x:v>
      </x:c>
      <x:c r="C189" s="88" t="n">
        <x:v>11</x:v>
      </x:c>
      <x:c r="D189" s="88" t="str">
        <x:v>7번 자유</x:v>
      </x:c>
      <x:c r="E189" s="89" t="n">
        <x:v>1139.876</x:v>
      </x:c>
      <x:c r="F189" s="89" t="n">
        <x:v>1151.364</x:v>
      </x:c>
      <x:c r="G189" s="89" t="n">
        <x:f>IF(OR(E189="",F189=""),"",F189-E189)</x:f>
        <x:v>11.488000000000056</x:v>
      </x:c>
      <x:c r="H189" s="89" t="n">
        <x:v>5</x:v>
      </x:c>
      <x:c r="I189" s="89" t="n">
        <x:v>70</x:v>
      </x:c>
      <x:c r="J189" s="99" t="str">
        <x:f>IF(G189="","경계 누락",IF(AND(G189&gt;=H189,G189&lt;=I189),"시간 적합","시간 확인 필요"))</x:f>
        <x:v>시간 적합</x:v>
      </x:c>
      <x:c r="K189" s="88" t="str">
        <x:v>PPT 1분 미만</x:v>
      </x:c>
      <x:c r="L189" s="88" t="str">
        <x:v>$2 최종 선택</x:v>
      </x:c>
    </x:row>
    <x:row r="190">
      <x:c r="A190" s="88" t="n">
        <x:v>19</x:v>
      </x:c>
      <x:c r="B190" s="88" t="str">
        <x:v>S19_CHW</x:v>
      </x:c>
      <x:c r="C190" s="88" t="n">
        <x:v>1</x:v>
      </x:c>
      <x:c r="D190" s="88" t="str">
        <x:v>1번 호흡</x:v>
      </x:c>
      <x:c r="E190" s="89" t="n">
        <x:v>19.82800000000003</x:v>
      </x:c>
      <x:c r="F190" s="89" t="n">
        <x:v>215.90000000000003</x:v>
      </x:c>
      <x:c r="G190" s="89" t="n">
        <x:f>IF(OR(E190="",F190=""),"",F190-E190)</x:f>
        <x:v>196.072</x:v>
      </x:c>
      <x:c r="H190" s="89" t="n">
        <x:v>150</x:v>
      </x:c>
      <x:c r="I190" s="89" t="n">
        <x:v>240</x:v>
      </x:c>
      <x:c r="J190" s="99" t="str">
        <x:f>IF(G190="","경계 누락",IF(AND(G190&gt;=H190,G190&lt;=I190),"시간 적합","시간 확인 필요"))</x:f>
        <x:v>시간 적합</x:v>
      </x:c>
      <x:c r="K190" s="88" t="str">
        <x:v>PPT 3분</x:v>
      </x:c>
      <x:c r="L190" s="88" t="str">
        <x:v>$2 최종 선택</x:v>
      </x:c>
    </x:row>
    <x:row r="191">
      <x:c r="A191" s="88" t="n">
        <x:v>19</x:v>
      </x:c>
      <x:c r="B191" s="88" t="str">
        <x:v>S19_CHW</x:v>
      </x:c>
      <x:c r="C191" s="88" t="n">
        <x:v>2</x:v>
      </x:c>
      <x:c r="D191" s="88" t="str">
        <x:v>2번 호흡</x:v>
      </x:c>
      <x:c r="E191" s="89" t="n">
        <x:v>272.07200000000006</x:v>
      </x:c>
      <x:c r="F191" s="89" t="n">
        <x:v>662.052</x:v>
      </x:c>
      <x:c r="G191" s="89" t="n">
        <x:f>IF(OR(E191="",F191=""),"",F191-E191)</x:f>
        <x:v>389.97999999999996</x:v>
      </x:c>
      <x:c r="H191" s="89" t="n">
        <x:v>240</x:v>
      </x:c>
      <x:c r="I191" s="89" t="n">
        <x:v>450</x:v>
      </x:c>
      <x:c r="J191" s="99" t="str">
        <x:f>IF(G191="","경계 누락",IF(AND(G191&gt;=H191,G191&lt;=I191),"시간 적합","시간 확인 필요"))</x:f>
        <x:v>시간 적합</x:v>
      </x:c>
      <x:c r="K191" s="88" t="str">
        <x:v>PPT 표기 4분30초 / 세부 합계 약 6분</x:v>
      </x:c>
      <x:c r="L191" s="88" t="str">
        <x:v>$2 최종 선택</x:v>
      </x:c>
    </x:row>
    <x:row r="192">
      <x:c r="A192" s="88" t="n">
        <x:v>19</x:v>
      </x:c>
      <x:c r="B192" s="88" t="str">
        <x:v>S19_CHW</x:v>
      </x:c>
      <x:c r="C192" s="88" t="n">
        <x:v>3</x:v>
      </x:c>
      <x:c r="D192" s="88" t="str">
        <x:v>3번 픽업-1</x:v>
      </x:c>
      <x:c r="E192" s="89" t="n">
        <x:v>763.568</x:v>
      </x:c>
      <x:c r="F192" s="89" t="n">
        <x:v>783.864</x:v>
      </x:c>
      <x:c r="G192" s="89" t="n">
        <x:f>IF(OR(E192="",F192=""),"",F192-E192)</x:f>
        <x:v>20.29600000000005</x:v>
      </x:c>
      <x:c r="H192" s="89" t="n">
        <x:v>5</x:v>
      </x:c>
      <x:c r="I192" s="89" t="n">
        <x:v>90</x:v>
      </x:c>
      <x:c r="J192" s="99" t="str">
        <x:f>IF(G192="","경계 누락",IF(AND(G192&gt;=H192,G192&lt;=I192),"시간 적합","시간 확인 필요"))</x:f>
        <x:v>시간 적합</x:v>
      </x:c>
      <x:c r="K192" s="88" t="str">
        <x:v>총시간 미기재</x:v>
      </x:c>
      <x:c r="L192" s="88" t="str">
        <x:v>$2 최종 선택</x:v>
      </x:c>
    </x:row>
    <x:row r="193">
      <x:c r="A193" s="88" t="n">
        <x:v>19</x:v>
      </x:c>
      <x:c r="B193" s="88" t="str">
        <x:v>S19_CHW</x:v>
      </x:c>
      <x:c r="C193" s="88" t="n">
        <x:v>4</x:v>
      </x:c>
      <x:c r="D193" s="88" t="str">
        <x:v>3번 픽업-2</x:v>
      </x:c>
      <x:c r="E193" s="89" t="n">
        <x:v>799.476</x:v>
      </x:c>
      <x:c r="F193" s="89" t="n">
        <x:v>816.428</x:v>
      </x:c>
      <x:c r="G193" s="89" t="n">
        <x:f>IF(OR(E193="",F193=""),"",F193-E193)</x:f>
        <x:v>16.951999999999998</x:v>
      </x:c>
      <x:c r="H193" s="89" t="n">
        <x:v>5</x:v>
      </x:c>
      <x:c r="I193" s="89" t="n">
        <x:v>90</x:v>
      </x:c>
      <x:c r="J193" s="99" t="str">
        <x:f>IF(G193="","경계 누락",IF(AND(G193&gt;=H193,G193&lt;=I193),"시간 적합","시간 확인 필요"))</x:f>
        <x:v>시간 적합</x:v>
      </x:c>
      <x:c r="K193" s="88" t="str">
        <x:v>총시간 미기재</x:v>
      </x:c>
      <x:c r="L193" s="88" t="str">
        <x:v>$2 최종 선택</x:v>
      </x:c>
    </x:row>
    <x:row r="194">
      <x:c r="A194" s="88" t="n">
        <x:v>19</x:v>
      </x:c>
      <x:c r="B194" s="88" t="str">
        <x:v>S19_CHW</x:v>
      </x:c>
      <x:c r="C194" s="88" t="n">
        <x:v>5</x:v>
      </x:c>
      <x:c r="D194" s="88" t="str">
        <x:v>4번 낙상-즉시</x:v>
      </x:c>
      <x:c r="E194" s="89" t="n">
        <x:v>926.766</x:v>
      </x:c>
      <x:c r="F194" s="89" t="n">
        <x:v>954.068</x:v>
      </x:c>
      <x:c r="G194" s="89" t="n">
        <x:f>IF(OR(E194="",F194=""),"",F194-E194)</x:f>
        <x:v>27.30200000000002</x:v>
      </x:c>
      <x:c r="H194" s="89" t="n">
        <x:v>5</x:v>
      </x:c>
      <x:c r="I194" s="89" t="n">
        <x:v>30</x:v>
      </x:c>
      <x:c r="J194" s="99" t="str">
        <x:f>IF(G194="","경계 누락",IF(AND(G194&gt;=H194,G194&lt;=I194),"시간 적합","시간 확인 필요"))</x:f>
        <x:v>시간 적합</x:v>
      </x:c>
      <x:c r="K194" s="88" t="str">
        <x:v>즥시 일어나기</x:v>
      </x:c>
      <x:c r="L194" s="88" t="str">
        <x:v>$2 최종 선택</x:v>
      </x:c>
    </x:row>
    <x:row r="195">
      <x:c r="A195" s="88" t="n">
        <x:v>19</x:v>
      </x:c>
      <x:c r="B195" s="88" t="str">
        <x:v>S19_CHW</x:v>
      </x:c>
      <x:c r="C195" s="88" t="n">
        <x:v>6</x:v>
      </x:c>
      <x:c r="D195" s="88" t="str">
        <x:v>4번 낙상-30초 유지</x:v>
      </x:c>
      <x:c r="E195" s="89" t="n">
        <x:v>962.232</x:v>
      </x:c>
      <x:c r="F195" s="89" t="n">
        <x:v>1009.592</x:v>
      </x:c>
      <x:c r="G195" s="89" t="n">
        <x:f>IF(OR(E195="",F195=""),"",F195-E195)</x:f>
        <x:v>47.360000000000014</x:v>
      </x:c>
      <x:c r="H195" s="89" t="n">
        <x:v>25</x:v>
      </x:c>
      <x:c r="I195" s="89" t="n">
        <x:v>75</x:v>
      </x:c>
      <x:c r="J195" s="99" t="str">
        <x:f>IF(G195="","경계 누락",IF(AND(G195&gt;=H195,G195&lt;=I195),"시간 적합","시간 확인 필요"))</x:f>
        <x:v>시간 적합</x:v>
      </x:c>
      <x:c r="K195" s="88" t="str">
        <x:v>30초 유지+이동</x:v>
      </x:c>
      <x:c r="L195" s="88" t="str">
        <x:v>$2 최종 선택</x:v>
      </x:c>
    </x:row>
    <x:row r="196">
      <x:c r="A196" s="88" t="n">
        <x:v>19</x:v>
      </x:c>
      <x:c r="B196" s="88" t="str">
        <x:v>S19_CHW</x:v>
      </x:c>
      <x:c r="C196" s="88" t="n">
        <x:v>7</x:v>
      </x:c>
      <x:c r="D196" s="88" t="str">
        <x:v>4번 낙상-천천히</x:v>
      </x:c>
      <x:c r="E196" s="89" t="n">
        <x:v>1024.328</x:v>
      </x:c>
      <x:c r="F196" s="89" t="n">
        <x:v>1076.0880000000002</x:v>
      </x:c>
      <x:c r="G196" s="89" t="n">
        <x:f>IF(OR(E196="",F196=""),"",F196-E196)</x:f>
        <x:v>51.76000000000022</x:v>
      </x:c>
      <x:c r="H196" s="89" t="n">
        <x:v>25</x:v>
      </x:c>
      <x:c r="I196" s="89" t="n">
        <x:v>90</x:v>
      </x:c>
      <x:c r="J196" s="99" t="str">
        <x:f>IF(G196="","경계 누락",IF(AND(G196&gt;=H196,G196&lt;=I196),"시간 적합","시간 확인 필요"))</x:f>
        <x:v>시간 적합</x:v>
      </x:c>
      <x:c r="K196" s="88" t="str">
        <x:v>천천히 눕기+30초 유지</x:v>
      </x:c>
      <x:c r="L196" s="88" t="str">
        <x:v>$2 최종 선택</x:v>
      </x:c>
    </x:row>
    <x:row r="197">
      <x:c r="A197" s="88" t="n">
        <x:v>19</x:v>
      </x:c>
      <x:c r="B197" s="88" t="str">
        <x:v>S19_CHW</x:v>
      </x:c>
      <x:c r="C197" s="88" t="n">
        <x:v>8</x:v>
      </x:c>
      <x:c r="D197" s="88" t="str">
        <x:v>4번 물건 집기</x:v>
      </x:c>
      <x:c r="E197" s="89" t="n">
        <x:v>1096.346</x:v>
      </x:c>
      <x:c r="F197" s="89" t="n">
        <x:v>1106.604</x:v>
      </x:c>
      <x:c r="G197" s="89" t="n">
        <x:f>IF(OR(E197="",F197=""),"",F197-E197)</x:f>
        <x:v>10.258000000000038</x:v>
      </x:c>
      <x:c r="H197" s="89" t="n">
        <x:v>5</x:v>
      </x:c>
      <x:c r="I197" s="89" t="n">
        <x:v>40</x:v>
      </x:c>
      <x:c r="J197" s="99" t="str">
        <x:f>IF(G197="","경계 누락",IF(AND(G197&gt;=H197,G197&lt;=I197),"시간 적합","시간 확인 필요"))</x:f>
        <x:v>시간 적합</x:v>
      </x:c>
      <x:c r="K197" s="88" t="str">
        <x:v>S04부터 추가된 것으로 판단</x:v>
      </x:c>
      <x:c r="L197" s="88" t="str">
        <x:v>$2 최종 선택</x:v>
      </x:c>
    </x:row>
    <x:row r="198">
      <x:c r="A198" s="88" t="n">
        <x:v>19</x:v>
      </x:c>
      <x:c r="B198" s="88" t="str">
        <x:v>S19_CHW</x:v>
      </x:c>
      <x:c r="C198" s="88" t="n">
        <x:v>9</x:v>
      </x:c>
      <x:c r="D198" s="88" t="str">
        <x:v>5번 코스</x:v>
      </x:c>
      <x:c r="E198" s="89" t="n">
        <x:v>1188.496</x:v>
      </x:c>
      <x:c r="F198" s="89" t="n">
        <x:v>1372.364</x:v>
      </x:c>
      <x:c r="G198" s="89" t="n">
        <x:f>IF(OR(E198="",F198=""),"",F198-E198)</x:f>
        <x:v>183.86799999999994</x:v>
      </x:c>
      <x:c r="H198" s="89" t="n">
        <x:v>130</x:v>
      </x:c>
      <x:c r="I198" s="89" t="n">
        <x:v>230</x:v>
      </x:c>
      <x:c r="J198" s="99" t="str">
        <x:f>IF(G198="","경계 누락",IF(AND(G198&gt;=H198,G198&lt;=I198),"시간 적합","시간 확인 필요"))</x:f>
        <x:v>시간 적합</x:v>
      </x:c>
      <x:c r="K198" s="88" t="str">
        <x:v>16칸×10초=약 160초+이동</x:v>
      </x:c>
      <x:c r="L198" s="88" t="str">
        <x:v>$2 최종 선택</x:v>
      </x:c>
    </x:row>
    <x:row r="199">
      <x:c r="A199" s="88" t="n">
        <x:v>19</x:v>
      </x:c>
      <x:c r="B199" s="88" t="str">
        <x:v>S19_CHW</x:v>
      </x:c>
      <x:c r="C199" s="88" t="n">
        <x:v>10</x:v>
      </x:c>
      <x:c r="D199" s="88" t="str">
        <x:v>6번 왕복</x:v>
      </x:c>
      <x:c r="E199" s="89" t="n">
        <x:v>1429.692</x:v>
      </x:c>
      <x:c r="F199" s="89" t="n">
        <x:v>1454.9060000000002</x:v>
      </x:c>
      <x:c r="G199" s="89" t="n">
        <x:f>IF(OR(E199="",F199=""),"",F199-E199)</x:f>
        <x:v>25.21400000000017</x:v>
      </x:c>
      <x:c r="H199" s="89" t="n">
        <x:v>5</x:v>
      </x:c>
      <x:c r="I199" s="89" t="n">
        <x:v>70</x:v>
      </x:c>
      <x:c r="J199" s="99" t="str">
        <x:f>IF(G199="","경계 누락",IF(AND(G199&gt;=H199,G199&lt;=I199),"시간 적합","시간 확인 필요"))</x:f>
        <x:v>시간 적합</x:v>
      </x:c>
      <x:c r="K199" s="88" t="str">
        <x:v>PPT 1분 미만</x:v>
      </x:c>
      <x:c r="L199" s="88" t="str">
        <x:v>$2 최종 선택</x:v>
      </x:c>
    </x:row>
    <x:row r="200">
      <x:c r="A200" s="88" t="n">
        <x:v>19</x:v>
      </x:c>
      <x:c r="B200" s="88" t="str">
        <x:v>S19_CHW</x:v>
      </x:c>
      <x:c r="C200" s="88" t="n">
        <x:v>11</x:v>
      </x:c>
      <x:c r="D200" s="88" t="str">
        <x:v>7번 자유</x:v>
      </x:c>
      <x:c r="E200" s="89" t="n">
        <x:v>1485.52</x:v>
      </x:c>
      <x:c r="F200" s="89" t="n">
        <x:v>1507.4640000000002</x:v>
      </x:c>
      <x:c r="G200" s="89" t="n">
        <x:f>IF(OR(E200="",F200=""),"",F200-E200)</x:f>
        <x:v>21.944000000000187</x:v>
      </x:c>
      <x:c r="H200" s="89" t="n">
        <x:v>5</x:v>
      </x:c>
      <x:c r="I200" s="89" t="n">
        <x:v>70</x:v>
      </x:c>
      <x:c r="J200" s="99" t="str">
        <x:f>IF(G200="","경계 누락",IF(AND(G200&gt;=H200,G200&lt;=I200),"시간 적합","시간 확인 필요"))</x:f>
        <x:v>시간 적합</x:v>
      </x:c>
      <x:c r="K200" s="88" t="str">
        <x:v>PPT 1분 미만</x:v>
      </x:c>
      <x:c r="L200" s="88" t="str">
        <x:v>$2 최종 선택</x:v>
      </x:c>
    </x:row>
    <x:row r="201">
      <x:c r="A201" s="88" t="n">
        <x:v>20</x:v>
      </x:c>
      <x:c r="B201" s="88" t="str">
        <x:v>S20_YSE</x:v>
      </x:c>
      <x:c r="C201" s="88" t="n">
        <x:v>1</x:v>
      </x:c>
      <x:c r="D201" s="88" t="str">
        <x:v>1번 호흡</x:v>
      </x:c>
      <x:c r="E201" s="89" t="n">
        <x:v>11.204000000000049</x:v>
      </x:c>
      <x:c r="F201" s="89" t="n">
        <x:v>207.54800000000006</x:v>
      </x:c>
      <x:c r="G201" s="89" t="n">
        <x:f>IF(OR(E201="",F201=""),"",F201-E201)</x:f>
        <x:v>196.34400000000002</x:v>
      </x:c>
      <x:c r="H201" s="89" t="n">
        <x:v>150</x:v>
      </x:c>
      <x:c r="I201" s="89" t="n">
        <x:v>240</x:v>
      </x:c>
      <x:c r="J201" s="99" t="str">
        <x:f>IF(G201="","경계 누락",IF(AND(G201&gt;=H201,G201&lt;=I201),"시간 적합","시간 확인 필요"))</x:f>
        <x:v>시간 적합</x:v>
      </x:c>
      <x:c r="K201" s="88" t="str">
        <x:v>PPT 3분</x:v>
      </x:c>
      <x:c r="L201" s="88" t="str">
        <x:v>$2 최종 선택</x:v>
      </x:c>
    </x:row>
    <x:row r="202">
      <x:c r="A202" s="88" t="n">
        <x:v>20</x:v>
      </x:c>
      <x:c r="B202" s="88" t="str">
        <x:v>S20_YSE</x:v>
      </x:c>
      <x:c r="C202" s="88" t="n">
        <x:v>2</x:v>
      </x:c>
      <x:c r="D202" s="88" t="str">
        <x:v>2번 호흡</x:v>
      </x:c>
      <x:c r="E202" s="89" t="n">
        <x:v>229.71200000000005</x:v>
      </x:c>
      <x:c r="F202" s="89" t="n">
        <x:v>600.7440000000001</x:v>
      </x:c>
      <x:c r="G202" s="89" t="n">
        <x:f>IF(OR(E202="",F202=""),"",F202-E202)</x:f>
        <x:v>371.0320000000001</x:v>
      </x:c>
      <x:c r="H202" s="89" t="n">
        <x:v>240</x:v>
      </x:c>
      <x:c r="I202" s="89" t="n">
        <x:v>450</x:v>
      </x:c>
      <x:c r="J202" s="99" t="str">
        <x:f>IF(G202="","경계 누락",IF(AND(G202&gt;=H202,G202&lt;=I202),"시간 적합","시간 확인 필요"))</x:f>
        <x:v>시간 적합</x:v>
      </x:c>
      <x:c r="K202" s="88" t="str">
        <x:v>PPT 표기 4분30초 / 세부 합계 약 6분</x:v>
      </x:c>
      <x:c r="L202" s="88" t="str">
        <x:v>$2 최종 선택</x:v>
      </x:c>
    </x:row>
    <x:row r="203">
      <x:c r="A203" s="88" t="n">
        <x:v>20</x:v>
      </x:c>
      <x:c r="B203" s="88" t="str">
        <x:v>S20_YSE</x:v>
      </x:c>
      <x:c r="C203" s="88" t="n">
        <x:v>3</x:v>
      </x:c>
      <x:c r="D203" s="88" t="str">
        <x:v>3번 픽업-1</x:v>
      </x:c>
      <x:c r="E203" s="89" t="n">
        <x:v>648.9960000000001</x:v>
      </x:c>
      <x:c r="F203" s="89" t="n">
        <x:v>661.7120000000001</x:v>
      </x:c>
      <x:c r="G203" s="89" t="n">
        <x:f>IF(OR(E203="",F203=""),"",F203-E203)</x:f>
        <x:v>12.716000000000008</x:v>
      </x:c>
      <x:c r="H203" s="89" t="n">
        <x:v>5</x:v>
      </x:c>
      <x:c r="I203" s="89" t="n">
        <x:v>90</x:v>
      </x:c>
      <x:c r="J203" s="99" t="str">
        <x:f>IF(G203="","경계 누락",IF(AND(G203&gt;=H203,G203&lt;=I203),"시간 적합","시간 확인 필요"))</x:f>
        <x:v>시간 적합</x:v>
      </x:c>
      <x:c r="K203" s="88" t="str">
        <x:v>총시간 미기재</x:v>
      </x:c>
      <x:c r="L203" s="88" t="str">
        <x:v>$2 최종 선택</x:v>
      </x:c>
    </x:row>
    <x:row r="204">
      <x:c r="A204" s="88" t="n">
        <x:v>20</x:v>
      </x:c>
      <x:c r="B204" s="88" t="str">
        <x:v>S20_YSE</x:v>
      </x:c>
      <x:c r="C204" s="88" t="n">
        <x:v>4</x:v>
      </x:c>
      <x:c r="D204" s="88" t="str">
        <x:v>3번 픽업-2</x:v>
      </x:c>
      <x:c r="E204" s="89" t="n">
        <x:v>681.0520000000001</x:v>
      </x:c>
      <x:c r="F204" s="89" t="n">
        <x:v>693.2280000000001</x:v>
      </x:c>
      <x:c r="G204" s="89" t="n">
        <x:f>IF(OR(E204="",F204=""),"",F204-E204)</x:f>
        <x:v>12.17599999999993</x:v>
      </x:c>
      <x:c r="H204" s="89" t="n">
        <x:v>5</x:v>
      </x:c>
      <x:c r="I204" s="89" t="n">
        <x:v>90</x:v>
      </x:c>
      <x:c r="J204" s="99" t="str">
        <x:f>IF(G204="","경계 누락",IF(AND(G204&gt;=H204,G204&lt;=I204),"시간 적합","시간 확인 필요"))</x:f>
        <x:v>시간 적합</x:v>
      </x:c>
      <x:c r="K204" s="88" t="str">
        <x:v>총시간 미기재</x:v>
      </x:c>
      <x:c r="L204" s="88" t="str">
        <x:v>$2 최종 선택</x:v>
      </x:c>
    </x:row>
    <x:row r="205">
      <x:c r="A205" s="88" t="n">
        <x:v>20</x:v>
      </x:c>
      <x:c r="B205" s="88" t="str">
        <x:v>S20_YSE</x:v>
      </x:c>
      <x:c r="C205" s="88" t="n">
        <x:v>5</x:v>
      </x:c>
      <x:c r="D205" s="88" t="str">
        <x:v>4번 낙상-즉시</x:v>
      </x:c>
      <x:c r="E205" s="89" t="n">
        <x:v>756.1440000000001</x:v>
      </x:c>
      <x:c r="F205" s="89" t="n">
        <x:v>770.7160000000001</x:v>
      </x:c>
      <x:c r="G205" s="89" t="n">
        <x:f>IF(OR(E205="",F205=""),"",F205-E205)</x:f>
        <x:v>14.572000000000003</x:v>
      </x:c>
      <x:c r="H205" s="89" t="n">
        <x:v>5</x:v>
      </x:c>
      <x:c r="I205" s="89" t="n">
        <x:v>30</x:v>
      </x:c>
      <x:c r="J205" s="99" t="str">
        <x:f>IF(G205="","경계 누락",IF(AND(G205&gt;=H205,G205&lt;=I205),"시간 적합","시간 확인 필요"))</x:f>
        <x:v>시간 적합</x:v>
      </x:c>
      <x:c r="K205" s="88" t="str">
        <x:v>즥시 일어나기</x:v>
      </x:c>
      <x:c r="L205" s="88" t="str">
        <x:v>$2 최종 선택</x:v>
      </x:c>
    </x:row>
    <x:row r="206">
      <x:c r="A206" s="88" t="n">
        <x:v>20</x:v>
      </x:c>
      <x:c r="B206" s="88" t="str">
        <x:v>S20_YSE</x:v>
      </x:c>
      <x:c r="C206" s="88" t="n">
        <x:v>6</x:v>
      </x:c>
      <x:c r="D206" s="88" t="str">
        <x:v>4번 낙상-30초 유지</x:v>
      </x:c>
      <x:c r="E206" s="89" t="n">
        <x:v>789.3400000000001</x:v>
      </x:c>
      <x:c r="F206" s="89" t="n">
        <x:v>836.5000000000001</x:v>
      </x:c>
      <x:c r="G206" s="89" t="n">
        <x:f>IF(OR(E206="",F206=""),"",F206-E206)</x:f>
        <x:v>47.15999999999997</x:v>
      </x:c>
      <x:c r="H206" s="89" t="n">
        <x:v>25</x:v>
      </x:c>
      <x:c r="I206" s="89" t="n">
        <x:v>75</x:v>
      </x:c>
      <x:c r="J206" s="99" t="str">
        <x:f>IF(G206="","경계 누락",IF(AND(G206&gt;=H206,G206&lt;=I206),"시간 적합","시간 확인 필요"))</x:f>
        <x:v>시간 적합</x:v>
      </x:c>
      <x:c r="K206" s="88" t="str">
        <x:v>30초 유지+이동</x:v>
      </x:c>
      <x:c r="L206" s="88" t="str">
        <x:v>$2 최종 선택</x:v>
      </x:c>
    </x:row>
    <x:row r="207">
      <x:c r="A207" s="88" t="n">
        <x:v>20</x:v>
      </x:c>
      <x:c r="B207" s="88" t="str">
        <x:v>S20_YSE</x:v>
      </x:c>
      <x:c r="C207" s="88" t="n">
        <x:v>7</x:v>
      </x:c>
      <x:c r="D207" s="88" t="str">
        <x:v>4번 낙상-천천히</x:v>
      </x:c>
      <x:c r="E207" s="89" t="n">
        <x:v>847.8760000000001</x:v>
      </x:c>
      <x:c r="F207" s="89" t="n">
        <x:v>890.6000000000001</x:v>
      </x:c>
      <x:c r="G207" s="89" t="n">
        <x:f>IF(OR(E207="",F207=""),"",F207-E207)</x:f>
        <x:v>42.724000000000046</x:v>
      </x:c>
      <x:c r="H207" s="89" t="n">
        <x:v>25</x:v>
      </x:c>
      <x:c r="I207" s="89" t="n">
        <x:v>90</x:v>
      </x:c>
      <x:c r="J207" s="99" t="str">
        <x:f>IF(G207="","경계 누락",IF(AND(G207&gt;=H207,G207&lt;=I207),"시간 적합","시간 확인 필요"))</x:f>
        <x:v>시간 적합</x:v>
      </x:c>
      <x:c r="K207" s="88" t="str">
        <x:v>천천히 눕기+30초 유지</x:v>
      </x:c>
      <x:c r="L207" s="88" t="str">
        <x:v>$2 최종 선택</x:v>
      </x:c>
    </x:row>
    <x:row r="208">
      <x:c r="A208" s="88" t="n">
        <x:v>20</x:v>
      </x:c>
      <x:c r="B208" s="88" t="str">
        <x:v>S20_YSE</x:v>
      </x:c>
      <x:c r="C208" s="88" t="n">
        <x:v>8</x:v>
      </x:c>
      <x:c r="D208" s="88" t="str">
        <x:v>4번 물건 집기</x:v>
      </x:c>
      <x:c r="E208" s="89" t="n">
        <x:v>894.6840000000001</x:v>
      </x:c>
      <x:c r="F208" s="89" t="n">
        <x:v>927.4040000000001</x:v>
      </x:c>
      <x:c r="G208" s="89" t="n">
        <x:f>IF(OR(E208="",F208=""),"",F208-E208)</x:f>
        <x:v>32.72000000000003</x:v>
      </x:c>
      <x:c r="H208" s="89" t="n">
        <x:v>5</x:v>
      </x:c>
      <x:c r="I208" s="89" t="n">
        <x:v>40</x:v>
      </x:c>
      <x:c r="J208" s="99" t="str">
        <x:f>IF(G208="","경계 누락",IF(AND(G208&gt;=H208,G208&lt;=I208),"시간 적합","시간 확인 필요"))</x:f>
        <x:v>시간 적합</x:v>
      </x:c>
      <x:c r="K208" s="88" t="str">
        <x:v>S04부터 추가된 것으로 판단</x:v>
      </x:c>
      <x:c r="L208" s="88" t="str">
        <x:v>$2 최종 선택</x:v>
      </x:c>
    </x:row>
    <x:row r="209">
      <x:c r="A209" s="88" t="n">
        <x:v>20</x:v>
      </x:c>
      <x:c r="B209" s="88" t="str">
        <x:v>S20_YSE</x:v>
      </x:c>
      <x:c r="C209" s="88" t="n">
        <x:v>9</x:v>
      </x:c>
      <x:c r="D209" s="88" t="str">
        <x:v>5번 코스</x:v>
      </x:c>
      <x:c r="E209" s="89" t="n">
        <x:v>965.7680000000001</x:v>
      </x:c>
      <x:c r="F209" s="89" t="n">
        <x:v>1155.384</x:v>
      </x:c>
      <x:c r="G209" s="89" t="n">
        <x:f>IF(OR(E209="",F209=""),"",F209-E209)</x:f>
        <x:v>189.61599999999987</x:v>
      </x:c>
      <x:c r="H209" s="89" t="n">
        <x:v>130</x:v>
      </x:c>
      <x:c r="I209" s="89" t="n">
        <x:v>230</x:v>
      </x:c>
      <x:c r="J209" s="99" t="str">
        <x:f>IF(G209="","경계 누락",IF(AND(G209&gt;=H209,G209&lt;=I209),"시간 적합","시간 확인 필요"))</x:f>
        <x:v>시간 적합</x:v>
      </x:c>
      <x:c r="K209" s="88" t="str">
        <x:v>16칸×10초=약 160초+이동</x:v>
      </x:c>
      <x:c r="L209" s="88" t="str">
        <x:v>$2 최종 선택</x:v>
      </x:c>
    </x:row>
    <x:row r="210">
      <x:c r="A210" s="88" t="n">
        <x:v>20</x:v>
      </x:c>
      <x:c r="B210" s="88" t="str">
        <x:v>S20_YSE</x:v>
      </x:c>
      <x:c r="C210" s="88" t="n">
        <x:v>10</x:v>
      </x:c>
      <x:c r="D210" s="88" t="str">
        <x:v>6번 왕복</x:v>
      </x:c>
      <x:c r="E210" s="89" t="n">
        <x:v>1178.794</x:v>
      </x:c>
      <x:c r="F210" s="89" t="n">
        <x:v>1203.0320000000002</x:v>
      </x:c>
      <x:c r="G210" s="89" t="n">
        <x:f>IF(OR(E210="",F210=""),"",F210-E210)</x:f>
        <x:v>24.238000000000056</x:v>
      </x:c>
      <x:c r="H210" s="89" t="n">
        <x:v>5</x:v>
      </x:c>
      <x:c r="I210" s="89" t="n">
        <x:v>70</x:v>
      </x:c>
      <x:c r="J210" s="99" t="str">
        <x:f>IF(G210="","경계 누락",IF(AND(G210&gt;=H210,G210&lt;=I210),"시간 적합","시간 확인 필요"))</x:f>
        <x:v>시간 적합</x:v>
      </x:c>
      <x:c r="K210" s="88" t="str">
        <x:v>PPT 1분 미만</x:v>
      </x:c>
      <x:c r="L210" s="88" t="str">
        <x:v>$2 최종 선택</x:v>
      </x:c>
    </x:row>
    <x:row r="211">
      <x:c r="A211" s="88" t="n">
        <x:v>20</x:v>
      </x:c>
      <x:c r="B211" s="88" t="str">
        <x:v>S20_YSE</x:v>
      </x:c>
      <x:c r="C211" s="88" t="n">
        <x:v>11</x:v>
      </x:c>
      <x:c r="D211" s="88" t="str">
        <x:v>7번 자유</x:v>
      </x:c>
      <x:c r="E211" s="89" t="n">
        <x:v>1225.256</x:v>
      </x:c>
      <x:c r="F211" s="89" t="n">
        <x:v>1234.496</x:v>
      </x:c>
      <x:c r="G211" s="89" t="n">
        <x:f>IF(OR(E211="",F211=""),"",F211-E211)</x:f>
        <x:v>9.240000000000009</x:v>
      </x:c>
      <x:c r="H211" s="89" t="n">
        <x:v>5</x:v>
      </x:c>
      <x:c r="I211" s="89" t="n">
        <x:v>70</x:v>
      </x:c>
      <x:c r="J211" s="99" t="str">
        <x:f>IF(G211="","경계 누락",IF(AND(G211&gt;=H211,G211&lt;=I211),"시간 적합","시간 확인 필요"))</x:f>
        <x:v>시간 적합</x:v>
      </x:c>
      <x:c r="K211" s="88" t="str">
        <x:v>PPT 1분 미만</x:v>
      </x:c>
      <x:c r="L211" s="88" t="str">
        <x:v>$2 최종 선택</x:v>
      </x:c>
    </x:row>
    <x:row r="212">
      <x:c r="A212" s="88" t="n">
        <x:v>21</x:v>
      </x:c>
      <x:c r="B212" s="88" t="str">
        <x:v>S21_PSJ</x:v>
      </x:c>
      <x:c r="C212" s="88" t="n">
        <x:v>1</x:v>
      </x:c>
      <x:c r="D212" s="88" t="str">
        <x:v>1번 호흡</x:v>
      </x:c>
      <x:c r="E212" s="89" t="n">
        <x:v>19.952000000000034</x:v>
      </x:c>
      <x:c r="F212" s="89" t="n">
        <x:v>214.06000000000003</x:v>
      </x:c>
      <x:c r="G212" s="89" t="n">
        <x:f>IF(OR(E212="",F212=""),"",F212-E212)</x:f>
        <x:v>194.108</x:v>
      </x:c>
      <x:c r="H212" s="89" t="n">
        <x:v>150</x:v>
      </x:c>
      <x:c r="I212" s="89" t="n">
        <x:v>240</x:v>
      </x:c>
      <x:c r="J212" s="99" t="str">
        <x:f>IF(G212="","경계 누락",IF(AND(G212&gt;=H212,G212&lt;=I212),"시간 적합","시간 확인 필요"))</x:f>
        <x:v>시간 적합</x:v>
      </x:c>
      <x:c r="K212" s="88" t="str">
        <x:v>PPT 3분</x:v>
      </x:c>
      <x:c r="L212" s="88" t="str">
        <x:v>$2 최종 선택</x:v>
      </x:c>
    </x:row>
    <x:row r="213">
      <x:c r="A213" s="88" t="n">
        <x:v>21</x:v>
      </x:c>
      <x:c r="B213" s="88" t="str">
        <x:v>S21_PSJ</x:v>
      </x:c>
      <x:c r="C213" s="88" t="n">
        <x:v>2</x:v>
      </x:c>
      <x:c r="D213" s="88" t="str">
        <x:v>2번 호흡</x:v>
      </x:c>
      <x:c r="E213" s="89" t="n">
        <x:v>235.40400000000005</x:v>
      </x:c>
      <x:c r="F213" s="89" t="n">
        <x:v>612.2120000000001</x:v>
      </x:c>
      <x:c r="G213" s="89" t="n">
        <x:f>IF(OR(E213="",F213=""),"",F213-E213)</x:f>
        <x:v>376.80800000000005</x:v>
      </x:c>
      <x:c r="H213" s="89" t="n">
        <x:v>240</x:v>
      </x:c>
      <x:c r="I213" s="89" t="n">
        <x:v>450</x:v>
      </x:c>
      <x:c r="J213" s="99" t="str">
        <x:f>IF(G213="","경계 누락",IF(AND(G213&gt;=H213,G213&lt;=I213),"시간 적합","시간 확인 필요"))</x:f>
        <x:v>시간 적합</x:v>
      </x:c>
      <x:c r="K213" s="88" t="str">
        <x:v>PPT 표기 4분30초 / 세부 합계 약 6분</x:v>
      </x:c>
      <x:c r="L213" s="88" t="str">
        <x:v>$2 최종 선택</x:v>
      </x:c>
    </x:row>
    <x:row r="214">
      <x:c r="A214" s="88" t="n">
        <x:v>21</x:v>
      </x:c>
      <x:c r="B214" s="88" t="str">
        <x:v>S21_PSJ</x:v>
      </x:c>
      <x:c r="C214" s="88" t="n">
        <x:v>3</x:v>
      </x:c>
      <x:c r="D214" s="88" t="str">
        <x:v>3번 픽업-1</x:v>
      </x:c>
      <x:c r="E214" s="89" t="n">
        <x:v>654.908</x:v>
      </x:c>
      <x:c r="F214" s="89" t="n">
        <x:v>668.36</x:v>
      </x:c>
      <x:c r="G214" s="89" t="n">
        <x:f>IF(OR(E214="",F214=""),"",F214-E214)</x:f>
        <x:v>13.451999999999998</x:v>
      </x:c>
      <x:c r="H214" s="89" t="n">
        <x:v>5</x:v>
      </x:c>
      <x:c r="I214" s="89" t="n">
        <x:v>90</x:v>
      </x:c>
      <x:c r="J214" s="99" t="str">
        <x:f>IF(G214="","경계 누락",IF(AND(G214&gt;=H214,G214&lt;=I214),"시간 적합","시간 확인 필요"))</x:f>
        <x:v>시간 적합</x:v>
      </x:c>
      <x:c r="K214" s="88" t="str">
        <x:v>총시간 미기재</x:v>
      </x:c>
      <x:c r="L214" s="88" t="str">
        <x:v>$2 최종 선택</x:v>
      </x:c>
    </x:row>
    <x:row r="215">
      <x:c r="A215" s="88" t="n">
        <x:v>21</x:v>
      </x:c>
      <x:c r="B215" s="88" t="str">
        <x:v>S21_PSJ</x:v>
      </x:c>
      <x:c r="C215" s="88" t="n">
        <x:v>4</x:v>
      </x:c>
      <x:c r="D215" s="88" t="str">
        <x:v>3번 픽업-2</x:v>
      </x:c>
      <x:c r="E215" s="89" t="n">
        <x:v>688.34</x:v>
      </x:c>
      <x:c r="F215" s="89" t="n">
        <x:v>698.5160000000001</x:v>
      </x:c>
      <x:c r="G215" s="89" t="n">
        <x:f>IF(OR(E215="",F215=""),"",F215-E215)</x:f>
        <x:v>10.176000000000045</x:v>
      </x:c>
      <x:c r="H215" s="89" t="n">
        <x:v>5</x:v>
      </x:c>
      <x:c r="I215" s="89" t="n">
        <x:v>90</x:v>
      </x:c>
      <x:c r="J215" s="99" t="str">
        <x:f>IF(G215="","경계 누락",IF(AND(G215&gt;=H215,G215&lt;=I215),"시간 적합","시간 확인 필요"))</x:f>
        <x:v>시간 적합</x:v>
      </x:c>
      <x:c r="K215" s="88" t="str">
        <x:v>총시간 미기재</x:v>
      </x:c>
      <x:c r="L215" s="88" t="str">
        <x:v>$2 최종 선택</x:v>
      </x:c>
    </x:row>
    <x:row r="216">
      <x:c r="A216" s="88" t="n">
        <x:v>21</x:v>
      </x:c>
      <x:c r="B216" s="88" t="str">
        <x:v>S21_PSJ</x:v>
      </x:c>
      <x:c r="C216" s="88" t="n">
        <x:v>5</x:v>
      </x:c>
      <x:c r="D216" s="88" t="str">
        <x:v>4번 낙상-즉시</x:v>
      </x:c>
      <x:c r="E216" s="89" t="n">
        <x:v>793.5480000000001</x:v>
      </x:c>
      <x:c r="F216" s="89" t="n">
        <x:v>807.974</x:v>
      </x:c>
      <x:c r="G216" s="89" t="n">
        <x:f>IF(OR(E216="",F216=""),"",F216-E216)</x:f>
        <x:v>14.42599999999993</x:v>
      </x:c>
      <x:c r="H216" s="89" t="n">
        <x:v>5</x:v>
      </x:c>
      <x:c r="I216" s="89" t="n">
        <x:v>30</x:v>
      </x:c>
      <x:c r="J216" s="99" t="str">
        <x:f>IF(G216="","경계 누락",IF(AND(G216&gt;=H216,G216&lt;=I216),"시간 적합","시간 확인 필요"))</x:f>
        <x:v>시간 적합</x:v>
      </x:c>
      <x:c r="K216" s="88" t="str">
        <x:v>즥시 일어나기</x:v>
      </x:c>
      <x:c r="L216" s="88" t="str">
        <x:v>$2 최종 선택</x:v>
      </x:c>
    </x:row>
    <x:row r="217">
      <x:c r="A217" s="88" t="n">
        <x:v>21</x:v>
      </x:c>
      <x:c r="B217" s="88" t="str">
        <x:v>S21_PSJ</x:v>
      </x:c>
      <x:c r="C217" s="88" t="n">
        <x:v>6</x:v>
      </x:c>
      <x:c r="D217" s="88" t="str">
        <x:v>4번 낙상-30초 유지</x:v>
      </x:c>
      <x:c r="E217" s="89" t="n">
        <x:v>816.4200000000001</x:v>
      </x:c>
      <x:c r="F217" s="89" t="n">
        <x:v>862.9000000000001</x:v>
      </x:c>
      <x:c r="G217" s="89" t="n">
        <x:f>IF(OR(E217="",F217=""),"",F217-E217)</x:f>
        <x:v>46.48000000000002</x:v>
      </x:c>
      <x:c r="H217" s="89" t="n">
        <x:v>25</x:v>
      </x:c>
      <x:c r="I217" s="89" t="n">
        <x:v>75</x:v>
      </x:c>
      <x:c r="J217" s="99" t="str">
        <x:f>IF(G217="","경계 누락",IF(AND(G217&gt;=H217,G217&lt;=I217),"시간 적합","시간 확인 필요"))</x:f>
        <x:v>시간 적합</x:v>
      </x:c>
      <x:c r="K217" s="88" t="str">
        <x:v>30초 유지+이동</x:v>
      </x:c>
      <x:c r="L217" s="88" t="str">
        <x:v>$2 최종 선택</x:v>
      </x:c>
    </x:row>
    <x:row r="218">
      <x:c r="A218" s="88" t="n">
        <x:v>21</x:v>
      </x:c>
      <x:c r="B218" s="88" t="str">
        <x:v>S21_PSJ</x:v>
      </x:c>
      <x:c r="C218" s="88" t="n">
        <x:v>7</x:v>
      </x:c>
      <x:c r="D218" s="88" t="str">
        <x:v>4번 낙상-천천히</x:v>
      </x:c>
      <x:c r="E218" s="89" t="n">
        <x:v>875.248</x:v>
      </x:c>
      <x:c r="F218" s="89" t="n">
        <x:v>921.344</x:v>
      </x:c>
      <x:c r="G218" s="89" t="n">
        <x:f>IF(OR(E218="",F218=""),"",F218-E218)</x:f>
        <x:v>46.096000000000004</x:v>
      </x:c>
      <x:c r="H218" s="89" t="n">
        <x:v>25</x:v>
      </x:c>
      <x:c r="I218" s="89" t="n">
        <x:v>90</x:v>
      </x:c>
      <x:c r="J218" s="99" t="str">
        <x:f>IF(G218="","경계 누락",IF(AND(G218&gt;=H218,G218&lt;=I218),"시간 적합","시간 확인 필요"))</x:f>
        <x:v>시간 적합</x:v>
      </x:c>
      <x:c r="K218" s="88" t="str">
        <x:v>천천히 눕기+30초 유지</x:v>
      </x:c>
      <x:c r="L218" s="88" t="str">
        <x:v>$2 최종 선택</x:v>
      </x:c>
    </x:row>
    <x:row r="219">
      <x:c r="A219" s="88" t="n">
        <x:v>21</x:v>
      </x:c>
      <x:c r="B219" s="88" t="str">
        <x:v>S21_PSJ</x:v>
      </x:c>
      <x:c r="C219" s="88" t="n">
        <x:v>8</x:v>
      </x:c>
      <x:c r="D219" s="88" t="str">
        <x:v>4번 물건 집기</x:v>
      </x:c>
      <x:c r="E219" s="89" t="n">
        <x:v>937.5920000000001</x:v>
      </x:c>
      <x:c r="F219" s="89" t="n">
        <x:v>970.58</x:v>
      </x:c>
      <x:c r="G219" s="89" t="n">
        <x:f>IF(OR(E219="",F219=""),"",F219-E219)</x:f>
        <x:v>32.98799999999994</x:v>
      </x:c>
      <x:c r="H219" s="89" t="n">
        <x:v>5</x:v>
      </x:c>
      <x:c r="I219" s="89" t="n">
        <x:v>40</x:v>
      </x:c>
      <x:c r="J219" s="99" t="str">
        <x:f>IF(G219="","경계 누락",IF(AND(G219&gt;=H219,G219&lt;=I219),"시간 적합","시간 확인 필요"))</x:f>
        <x:v>시간 적합</x:v>
      </x:c>
      <x:c r="K219" s="88" t="str">
        <x:v>S04부터 추가된 것으로 판단</x:v>
      </x:c>
      <x:c r="L219" s="88" t="str">
        <x:v>$2 최종 선택</x:v>
      </x:c>
    </x:row>
    <x:row r="220">
      <x:c r="A220" s="88" t="n">
        <x:v>21</x:v>
      </x:c>
      <x:c r="B220" s="88" t="str">
        <x:v>S21_PSJ</x:v>
      </x:c>
      <x:c r="C220" s="88" t="n">
        <x:v>9</x:v>
      </x:c>
      <x:c r="D220" s="88" t="str">
        <x:v>5번 코스</x:v>
      </x:c>
      <x:c r="E220" s="89" t="n">
        <x:v>1012.864</x:v>
      </x:c>
      <x:c r="F220" s="89" t="n">
        <x:v>1208.9679999999998</x:v>
      </x:c>
      <x:c r="G220" s="89" t="n">
        <x:f>IF(OR(E220="",F220=""),"",F220-E220)</x:f>
        <x:v>196.10399999999981</x:v>
      </x:c>
      <x:c r="H220" s="89" t="n">
        <x:v>130</x:v>
      </x:c>
      <x:c r="I220" s="89" t="n">
        <x:v>230</x:v>
      </x:c>
      <x:c r="J220" s="99" t="str">
        <x:f>IF(G220="","경계 누락",IF(AND(G220&gt;=H220,G220&lt;=I220),"시간 적합","시간 확인 필요"))</x:f>
        <x:v>시간 적합</x:v>
      </x:c>
      <x:c r="K220" s="88" t="str">
        <x:v>16칸×10초=약 160초+이동</x:v>
      </x:c>
      <x:c r="L220" s="88" t="str">
        <x:v>$2 최종 선택</x:v>
      </x:c>
    </x:row>
    <x:row r="221">
      <x:c r="A221" s="88" t="n">
        <x:v>21</x:v>
      </x:c>
      <x:c r="B221" s="88" t="str">
        <x:v>S21_PSJ</x:v>
      </x:c>
      <x:c r="C221" s="88" t="n">
        <x:v>10</x:v>
      </x:c>
      <x:c r="D221" s="88" t="str">
        <x:v>6번 왕복</x:v>
      </x:c>
      <x:c r="E221" s="89" t="n">
        <x:v>1248.0639999999999</x:v>
      </x:c>
      <x:c r="F221" s="89" t="n">
        <x:v>1270.892</x:v>
      </x:c>
      <x:c r="G221" s="89" t="n">
        <x:f>IF(OR(E221="",F221=""),"",F221-E221)</x:f>
        <x:v>22.828000000000202</x:v>
      </x:c>
      <x:c r="H221" s="89" t="n">
        <x:v>5</x:v>
      </x:c>
      <x:c r="I221" s="89" t="n">
        <x:v>70</x:v>
      </x:c>
      <x:c r="J221" s="99" t="str">
        <x:f>IF(G221="","경계 누락",IF(AND(G221&gt;=H221,G221&lt;=I221),"시간 적합","시간 확인 필요"))</x:f>
        <x:v>시간 적합</x:v>
      </x:c>
      <x:c r="K221" s="88" t="str">
        <x:v>PPT 1분 미만</x:v>
      </x:c>
      <x:c r="L221" s="88" t="str">
        <x:v>$2 최종 선택</x:v>
      </x:c>
    </x:row>
    <x:row r="222">
      <x:c r="A222" s="88" t="n">
        <x:v>21</x:v>
      </x:c>
      <x:c r="B222" s="88" t="str">
        <x:v>S21_PSJ</x:v>
      </x:c>
      <x:c r="C222" s="88" t="n">
        <x:v>11</x:v>
      </x:c>
      <x:c r="D222" s="88" t="str">
        <x:v>7번 자유</x:v>
      </x:c>
      <x:c r="E222" s="89" t="n">
        <x:v>1306.696</x:v>
      </x:c>
      <x:c r="F222" s="89" t="n">
        <x:v>1317.132</x:v>
      </x:c>
      <x:c r="G222" s="89" t="n">
        <x:f>IF(OR(E222="",F222=""),"",F222-E222)</x:f>
        <x:v>10.43600000000015</x:v>
      </x:c>
      <x:c r="H222" s="89" t="n">
        <x:v>5</x:v>
      </x:c>
      <x:c r="I222" s="89" t="n">
        <x:v>70</x:v>
      </x:c>
      <x:c r="J222" s="99" t="str">
        <x:f>IF(G222="","경계 누락",IF(AND(G222&gt;=H222,G222&lt;=I222),"시간 적합","시간 확인 필요"))</x:f>
        <x:v>시간 적합</x:v>
      </x:c>
      <x:c r="K222" s="88" t="str">
        <x:v>PPT 1분 미만</x:v>
      </x:c>
      <x:c r="L222" s="88" t="str">
        <x:v>$2 최종 선택</x:v>
      </x:c>
    </x:row>
    <x:row r="223">
      <x:c r="A223" s="88" t="n">
        <x:v>22</x:v>
      </x:c>
      <x:c r="B223" s="88" t="str">
        <x:v>S22_KJH</x:v>
      </x:c>
      <x:c r="C223" s="88" t="n">
        <x:v>1</x:v>
      </x:c>
      <x:c r="D223" s="88" t="str">
        <x:v>1번 호흡</x:v>
      </x:c>
      <x:c r="E223" s="89" t="n">
        <x:v>222.04000000000005</x:v>
      </x:c>
      <x:c r="F223" s="89" t="n">
        <x:v>304.812</x:v>
      </x:c>
      <x:c r="G223" s="89" t="n">
        <x:f>IF(OR(E223="",F223=""),"",F223-E223)</x:f>
        <x:v>82.77199999999996</x:v>
      </x:c>
      <x:c r="H223" s="89" t="n">
        <x:v>150</x:v>
      </x:c>
      <x:c r="I223" s="89" t="n">
        <x:v>240</x:v>
      </x:c>
      <x:c r="J223" s="98" t="str">
        <x:f>IF(G223="","경계 누락",IF(AND(G223&gt;=H223,G223&lt;=I223),"시간 적합","시간 확인 필요"))</x:f>
        <x:v>시간 확인 필요</x:v>
      </x:c>
      <x:c r="K223" s="88" t="str">
        <x:v>PPT 3분</x:v>
      </x:c>
      <x:c r="L223" s="88" t="str">
        <x:v>시간패턴 추천(미확정)</x:v>
      </x:c>
    </x:row>
    <x:row r="224">
      <x:c r="A224" s="88" t="n">
        <x:v>22</x:v>
      </x:c>
      <x:c r="B224" s="88" t="str">
        <x:v>S22_KJH</x:v>
      </x:c>
      <x:c r="C224" s="88" t="n">
        <x:v>2</x:v>
      </x:c>
      <x:c r="D224" s="88" t="str">
        <x:v>2번 호흡</x:v>
      </x:c>
      <x:c r="E224" s="89" t="n">
        <x:v>314.732</x:v>
      </x:c>
      <x:c r="F224" s="89" t="n">
        <x:v>681.412</x:v>
      </x:c>
      <x:c r="G224" s="89" t="n">
        <x:f>IF(OR(E224="",F224=""),"",F224-E224)</x:f>
        <x:v>366.68</x:v>
      </x:c>
      <x:c r="H224" s="89" t="n">
        <x:v>240</x:v>
      </x:c>
      <x:c r="I224" s="89" t="n">
        <x:v>450</x:v>
      </x:c>
      <x:c r="J224" s="99" t="str">
        <x:f>IF(G224="","경계 누락",IF(AND(G224&gt;=H224,G224&lt;=I224),"시간 적합","시간 확인 필요"))</x:f>
        <x:v>시간 적합</x:v>
      </x:c>
      <x:c r="K224" s="88" t="str">
        <x:v>PPT 표기 4분30초 / 세부 합계 약 6분</x:v>
      </x:c>
      <x:c r="L224" s="88" t="str">
        <x:v>시간패턴 추천(미확정)</x:v>
      </x:c>
    </x:row>
    <x:row r="225">
      <x:c r="A225" s="88" t="n">
        <x:v>22</x:v>
      </x:c>
      <x:c r="B225" s="88" t="str">
        <x:v>S22_KJH</x:v>
      </x:c>
      <x:c r="C225" s="88" t="n">
        <x:v>3</x:v>
      </x:c>
      <x:c r="D225" s="88" t="str">
        <x:v>3번 픽업-1</x:v>
      </x:c>
      <x:c r="E225" s="89" t="n">
        <x:v>698.652</x:v>
      </x:c>
      <x:c r="F225" s="89" t="n">
        <x:v>715.7880000000001</x:v>
      </x:c>
      <x:c r="G225" s="89" t="n">
        <x:f>IF(OR(E225="",F225=""),"",F225-E225)</x:f>
        <x:v>17.13600000000008</x:v>
      </x:c>
      <x:c r="H225" s="89" t="n">
        <x:v>5</x:v>
      </x:c>
      <x:c r="I225" s="89" t="n">
        <x:v>90</x:v>
      </x:c>
      <x:c r="J225" s="99" t="str">
        <x:f>IF(G225="","경계 누락",IF(AND(G225&gt;=H225,G225&lt;=I225),"시간 적합","시간 확인 필요"))</x:f>
        <x:v>시간 적합</x:v>
      </x:c>
      <x:c r="K225" s="88" t="str">
        <x:v>총시간 미기재</x:v>
      </x:c>
      <x:c r="L225" s="88" t="str">
        <x:v>시간패턴 추천(미확정)</x:v>
      </x:c>
    </x:row>
    <x:row r="226">
      <x:c r="A226" s="88" t="n">
        <x:v>22</x:v>
      </x:c>
      <x:c r="B226" s="88" t="str">
        <x:v>S22_KJH</x:v>
      </x:c>
      <x:c r="C226" s="88" t="n">
        <x:v>4</x:v>
      </x:c>
      <x:c r="D226" s="88" t="str">
        <x:v>3번 픽업-2</x:v>
      </x:c>
      <x:c r="E226" s="89" t="n">
        <x:v>733.628</x:v>
      </x:c>
      <x:c r="F226" s="89" t="n">
        <x:v>813.892</x:v>
      </x:c>
      <x:c r="G226" s="89" t="n">
        <x:f>IF(OR(E226="",F226=""),"",F226-E226)</x:f>
        <x:v>80.26400000000001</x:v>
      </x:c>
      <x:c r="H226" s="89" t="n">
        <x:v>5</x:v>
      </x:c>
      <x:c r="I226" s="89" t="n">
        <x:v>90</x:v>
      </x:c>
      <x:c r="J226" s="99" t="str">
        <x:f>IF(G226="","경계 누락",IF(AND(G226&gt;=H226,G226&lt;=I226),"시간 적합","시간 확인 필요"))</x:f>
        <x:v>시간 적합</x:v>
      </x:c>
      <x:c r="K226" s="88" t="str">
        <x:v>총시간 미기재</x:v>
      </x:c>
      <x:c r="L226" s="88" t="str">
        <x:v>시간패턴 추천(미확정)</x:v>
      </x:c>
    </x:row>
    <x:row r="227">
      <x:c r="A227" s="88" t="n">
        <x:v>22</x:v>
      </x:c>
      <x:c r="B227" s="88" t="str">
        <x:v>S22_KJH</x:v>
      </x:c>
      <x:c r="C227" s="88" t="n">
        <x:v>5</x:v>
      </x:c>
      <x:c r="D227" s="88" t="str">
        <x:v>4번 낙상-즉시</x:v>
      </x:c>
      <x:c r="E227" s="89" t="n">
        <x:v>830.1160000000001</x:v>
      </x:c>
      <x:c r="F227" s="89" t="n">
        <x:v>834.9520000000001</x:v>
      </x:c>
      <x:c r="G227" s="89" t="n">
        <x:f>IF(OR(E227="",F227=""),"",F227-E227)</x:f>
        <x:v>4.836000000000013</x:v>
      </x:c>
      <x:c r="H227" s="89" t="n">
        <x:v>5</x:v>
      </x:c>
      <x:c r="I227" s="89" t="n">
        <x:v>30</x:v>
      </x:c>
      <x:c r="J227" s="98" t="str">
        <x:f>IF(G227="","경계 누락",IF(AND(G227&gt;=H227,G227&lt;=I227),"시간 적합","시간 확인 필요"))</x:f>
        <x:v>시간 확인 필요</x:v>
      </x:c>
      <x:c r="K227" s="88" t="str">
        <x:v>즥시 일어나기</x:v>
      </x:c>
      <x:c r="L227" s="88" t="str">
        <x:v>시간패턴 추천(미확정)</x:v>
      </x:c>
    </x:row>
    <x:row r="228">
      <x:c r="A228" s="88" t="n">
        <x:v>22</x:v>
      </x:c>
      <x:c r="B228" s="88" t="str">
        <x:v>S22_KJH</x:v>
      </x:c>
      <x:c r="C228" s="88" t="n">
        <x:v>6</x:v>
      </x:c>
      <x:c r="D228" s="88" t="str">
        <x:v>4번 낙상-30초 유지</x:v>
      </x:c>
      <x:c r="E228" s="89" t="n">
        <x:v>847.676</x:v>
      </x:c>
      <x:c r="F228" s="89" t="n">
        <x:v>894.5480000000001</x:v>
      </x:c>
      <x:c r="G228" s="89" t="n">
        <x:f>IF(OR(E228="",F228=""),"",F228-E228)</x:f>
        <x:v>46.87200000000007</x:v>
      </x:c>
      <x:c r="H228" s="89" t="n">
        <x:v>25</x:v>
      </x:c>
      <x:c r="I228" s="89" t="n">
        <x:v>75</x:v>
      </x:c>
      <x:c r="J228" s="99" t="str">
        <x:f>IF(G228="","경계 누락",IF(AND(G228&gt;=H228,G228&lt;=I228),"시간 적합","시간 확인 필요"))</x:f>
        <x:v>시간 적합</x:v>
      </x:c>
      <x:c r="K228" s="88" t="str">
        <x:v>30초 유지+이동</x:v>
      </x:c>
      <x:c r="L228" s="88" t="str">
        <x:v>시간패턴 추천(미확정)</x:v>
      </x:c>
    </x:row>
    <x:row r="229">
      <x:c r="A229" s="88" t="n">
        <x:v>22</x:v>
      </x:c>
      <x:c r="B229" s="88" t="str">
        <x:v>S22_KJH</x:v>
      </x:c>
      <x:c r="C229" s="88" t="n">
        <x:v>7</x:v>
      </x:c>
      <x:c r="D229" s="88" t="str">
        <x:v>4번 낙상-천천히</x:v>
      </x:c>
      <x:c r="E229" s="89" t="n">
        <x:v>912.0200000000001</x:v>
      </x:c>
      <x:c r="F229" s="89" t="n">
        <x:v>953.1560000000001</x:v>
      </x:c>
      <x:c r="G229" s="89" t="n">
        <x:f>IF(OR(E229="",F229=""),"",F229-E229)</x:f>
        <x:v>41.13599999999997</x:v>
      </x:c>
      <x:c r="H229" s="89" t="n">
        <x:v>25</x:v>
      </x:c>
      <x:c r="I229" s="89" t="n">
        <x:v>90</x:v>
      </x:c>
      <x:c r="J229" s="99" t="str">
        <x:f>IF(G229="","경계 누락",IF(AND(G229&gt;=H229,G229&lt;=I229),"시간 적합","시간 확인 필요"))</x:f>
        <x:v>시간 적합</x:v>
      </x:c>
      <x:c r="K229" s="88" t="str">
        <x:v>천천히 눕기+30초 유지</x:v>
      </x:c>
      <x:c r="L229" s="88" t="str">
        <x:v>시간패턴 추천(미확정)</x:v>
      </x:c>
    </x:row>
    <x:row r="230">
      <x:c r="A230" s="88" t="n">
        <x:v>22</x:v>
      </x:c>
      <x:c r="B230" s="88" t="str">
        <x:v>S22_KJH</x:v>
      </x:c>
      <x:c r="C230" s="88" t="n">
        <x:v>8</x:v>
      </x:c>
      <x:c r="D230" s="88" t="str">
        <x:v>4번 물건 집기</x:v>
      </x:c>
      <x:c r="E230" s="89" t="n">
        <x:v>969.6840000000001</x:v>
      </x:c>
      <x:c r="F230" s="89" t="n">
        <x:v>982.248</x:v>
      </x:c>
      <x:c r="G230" s="89" t="n">
        <x:f>IF(OR(E230="",F230=""),"",F230-E230)</x:f>
        <x:v>12.563999999999965</x:v>
      </x:c>
      <x:c r="H230" s="89" t="n">
        <x:v>5</x:v>
      </x:c>
      <x:c r="I230" s="89" t="n">
        <x:v>40</x:v>
      </x:c>
      <x:c r="J230" s="99" t="str">
        <x:f>IF(G230="","경계 누락",IF(AND(G230&gt;=H230,G230&lt;=I230),"시간 적합","시간 확인 필요"))</x:f>
        <x:v>시간 적합</x:v>
      </x:c>
      <x:c r="K230" s="88" t="str">
        <x:v>S04부터 추가된 것으로 판단</x:v>
      </x:c>
      <x:c r="L230" s="88" t="str">
        <x:v>시간패턴 추천(미확정)</x:v>
      </x:c>
    </x:row>
    <x:row r="231">
      <x:c r="A231" s="88" t="n">
        <x:v>22</x:v>
      </x:c>
      <x:c r="B231" s="88" t="str">
        <x:v>S22_KJH</x:v>
      </x:c>
      <x:c r="C231" s="88" t="n">
        <x:v>9</x:v>
      </x:c>
      <x:c r="D231" s="88" t="str">
        <x:v>5번 코스</x:v>
      </x:c>
      <x:c r="E231" s="89" t="n">
        <x:v>1050.3039999999999</x:v>
      </x:c>
      <x:c r="F231" s="89" t="n">
        <x:v>1238.176</x:v>
      </x:c>
      <x:c r="G231" s="89" t="n">
        <x:f>IF(OR(E231="",F231=""),"",F231-E231)</x:f>
        <x:v>187.87200000000007</x:v>
      </x:c>
      <x:c r="H231" s="89" t="n">
        <x:v>130</x:v>
      </x:c>
      <x:c r="I231" s="89" t="n">
        <x:v>230</x:v>
      </x:c>
      <x:c r="J231" s="99" t="str">
        <x:f>IF(G231="","경계 누락",IF(AND(G231&gt;=H231,G231&lt;=I231),"시간 적합","시간 확인 필요"))</x:f>
        <x:v>시간 적합</x:v>
      </x:c>
      <x:c r="K231" s="88" t="str">
        <x:v>16칸×10초=약 160초+이동</x:v>
      </x:c>
      <x:c r="L231" s="88" t="str">
        <x:v>시간패턴 추천(미확정)</x:v>
      </x:c>
    </x:row>
    <x:row r="232">
      <x:c r="A232" s="88" t="n">
        <x:v>22</x:v>
      </x:c>
      <x:c r="B232" s="88" t="str">
        <x:v>S22_KJH</x:v>
      </x:c>
      <x:c r="C232" s="88" t="n">
        <x:v>10</x:v>
      </x:c>
      <x:c r="D232" s="88" t="str">
        <x:v>6번 왕복</x:v>
      </x:c>
      <x:c r="E232" s="89" t="n">
        <x:v>1285.02</x:v>
      </x:c>
      <x:c r="F232" s="89" t="n">
        <x:v>1309.4759999999999</x:v>
      </x:c>
      <x:c r="G232" s="89" t="n">
        <x:f>IF(OR(E232="",F232=""),"",F232-E232)</x:f>
        <x:v>24.455999999999904</x:v>
      </x:c>
      <x:c r="H232" s="89" t="n">
        <x:v>5</x:v>
      </x:c>
      <x:c r="I232" s="89" t="n">
        <x:v>70</x:v>
      </x:c>
      <x:c r="J232" s="99" t="str">
        <x:f>IF(G232="","경계 누락",IF(AND(G232&gt;=H232,G232&lt;=I232),"시간 적합","시간 확인 필요"))</x:f>
        <x:v>시간 적합</x:v>
      </x:c>
      <x:c r="K232" s="88" t="str">
        <x:v>PPT 1분 미만</x:v>
      </x:c>
      <x:c r="L232" s="88" t="str">
        <x:v>시간패턴 추천(미확정)</x:v>
      </x:c>
    </x:row>
    <x:row r="233">
      <x:c r="A233" s="88" t="n">
        <x:v>22</x:v>
      </x:c>
      <x:c r="B233" s="88" t="str">
        <x:v>S22_KJH</x:v>
      </x:c>
      <x:c r="C233" s="88" t="n">
        <x:v>11</x:v>
      </x:c>
      <x:c r="D233" s="88" t="str">
        <x:v>7번 자유</x:v>
      </x:c>
      <x:c r="E233" s="89" t="n">
        <x:v>1342.136</x:v>
      </x:c>
      <x:c r="F233" s="89" t="n">
        <x:v>1355.8799999999999</x:v>
      </x:c>
      <x:c r="G233" s="89" t="n">
        <x:f>IF(OR(E233="",F233=""),"",F233-E233)</x:f>
        <x:v>13.743999999999915</x:v>
      </x:c>
      <x:c r="H233" s="89" t="n">
        <x:v>5</x:v>
      </x:c>
      <x:c r="I233" s="89" t="n">
        <x:v>70</x:v>
      </x:c>
      <x:c r="J233" s="99" t="str">
        <x:f>IF(G233="","경계 누락",IF(AND(G233&gt;=H233,G233&lt;=I233),"시간 적합","시간 확인 필요"))</x:f>
        <x:v>시간 적합</x:v>
      </x:c>
      <x:c r="K233" s="88" t="str">
        <x:v>PPT 1분 미만</x:v>
      </x:c>
      <x:c r="L233" s="88" t="str">
        <x:v>시간패턴 추천(미확정)</x:v>
      </x:c>
    </x:row>
    <x:row r="234">
      <x:c r="A234" s="88" t="n">
        <x:v>23</x:v>
      </x:c>
      <x:c r="B234" s="88" t="str">
        <x:v>S23_KDM</x:v>
      </x:c>
      <x:c r="C234" s="88" t="n">
        <x:v>1</x:v>
      </x:c>
      <x:c r="D234" s="88" t="str">
        <x:v>1번 호흡</x:v>
      </x:c>
      <x:c r="E234" s="89" t="n">
        <x:v>17.03200000000001</x:v>
      </x:c>
      <x:c r="F234" s="89" t="n">
        <x:v>212.8</x:v>
      </x:c>
      <x:c r="G234" s="89" t="n">
        <x:f>IF(OR(E234="",F234=""),"",F234-E234)</x:f>
        <x:v>195.768</x:v>
      </x:c>
      <x:c r="H234" s="89" t="n">
        <x:v>150</x:v>
      </x:c>
      <x:c r="I234" s="89" t="n">
        <x:v>240</x:v>
      </x:c>
      <x:c r="J234" s="99" t="str">
        <x:f>IF(G234="","경계 누락",IF(AND(G234&gt;=H234,G234&lt;=I234),"시간 적합","시간 확인 필요"))</x:f>
        <x:v>시간 적합</x:v>
      </x:c>
      <x:c r="K234" s="88" t="str">
        <x:v>PPT 3분</x:v>
      </x:c>
      <x:c r="L234" s="88" t="str">
        <x:v>$2 최종 선택</x:v>
      </x:c>
    </x:row>
    <x:row r="235">
      <x:c r="A235" s="88" t="n">
        <x:v>23</x:v>
      </x:c>
      <x:c r="B235" s="88" t="str">
        <x:v>S23_KDM</x:v>
      </x:c>
      <x:c r="C235" s="88" t="n">
        <x:v>2</x:v>
      </x:c>
      <x:c r="D235" s="88" t="str">
        <x:v>2번 호흡</x:v>
      </x:c>
      <x:c r="E235" s="89" t="n">
        <x:v>229.692</x:v>
      </x:c>
      <x:c r="F235" s="89" t="n">
        <x:v>603.5240000000001</x:v>
      </x:c>
      <x:c r="G235" s="89" t="n">
        <x:f>IF(OR(E235="",F235=""),"",F235-E235)</x:f>
        <x:v>373.8320000000001</x:v>
      </x:c>
      <x:c r="H235" s="89" t="n">
        <x:v>240</x:v>
      </x:c>
      <x:c r="I235" s="89" t="n">
        <x:v>450</x:v>
      </x:c>
      <x:c r="J235" s="99" t="str">
        <x:f>IF(G235="","경계 누락",IF(AND(G235&gt;=H235,G235&lt;=I235),"시간 적합","시간 확인 필요"))</x:f>
        <x:v>시간 적합</x:v>
      </x:c>
      <x:c r="K235" s="88" t="str">
        <x:v>PPT 표기 4분30초 / 세부 합계 약 6분</x:v>
      </x:c>
      <x:c r="L235" s="88" t="str">
        <x:v>$2 최종 선택</x:v>
      </x:c>
    </x:row>
    <x:row r="236">
      <x:c r="A236" s="88" t="n">
        <x:v>23</x:v>
      </x:c>
      <x:c r="B236" s="88" t="str">
        <x:v>S23_KDM</x:v>
      </x:c>
      <x:c r="C236" s="88" t="n">
        <x:v>3</x:v>
      </x:c>
      <x:c r="D236" s="88" t="str">
        <x:v>3번 픽업-1</x:v>
      </x:c>
      <x:c r="E236" s="89" t="n">
        <x:v>659.9960000000001</x:v>
      </x:c>
      <x:c r="F236" s="89" t="n">
        <x:v>671.0880000000001</x:v>
      </x:c>
      <x:c r="G236" s="89" t="n">
        <x:f>IF(OR(E236="",F236=""),"",F236-E236)</x:f>
        <x:v>11.091999999999985</x:v>
      </x:c>
      <x:c r="H236" s="89" t="n">
        <x:v>5</x:v>
      </x:c>
      <x:c r="I236" s="89" t="n">
        <x:v>90</x:v>
      </x:c>
      <x:c r="J236" s="99" t="str">
        <x:f>IF(G236="","경계 누락",IF(AND(G236&gt;=H236,G236&lt;=I236),"시간 적합","시간 확인 필요"))</x:f>
        <x:v>시간 적합</x:v>
      </x:c>
      <x:c r="K236" s="88" t="str">
        <x:v>총시간 미기재</x:v>
      </x:c>
      <x:c r="L236" s="88" t="str">
        <x:v>$2 최종 선택</x:v>
      </x:c>
    </x:row>
    <x:row r="237">
      <x:c r="A237" s="88" t="n">
        <x:v>23</x:v>
      </x:c>
      <x:c r="B237" s="88" t="str">
        <x:v>S23_KDM</x:v>
      </x:c>
      <x:c r="C237" s="88" t="n">
        <x:v>4</x:v>
      </x:c>
      <x:c r="D237" s="88" t="str">
        <x:v>3번 픽업-2</x:v>
      </x:c>
      <x:c r="E237" s="89" t="n">
        <x:v>691.2120000000001</x:v>
      </x:c>
      <x:c r="F237" s="89" t="n">
        <x:v>702.5680000000001</x:v>
      </x:c>
      <x:c r="G237" s="89" t="n">
        <x:f>IF(OR(E237="",F237=""),"",F237-E237)</x:f>
        <x:v>11.355999999999995</x:v>
      </x:c>
      <x:c r="H237" s="89" t="n">
        <x:v>5</x:v>
      </x:c>
      <x:c r="I237" s="89" t="n">
        <x:v>90</x:v>
      </x:c>
      <x:c r="J237" s="99" t="str">
        <x:f>IF(G237="","경계 누락",IF(AND(G237&gt;=H237,G237&lt;=I237),"시간 적합","시간 확인 필요"))</x:f>
        <x:v>시간 적합</x:v>
      </x:c>
      <x:c r="K237" s="88" t="str">
        <x:v>총시간 미기재</x:v>
      </x:c>
      <x:c r="L237" s="88" t="str">
        <x:v>$2 최종 선택</x:v>
      </x:c>
    </x:row>
    <x:row r="238">
      <x:c r="A238" s="88" t="n">
        <x:v>23</x:v>
      </x:c>
      <x:c r="B238" s="88" t="str">
        <x:v>S23_KDM</x:v>
      </x:c>
      <x:c r="C238" s="88" t="n">
        <x:v>5</x:v>
      </x:c>
      <x:c r="D238" s="88" t="str">
        <x:v>4번 낙상-즉시</x:v>
      </x:c>
      <x:c r="E238" s="89" t="n">
        <x:v>756.1120000000001</x:v>
      </x:c>
      <x:c r="F238" s="89" t="n">
        <x:v>762.3066670000001</x:v>
      </x:c>
      <x:c r="G238" s="89" t="n">
        <x:f>IF(OR(E238="",F238=""),"",F238-E238)</x:f>
        <x:v>6.194666999999981</x:v>
      </x:c>
      <x:c r="H238" s="89" t="n">
        <x:v>5</x:v>
      </x:c>
      <x:c r="I238" s="89" t="n">
        <x:v>30</x:v>
      </x:c>
      <x:c r="J238" s="99" t="str">
        <x:f>IF(G238="","경계 누락",IF(AND(G238&gt;=H238,G238&lt;=I238),"시간 적합","시간 확인 필요"))</x:f>
        <x:v>시간 적합</x:v>
      </x:c>
      <x:c r="K238" s="88" t="str">
        <x:v>즥시 일어나기</x:v>
      </x:c>
      <x:c r="L238" s="88" t="str">
        <x:v>$2 최종 선택</x:v>
      </x:c>
    </x:row>
    <x:row r="239">
      <x:c r="A239" s="88" t="n">
        <x:v>23</x:v>
      </x:c>
      <x:c r="B239" s="88" t="str">
        <x:v>S23_KDM</x:v>
      </x:c>
      <x:c r="C239" s="88" t="n">
        <x:v>6</x:v>
      </x:c>
      <x:c r="D239" s="88" t="str">
        <x:v>4번 낙상-30초 유지</x:v>
      </x:c>
      <x:c r="E239" s="89" t="n">
        <x:v>777.9040000000001</x:v>
      </x:c>
      <x:c r="F239" s="89" t="n">
        <x:v>819.5640000000001</x:v>
      </x:c>
      <x:c r="G239" s="89" t="n">
        <x:f>IF(OR(E239="",F239=""),"",F239-E239)</x:f>
        <x:v>41.65999999999997</x:v>
      </x:c>
      <x:c r="H239" s="89" t="n">
        <x:v>25</x:v>
      </x:c>
      <x:c r="I239" s="89" t="n">
        <x:v>75</x:v>
      </x:c>
      <x:c r="J239" s="99" t="str">
        <x:f>IF(G239="","경계 누락",IF(AND(G239&gt;=H239,G239&lt;=I239),"시간 적합","시간 확인 필요"))</x:f>
        <x:v>시간 적합</x:v>
      </x:c>
      <x:c r="K239" s="88" t="str">
        <x:v>30초 유지+이동</x:v>
      </x:c>
      <x:c r="L239" s="88" t="str">
        <x:v>$2 최종 선택</x:v>
      </x:c>
    </x:row>
    <x:row r="240">
      <x:c r="A240" s="88" t="n">
        <x:v>23</x:v>
      </x:c>
      <x:c r="B240" s="88" t="str">
        <x:v>S23_KDM</x:v>
      </x:c>
      <x:c r="C240" s="88" t="n">
        <x:v>7</x:v>
      </x:c>
      <x:c r="D240" s="88" t="str">
        <x:v>4번 낙상-천천히</x:v>
      </x:c>
      <x:c r="E240" s="89" t="n">
        <x:v>831.408</x:v>
      </x:c>
      <x:c r="F240" s="89" t="n">
        <x:v>880.892</x:v>
      </x:c>
      <x:c r="G240" s="89" t="n">
        <x:f>IF(OR(E240="",F240=""),"",F240-E240)</x:f>
        <x:v>49.48400000000004</x:v>
      </x:c>
      <x:c r="H240" s="89" t="n">
        <x:v>25</x:v>
      </x:c>
      <x:c r="I240" s="89" t="n">
        <x:v>90</x:v>
      </x:c>
      <x:c r="J240" s="99" t="str">
        <x:f>IF(G240="","경계 누락",IF(AND(G240&gt;=H240,G240&lt;=I240),"시간 적합","시간 확인 필요"))</x:f>
        <x:v>시간 적합</x:v>
      </x:c>
      <x:c r="K240" s="88" t="str">
        <x:v>천천히 눕기+30초 유지</x:v>
      </x:c>
      <x:c r="L240" s="88" t="str">
        <x:v>$2 최종 선택</x:v>
      </x:c>
    </x:row>
    <x:row r="241">
      <x:c r="A241" s="88" t="n">
        <x:v>23</x:v>
      </x:c>
      <x:c r="B241" s="88" t="str">
        <x:v>S23_KDM</x:v>
      </x:c>
      <x:c r="C241" s="88" t="n">
        <x:v>8</x:v>
      </x:c>
      <x:c r="D241" s="88" t="str">
        <x:v>4번 물건 집기</x:v>
      </x:c>
      <x:c r="E241" s="89" t="n">
        <x:v>899.908</x:v>
      </x:c>
      <x:c r="F241" s="89" t="n">
        <x:v>907.7600000000001</x:v>
      </x:c>
      <x:c r="G241" s="89" t="n">
        <x:f>IF(OR(E241="",F241=""),"",F241-E241)</x:f>
        <x:v>7.852000000000089</x:v>
      </x:c>
      <x:c r="H241" s="89" t="n">
        <x:v>5</x:v>
      </x:c>
      <x:c r="I241" s="89" t="n">
        <x:v>40</x:v>
      </x:c>
      <x:c r="J241" s="99" t="str">
        <x:f>IF(G241="","경계 누락",IF(AND(G241&gt;=H241,G241&lt;=I241),"시간 적합","시간 확인 필요"))</x:f>
        <x:v>시간 적합</x:v>
      </x:c>
      <x:c r="K241" s="88" t="str">
        <x:v>S04부터 추가된 것으로 판단</x:v>
      </x:c>
      <x:c r="L241" s="88" t="str">
        <x:v>$2 최종 선택</x:v>
      </x:c>
    </x:row>
    <x:row r="242">
      <x:c r="A242" s="88" t="n">
        <x:v>23</x:v>
      </x:c>
      <x:c r="B242" s="88" t="str">
        <x:v>S23_KDM</x:v>
      </x:c>
      <x:c r="C242" s="88" t="n">
        <x:v>9</x:v>
      </x:c>
      <x:c r="D242" s="88" t="str">
        <x:v>5번 코스</x:v>
      </x:c>
      <x:c r="E242" s="89" t="n">
        <x:v>946.6360000000001</x:v>
      </x:c>
      <x:c r="F242" s="89" t="n">
        <x:v>1130.296</x:v>
      </x:c>
      <x:c r="G242" s="89" t="n">
        <x:f>IF(OR(E242="",F242=""),"",F242-E242)</x:f>
        <x:v>183.65999999999997</x:v>
      </x:c>
      <x:c r="H242" s="89" t="n">
        <x:v>130</x:v>
      </x:c>
      <x:c r="I242" s="89" t="n">
        <x:v>230</x:v>
      </x:c>
      <x:c r="J242" s="99" t="str">
        <x:f>IF(G242="","경계 누락",IF(AND(G242&gt;=H242,G242&lt;=I242),"시간 적합","시간 확인 필요"))</x:f>
        <x:v>시간 적합</x:v>
      </x:c>
      <x:c r="K242" s="88" t="str">
        <x:v>16칸×10초=약 160초+이동</x:v>
      </x:c>
      <x:c r="L242" s="88" t="str">
        <x:v>$2 최종 선택</x:v>
      </x:c>
    </x:row>
    <x:row r="243">
      <x:c r="A243" s="88" t="n">
        <x:v>23</x:v>
      </x:c>
      <x:c r="B243" s="88" t="str">
        <x:v>S23_KDM</x:v>
      </x:c>
      <x:c r="C243" s="88" t="n">
        <x:v>10</x:v>
      </x:c>
      <x:c r="D243" s="88" t="str">
        <x:v>6번 왕복</x:v>
      </x:c>
      <x:c r="E243" s="89" t="n">
        <x:v>1147.392</x:v>
      </x:c>
      <x:c r="F243" s="89" t="n">
        <x:v>1170.656</x:v>
      </x:c>
      <x:c r="G243" s="89" t="n">
        <x:f>IF(OR(E243="",F243=""),"",F243-E243)</x:f>
        <x:v>23.263999999999896</x:v>
      </x:c>
      <x:c r="H243" s="89" t="n">
        <x:v>5</x:v>
      </x:c>
      <x:c r="I243" s="89" t="n">
        <x:v>70</x:v>
      </x:c>
      <x:c r="J243" s="99" t="str">
        <x:f>IF(G243="","경계 누락",IF(AND(G243&gt;=H243,G243&lt;=I243),"시간 적합","시간 확인 필요"))</x:f>
        <x:v>시간 적합</x:v>
      </x:c>
      <x:c r="K243" s="88" t="str">
        <x:v>PPT 1분 미만</x:v>
      </x:c>
      <x:c r="L243" s="88" t="str">
        <x:v>$2 최종 선택</x:v>
      </x:c>
    </x:row>
    <x:row r="244">
      <x:c r="A244" s="88" t="n">
        <x:v>23</x:v>
      </x:c>
      <x:c r="B244" s="88" t="str">
        <x:v>S23_KDM</x:v>
      </x:c>
      <x:c r="C244" s="88" t="n">
        <x:v>11</x:v>
      </x:c>
      <x:c r="D244" s="88" t="str">
        <x:v>7번 자유</x:v>
      </x:c>
      <x:c r="E244" s="89" t="n">
        <x:v>1193.716</x:v>
      </x:c>
      <x:c r="F244" s="89" t="n">
        <x:v>1211.424</x:v>
      </x:c>
      <x:c r="G244" s="89" t="n">
        <x:f>IF(OR(E244="",F244=""),"",F244-E244)</x:f>
        <x:v>17.708000000000084</x:v>
      </x:c>
      <x:c r="H244" s="89" t="n">
        <x:v>5</x:v>
      </x:c>
      <x:c r="I244" s="89" t="n">
        <x:v>70</x:v>
      </x:c>
      <x:c r="J244" s="99" t="str">
        <x:f>IF(G244="","경계 누락",IF(AND(G244&gt;=H244,G244&lt;=I244),"시간 적합","시간 확인 필요"))</x:f>
        <x:v>시간 적합</x:v>
      </x:c>
      <x:c r="K244" s="88" t="str">
        <x:v>PPT 1분 미만</x:v>
      </x:c>
      <x:c r="L244" s="88" t="str">
        <x:v>$2 최종 선택</x:v>
      </x:c>
    </x:row>
    <x:row r="245">
      <x:c r="A245" s="88" t="n">
        <x:v>25</x:v>
      </x:c>
      <x:c r="B245" s="88" t="str">
        <x:v>S25_GEC</x:v>
      </x:c>
      <x:c r="C245" s="88" t="n">
        <x:v>1</x:v>
      </x:c>
      <x:c r="D245" s="88" t="str">
        <x:v>1번 호흡</x:v>
      </x:c>
      <x:c r="E245" s="89" t="n">
        <x:v>19</x:v>
      </x:c>
      <x:c r="F245" s="89" t="n">
        <x:v>216.6</x:v>
      </x:c>
      <x:c r="G245" s="89" t="n">
        <x:f>IF(OR(E245="",F245=""),"",F245-E245)</x:f>
        <x:v>197.6</x:v>
      </x:c>
      <x:c r="H245" s="89" t="n">
        <x:v>150</x:v>
      </x:c>
      <x:c r="I245" s="89" t="n">
        <x:v>240</x:v>
      </x:c>
      <x:c r="J245" s="99" t="str">
        <x:f>IF(G245="","경계 누락",IF(AND(G245&gt;=H245,G245&lt;=I245),"시간 적합","시간 확인 필요"))</x:f>
        <x:v>시간 적합</x:v>
      </x:c>
      <x:c r="K245" s="88" t="str">
        <x:v>PPT 3분</x:v>
      </x:c>
      <x:c r="L245" s="88" t="str">
        <x:v>$2 최종 선택</x:v>
      </x:c>
    </x:row>
    <x:row r="246">
      <x:c r="A246" s="88" t="n">
        <x:v>25</x:v>
      </x:c>
      <x:c r="B246" s="88" t="str">
        <x:v>S25_GEC</x:v>
      </x:c>
      <x:c r="C246" s="88" t="n">
        <x:v>2</x:v>
      </x:c>
      <x:c r="D246" s="88" t="str">
        <x:v>2번 호흡</x:v>
      </x:c>
      <x:c r="E246" s="89" t="n">
        <x:v>237</x:v>
      </x:c>
      <x:c r="F246" s="89" t="n">
        <x:v>611.8</x:v>
      </x:c>
      <x:c r="G246" s="89" t="n">
        <x:f>IF(OR(E246="",F246=""),"",F246-E246)</x:f>
        <x:v>374.79999999999995</x:v>
      </x:c>
      <x:c r="H246" s="89" t="n">
        <x:v>240</x:v>
      </x:c>
      <x:c r="I246" s="89" t="n">
        <x:v>450</x:v>
      </x:c>
      <x:c r="J246" s="99" t="str">
        <x:f>IF(G246="","경계 누락",IF(AND(G246&gt;=H246,G246&lt;=I246),"시간 적합","시간 확인 필요"))</x:f>
        <x:v>시간 적합</x:v>
      </x:c>
      <x:c r="K246" s="88" t="str">
        <x:v>PPT 표기 4분30초 / 세부 합계 약 6분</x:v>
      </x:c>
      <x:c r="L246" s="88" t="str">
        <x:v>$2 최종 선택</x:v>
      </x:c>
    </x:row>
    <x:row r="247">
      <x:c r="A247" s="88" t="n">
        <x:v>25</x:v>
      </x:c>
      <x:c r="B247" s="88" t="str">
        <x:v>S25_GEC</x:v>
      </x:c>
      <x:c r="C247" s="88" t="n">
        <x:v>3</x:v>
      </x:c>
      <x:c r="D247" s="88" t="str">
        <x:v>3번 픽업-1</x:v>
      </x:c>
      <x:c r="E247" s="89" t="n">
        <x:v>700.7</x:v>
      </x:c>
      <x:c r="F247" s="89" t="n">
        <x:v>722.7</x:v>
      </x:c>
      <x:c r="G247" s="89" t="n">
        <x:f>IF(OR(E247="",F247=""),"",F247-E247)</x:f>
        <x:v>22</x:v>
      </x:c>
      <x:c r="H247" s="89" t="n">
        <x:v>5</x:v>
      </x:c>
      <x:c r="I247" s="89" t="n">
        <x:v>90</x:v>
      </x:c>
      <x:c r="J247" s="99" t="str">
        <x:f>IF(G247="","경계 누락",IF(AND(G247&gt;=H247,G247&lt;=I247),"시간 적합","시간 확인 필요"))</x:f>
        <x:v>시간 적합</x:v>
      </x:c>
      <x:c r="K247" s="88" t="str">
        <x:v>총시간 미기재</x:v>
      </x:c>
      <x:c r="L247" s="88" t="str">
        <x:v>$2 최종 선택</x:v>
      </x:c>
    </x:row>
    <x:row r="248">
      <x:c r="A248" s="88" t="n">
        <x:v>25</x:v>
      </x:c>
      <x:c r="B248" s="88" t="str">
        <x:v>S25_GEC</x:v>
      </x:c>
      <x:c r="C248" s="88" t="n">
        <x:v>4</x:v>
      </x:c>
      <x:c r="D248" s="88" t="str">
        <x:v>3번 픽업-2</x:v>
      </x:c>
      <x:c r="E248" s="89" t="n">
        <x:v>739.9</x:v>
      </x:c>
      <x:c r="F248" s="89" t="n">
        <x:v>749.3</x:v>
      </x:c>
      <x:c r="G248" s="89" t="n">
        <x:f>IF(OR(E248="",F248=""),"",F248-E248)</x:f>
        <x:v>9.399999999999977</x:v>
      </x:c>
      <x:c r="H248" s="89" t="n">
        <x:v>5</x:v>
      </x:c>
      <x:c r="I248" s="89" t="n">
        <x:v>90</x:v>
      </x:c>
      <x:c r="J248" s="99" t="str">
        <x:f>IF(G248="","경계 누락",IF(AND(G248&gt;=H248,G248&lt;=I248),"시간 적합","시간 확인 필요"))</x:f>
        <x:v>시간 적합</x:v>
      </x:c>
      <x:c r="K248" s="88" t="str">
        <x:v>총시간 미기재</x:v>
      </x:c>
      <x:c r="L248" s="88" t="str">
        <x:v>$2 최종 선택</x:v>
      </x:c>
    </x:row>
    <x:row r="249">
      <x:c r="A249" s="88" t="n">
        <x:v>25</x:v>
      </x:c>
      <x:c r="B249" s="88" t="str">
        <x:v>S25_GEC</x:v>
      </x:c>
      <x:c r="C249" s="88" t="n">
        <x:v>5</x:v>
      </x:c>
      <x:c r="D249" s="88" t="str">
        <x:v>4번 낙상-즉시</x:v>
      </x:c>
      <x:c r="E249" s="89" t="n">
        <x:v>848.9</x:v>
      </x:c>
      <x:c r="F249" s="89" t="n">
        <x:v>863.8</x:v>
      </x:c>
      <x:c r="G249" s="89" t="n">
        <x:f>IF(OR(E249="",F249=""),"",F249-E249)</x:f>
        <x:v>14.899999999999977</x:v>
      </x:c>
      <x:c r="H249" s="89" t="n">
        <x:v>5</x:v>
      </x:c>
      <x:c r="I249" s="89" t="n">
        <x:v>30</x:v>
      </x:c>
      <x:c r="J249" s="99" t="str">
        <x:f>IF(G249="","경계 누락",IF(AND(G249&gt;=H249,G249&lt;=I249),"시간 적합","시간 확인 필요"))</x:f>
        <x:v>시간 적합</x:v>
      </x:c>
      <x:c r="K249" s="88" t="str">
        <x:v>즥시 일어나기</x:v>
      </x:c>
      <x:c r="L249" s="88" t="str">
        <x:v>$2 최종 선택</x:v>
      </x:c>
    </x:row>
    <x:row r="250">
      <x:c r="A250" s="88" t="n">
        <x:v>25</x:v>
      </x:c>
      <x:c r="B250" s="88" t="str">
        <x:v>S25_GEC</x:v>
      </x:c>
      <x:c r="C250" s="88" t="n">
        <x:v>6</x:v>
      </x:c>
      <x:c r="D250" s="88" t="str">
        <x:v>4번 낙상-30초 유지</x:v>
      </x:c>
      <x:c r="E250" s="89" t="n">
        <x:v>874.6</x:v>
      </x:c>
      <x:c r="F250" s="89" t="n">
        <x:v>923.9</x:v>
      </x:c>
      <x:c r="G250" s="89" t="n">
        <x:f>IF(OR(E250="",F250=""),"",F250-E250)</x:f>
        <x:v>49.299999999999955</x:v>
      </x:c>
      <x:c r="H250" s="89" t="n">
        <x:v>25</x:v>
      </x:c>
      <x:c r="I250" s="89" t="n">
        <x:v>75</x:v>
      </x:c>
      <x:c r="J250" s="99" t="str">
        <x:f>IF(G250="","경계 누락",IF(AND(G250&gt;=H250,G250&lt;=I250),"시간 적합","시간 확인 필요"))</x:f>
        <x:v>시간 적합</x:v>
      </x:c>
      <x:c r="K250" s="88" t="str">
        <x:v>30초 유지+이동</x:v>
      </x:c>
      <x:c r="L250" s="88" t="str">
        <x:v>$2 최종 선택</x:v>
      </x:c>
    </x:row>
    <x:row r="251">
      <x:c r="A251" s="88" t="n">
        <x:v>25</x:v>
      </x:c>
      <x:c r="B251" s="88" t="str">
        <x:v>S25_GEC</x:v>
      </x:c>
      <x:c r="C251" s="88" t="n">
        <x:v>7</x:v>
      </x:c>
      <x:c r="D251" s="88" t="str">
        <x:v>4번 낙상-천천히</x:v>
      </x:c>
      <x:c r="E251" s="89" t="n">
        <x:v>934</x:v>
      </x:c>
      <x:c r="F251" s="89" t="n">
        <x:v>989.2</x:v>
      </x:c>
      <x:c r="G251" s="89" t="n">
        <x:f>IF(OR(E251="",F251=""),"",F251-E251)</x:f>
        <x:v>55.200000000000045</x:v>
      </x:c>
      <x:c r="H251" s="89" t="n">
        <x:v>25</x:v>
      </x:c>
      <x:c r="I251" s="89" t="n">
        <x:v>90</x:v>
      </x:c>
      <x:c r="J251" s="99" t="str">
        <x:f>IF(G251="","경계 누락",IF(AND(G251&gt;=H251,G251&lt;=I251),"시간 적합","시간 확인 필요"))</x:f>
        <x:v>시간 적합</x:v>
      </x:c>
      <x:c r="K251" s="88" t="str">
        <x:v>천천히 눕기+30초 유지</x:v>
      </x:c>
      <x:c r="L251" s="88" t="str">
        <x:v>$2 최종 선택</x:v>
      </x:c>
    </x:row>
    <x:row r="252">
      <x:c r="A252" s="88" t="n">
        <x:v>25</x:v>
      </x:c>
      <x:c r="B252" s="88" t="str">
        <x:v>S25_GEC</x:v>
      </x:c>
      <x:c r="C252" s="88" t="n">
        <x:v>8</x:v>
      </x:c>
      <x:c r="D252" s="88" t="str">
        <x:v>4번 물건 집기</x:v>
      </x:c>
      <x:c r="E252" s="89" t="n">
        <x:v>1008.1</x:v>
      </x:c>
      <x:c r="F252" s="89" t="n">
        <x:v>1021.9</x:v>
      </x:c>
      <x:c r="G252" s="89" t="n">
        <x:f>IF(OR(E252="",F252=""),"",F252-E252)</x:f>
        <x:v>13.799999999999955</x:v>
      </x:c>
      <x:c r="H252" s="89" t="n">
        <x:v>5</x:v>
      </x:c>
      <x:c r="I252" s="89" t="n">
        <x:v>40</x:v>
      </x:c>
      <x:c r="J252" s="99" t="str">
        <x:f>IF(G252="","경계 누락",IF(AND(G252&gt;=H252,G252&lt;=I252),"시간 적합","시간 확인 필요"))</x:f>
        <x:v>시간 적합</x:v>
      </x:c>
      <x:c r="K252" s="88" t="str">
        <x:v>S04부터 추가된 것으로 판단</x:v>
      </x:c>
      <x:c r="L252" s="88" t="str">
        <x:v>$2 최종 선택</x:v>
      </x:c>
    </x:row>
    <x:row r="253">
      <x:c r="A253" s="88" t="n">
        <x:v>25</x:v>
      </x:c>
      <x:c r="B253" s="88" t="str">
        <x:v>S25_GEC</x:v>
      </x:c>
      <x:c r="C253" s="88" t="n">
        <x:v>9</x:v>
      </x:c>
      <x:c r="D253" s="88" t="str">
        <x:v>5번 코스</x:v>
      </x:c>
      <x:c r="E253" s="89" t="n">
        <x:v>1093.6</x:v>
      </x:c>
      <x:c r="F253" s="89" t="n">
        <x:v>1283.9</x:v>
      </x:c>
      <x:c r="G253" s="89" t="n">
        <x:f>IF(OR(E253="",F253=""),"",F253-E253)</x:f>
        <x:v>190.30000000000018</x:v>
      </x:c>
      <x:c r="H253" s="89" t="n">
        <x:v>130</x:v>
      </x:c>
      <x:c r="I253" s="89" t="n">
        <x:v>230</x:v>
      </x:c>
      <x:c r="J253" s="99" t="str">
        <x:f>IF(G253="","경계 누락",IF(AND(G253&gt;=H253,G253&lt;=I253),"시간 적합","시간 확인 필요"))</x:f>
        <x:v>시간 적합</x:v>
      </x:c>
      <x:c r="K253" s="88" t="str">
        <x:v>16칸×10초=약 160초+이동</x:v>
      </x:c>
      <x:c r="L253" s="88" t="str">
        <x:v>$2 최종 선택</x:v>
      </x:c>
    </x:row>
    <x:row r="254">
      <x:c r="A254" s="88" t="n">
        <x:v>25</x:v>
      </x:c>
      <x:c r="B254" s="88" t="str">
        <x:v>S25_GEC</x:v>
      </x:c>
      <x:c r="C254" s="88" t="n">
        <x:v>10</x:v>
      </x:c>
      <x:c r="D254" s="88" t="str">
        <x:v>6번 왕복</x:v>
      </x:c>
      <x:c r="E254" s="89" t="n">
        <x:v>1319.4</x:v>
      </x:c>
      <x:c r="F254" s="89" t="n">
        <x:v>1345.4</x:v>
      </x:c>
      <x:c r="G254" s="89" t="n">
        <x:f>IF(OR(E254="",F254=""),"",F254-E254)</x:f>
        <x:v>26</x:v>
      </x:c>
      <x:c r="H254" s="89" t="n">
        <x:v>5</x:v>
      </x:c>
      <x:c r="I254" s="89" t="n">
        <x:v>70</x:v>
      </x:c>
      <x:c r="J254" s="99" t="str">
        <x:f>IF(G254="","경계 누락",IF(AND(G254&gt;=H254,G254&lt;=I254),"시간 적합","시간 확인 필요"))</x:f>
        <x:v>시간 적합</x:v>
      </x:c>
      <x:c r="K254" s="88" t="str">
        <x:v>PPT 1분 미만</x:v>
      </x:c>
      <x:c r="L254" s="88" t="str">
        <x:v>$2 최종 선택</x:v>
      </x:c>
    </x:row>
    <x:row r="255">
      <x:c r="A255" s="88" t="n">
        <x:v>25</x:v>
      </x:c>
      <x:c r="B255" s="88" t="str">
        <x:v>S25_GEC</x:v>
      </x:c>
      <x:c r="C255" s="88" t="n">
        <x:v>11</x:v>
      </x:c>
      <x:c r="D255" s="88" t="str">
        <x:v>7번 자유</x:v>
      </x:c>
      <x:c r="E255" s="89" t="n">
        <x:v>1373.2</x:v>
      </x:c>
      <x:c r="F255" s="89" t="n">
        <x:v>1387.4</x:v>
      </x:c>
      <x:c r="G255" s="89" t="n">
        <x:f>IF(OR(E255="",F255=""),"",F255-E255)</x:f>
        <x:v>14.200000000000045</x:v>
      </x:c>
      <x:c r="H255" s="89" t="n">
        <x:v>5</x:v>
      </x:c>
      <x:c r="I255" s="89" t="n">
        <x:v>70</x:v>
      </x:c>
      <x:c r="J255" s="99" t="str">
        <x:f>IF(G255="","경계 누락",IF(AND(G255&gt;=H255,G255&lt;=I255),"시간 적합","시간 확인 필요"))</x:f>
        <x:v>시간 적합</x:v>
      </x:c>
      <x:c r="K255" s="88" t="str">
        <x:v>PPT 1분 미만</x:v>
      </x:c>
      <x:c r="L255" s="88" t="str">
        <x:v>$2 최종 선택</x:v>
      </x:c>
    </x:row>
    <x:row r="256">
      <x:c r="A256" s="88" t="n">
        <x:v>26</x:v>
      </x:c>
      <x:c r="B256" s="88" t="str">
        <x:v>S26_LDW</x:v>
      </x:c>
      <x:c r="C256" s="88" t="n">
        <x:v>1</x:v>
      </x:c>
      <x:c r="D256" s="88" t="str">
        <x:v>1번 호흡</x:v>
      </x:c>
      <x:c r="E256" s="89" t="n">
        <x:v>12.588000000000042</x:v>
      </x:c>
      <x:c r="F256" s="89" t="n">
        <x:v>206.84400000000005</x:v>
      </x:c>
      <x:c r="G256" s="89" t="n">
        <x:f>IF(OR(E256="",F256=""),"",F256-E256)</x:f>
        <x:v>194.256</x:v>
      </x:c>
      <x:c r="H256" s="89" t="n">
        <x:v>150</x:v>
      </x:c>
      <x:c r="I256" s="89" t="n">
        <x:v>240</x:v>
      </x:c>
      <x:c r="J256" s="99" t="str">
        <x:f>IF(G256="","경계 누락",IF(AND(G256&gt;=H256,G256&lt;=I256),"시간 적합","시간 확인 필요"))</x:f>
        <x:v>시간 적합</x:v>
      </x:c>
      <x:c r="K256" s="88" t="str">
        <x:v>PPT 3분</x:v>
      </x:c>
      <x:c r="L256" s="88" t="str">
        <x:v>$2 최종 선택</x:v>
      </x:c>
    </x:row>
    <x:row r="257">
      <x:c r="A257" s="88" t="n">
        <x:v>26</x:v>
      </x:c>
      <x:c r="B257" s="88" t="str">
        <x:v>S26_LDW</x:v>
      </x:c>
      <x:c r="C257" s="88" t="n">
        <x:v>2</x:v>
      </x:c>
      <x:c r="D257" s="88" t="str">
        <x:v>2번 호흡</x:v>
      </x:c>
      <x:c r="E257" s="89" t="n">
        <x:v>257.132</x:v>
      </x:c>
      <x:c r="F257" s="89" t="n">
        <x:v>633.0600000000001</x:v>
      </x:c>
      <x:c r="G257" s="89" t="n">
        <x:f>IF(OR(E257="",F257=""),"",F257-E257)</x:f>
        <x:v>375.92800000000005</x:v>
      </x:c>
      <x:c r="H257" s="89" t="n">
        <x:v>240</x:v>
      </x:c>
      <x:c r="I257" s="89" t="n">
        <x:v>450</x:v>
      </x:c>
      <x:c r="J257" s="99" t="str">
        <x:f>IF(G257="","경계 누락",IF(AND(G257&gt;=H257,G257&lt;=I257),"시간 적합","시간 확인 필요"))</x:f>
        <x:v>시간 적합</x:v>
      </x:c>
      <x:c r="K257" s="88" t="str">
        <x:v>PPT 표기 4분30초 / 세부 합계 약 6분</x:v>
      </x:c>
      <x:c r="L257" s="88" t="str">
        <x:v>$2 최종 선택</x:v>
      </x:c>
    </x:row>
    <x:row r="258">
      <x:c r="A258" s="88" t="n">
        <x:v>26</x:v>
      </x:c>
      <x:c r="B258" s="88" t="str">
        <x:v>S26_LDW</x:v>
      </x:c>
      <x:c r="C258" s="88" t="n">
        <x:v>3</x:v>
      </x:c>
      <x:c r="D258" s="88" t="str">
        <x:v>3번 픽업-1</x:v>
      </x:c>
      <x:c r="E258" s="89" t="n">
        <x:v>687.072</x:v>
      </x:c>
      <x:c r="F258" s="89" t="n">
        <x:v>699.96</x:v>
      </x:c>
      <x:c r="G258" s="89" t="n">
        <x:f>IF(OR(E258="",F258=""),"",F258-E258)</x:f>
        <x:v>12.888000000000034</x:v>
      </x:c>
      <x:c r="H258" s="89" t="n">
        <x:v>5</x:v>
      </x:c>
      <x:c r="I258" s="89" t="n">
        <x:v>90</x:v>
      </x:c>
      <x:c r="J258" s="99" t="str">
        <x:f>IF(G258="","경계 누락",IF(AND(G258&gt;=H258,G258&lt;=I258),"시간 적합","시간 확인 필요"))</x:f>
        <x:v>시간 적합</x:v>
      </x:c>
      <x:c r="K258" s="88" t="str">
        <x:v>총시간 미기재</x:v>
      </x:c>
      <x:c r="L258" s="88" t="str">
        <x:v>$2 최종 선택</x:v>
      </x:c>
    </x:row>
    <x:row r="259">
      <x:c r="A259" s="88" t="n">
        <x:v>26</x:v>
      </x:c>
      <x:c r="B259" s="88" t="str">
        <x:v>S26_LDW</x:v>
      </x:c>
      <x:c r="C259" s="88" t="n">
        <x:v>4</x:v>
      </x:c>
      <x:c r="D259" s="88" t="str">
        <x:v>3번 픽업-2</x:v>
      </x:c>
      <x:c r="E259" s="89" t="n">
        <x:v>718.672</x:v>
      </x:c>
      <x:c r="F259" s="89" t="n">
        <x:v>730.8000000000001</x:v>
      </x:c>
      <x:c r="G259" s="89" t="n">
        <x:f>IF(OR(E259="",F259=""),"",F259-E259)</x:f>
        <x:v>12.128000000000043</x:v>
      </x:c>
      <x:c r="H259" s="89" t="n">
        <x:v>5</x:v>
      </x:c>
      <x:c r="I259" s="89" t="n">
        <x:v>90</x:v>
      </x:c>
      <x:c r="J259" s="99" t="str">
        <x:f>IF(G259="","경계 누락",IF(AND(G259&gt;=H259,G259&lt;=I259),"시간 적합","시간 확인 필요"))</x:f>
        <x:v>시간 적합</x:v>
      </x:c>
      <x:c r="K259" s="88" t="str">
        <x:v>총시간 미기재</x:v>
      </x:c>
      <x:c r="L259" s="88" t="str">
        <x:v>$2 최종 선택</x:v>
      </x:c>
    </x:row>
    <x:row r="260">
      <x:c r="A260" s="88" t="n">
        <x:v>26</x:v>
      </x:c>
      <x:c r="B260" s="88" t="str">
        <x:v>S26_LDW</x:v>
      </x:c>
      <x:c r="C260" s="88" t="n">
        <x:v>5</x:v>
      </x:c>
      <x:c r="D260" s="88" t="str">
        <x:v>4번 낙상-즉시</x:v>
      </x:c>
      <x:c r="E260" s="89" t="n">
        <x:v>788.4200000000001</x:v>
      </x:c>
      <x:c r="F260" s="89" t="n">
        <x:v>804.976</x:v>
      </x:c>
      <x:c r="G260" s="89" t="n">
        <x:f>IF(OR(E260="",F260=""),"",F260-E260)</x:f>
        <x:v>16.555999999999926</x:v>
      </x:c>
      <x:c r="H260" s="89" t="n">
        <x:v>5</x:v>
      </x:c>
      <x:c r="I260" s="89" t="n">
        <x:v>30</x:v>
      </x:c>
      <x:c r="J260" s="99" t="str">
        <x:f>IF(G260="","경계 누락",IF(AND(G260&gt;=H260,G260&lt;=I260),"시간 적합","시간 확인 필요"))</x:f>
        <x:v>시간 적합</x:v>
      </x:c>
      <x:c r="K260" s="88" t="str">
        <x:v>즥시 일어나기</x:v>
      </x:c>
      <x:c r="L260" s="88" t="str">
        <x:v>$2 최종 선택</x:v>
      </x:c>
    </x:row>
    <x:row r="261">
      <x:c r="A261" s="88" t="n">
        <x:v>26</x:v>
      </x:c>
      <x:c r="B261" s="88" t="str">
        <x:v>S26_LDW</x:v>
      </x:c>
      <x:c r="C261" s="88" t="n">
        <x:v>6</x:v>
      </x:c>
      <x:c r="D261" s="88" t="str">
        <x:v>4번 낙상-30초 유지</x:v>
      </x:c>
      <x:c r="E261" s="89" t="n">
        <x:v>817.904</x:v>
      </x:c>
      <x:c r="F261" s="89" t="n">
        <x:v>864.6493330000001</x:v>
      </x:c>
      <x:c r="G261" s="89" t="n">
        <x:f>IF(OR(E261="",F261=""),"",F261-E261)</x:f>
        <x:v>46.74533300000007</x:v>
      </x:c>
      <x:c r="H261" s="89" t="n">
        <x:v>25</x:v>
      </x:c>
      <x:c r="I261" s="89" t="n">
        <x:v>75</x:v>
      </x:c>
      <x:c r="J261" s="99" t="str">
        <x:f>IF(G261="","경계 누락",IF(AND(G261&gt;=H261,G261&lt;=I261),"시간 적합","시간 확인 필요"))</x:f>
        <x:v>시간 적합</x:v>
      </x:c>
      <x:c r="K261" s="88" t="str">
        <x:v>30초 유지+이동</x:v>
      </x:c>
      <x:c r="L261" s="88" t="str">
        <x:v>$2 최종 선택</x:v>
      </x:c>
    </x:row>
    <x:row r="262">
      <x:c r="A262" s="88" t="n">
        <x:v>26</x:v>
      </x:c>
      <x:c r="B262" s="88" t="str">
        <x:v>S26_LDW</x:v>
      </x:c>
      <x:c r="C262" s="88" t="n">
        <x:v>7</x:v>
      </x:c>
      <x:c r="D262" s="88" t="str">
        <x:v>4번 낙상-천천히</x:v>
      </x:c>
      <x:c r="E262" s="89" t="n">
        <x:v>874.236</x:v>
      </x:c>
      <x:c r="F262" s="89" t="n">
        <x:v>923.36</x:v>
      </x:c>
      <x:c r="G262" s="89" t="n">
        <x:f>IF(OR(E262="",F262=""),"",F262-E262)</x:f>
        <x:v>49.124000000000024</x:v>
      </x:c>
      <x:c r="H262" s="89" t="n">
        <x:v>25</x:v>
      </x:c>
      <x:c r="I262" s="89" t="n">
        <x:v>90</x:v>
      </x:c>
      <x:c r="J262" s="99" t="str">
        <x:f>IF(G262="","경계 누락",IF(AND(G262&gt;=H262,G262&lt;=I262),"시간 적합","시간 확인 필요"))</x:f>
        <x:v>시간 적합</x:v>
      </x:c>
      <x:c r="K262" s="88" t="str">
        <x:v>천천히 눕기+30초 유지</x:v>
      </x:c>
      <x:c r="L262" s="88" t="str">
        <x:v>$2 최종 선택</x:v>
      </x:c>
    </x:row>
    <x:row r="263">
      <x:c r="A263" s="88" t="n">
        <x:v>26</x:v>
      </x:c>
      <x:c r="B263" s="88" t="str">
        <x:v>S26_LDW</x:v>
      </x:c>
      <x:c r="C263" s="88" t="n">
        <x:v>8</x:v>
      </x:c>
      <x:c r="D263" s="88" t="str">
        <x:v>4번 물건 집기</x:v>
      </x:c>
      <x:c r="E263" s="89" t="n">
        <x:v>944.8960000000001</x:v>
      </x:c>
      <x:c r="F263" s="89" t="n">
        <x:v>958.112</x:v>
      </x:c>
      <x:c r="G263" s="89" t="n">
        <x:f>IF(OR(E263="",F263=""),"",F263-E263)</x:f>
        <x:v>13.215999999999894</x:v>
      </x:c>
      <x:c r="H263" s="89" t="n">
        <x:v>5</x:v>
      </x:c>
      <x:c r="I263" s="89" t="n">
        <x:v>40</x:v>
      </x:c>
      <x:c r="J263" s="99" t="str">
        <x:f>IF(G263="","경계 누락",IF(AND(G263&gt;=H263,G263&lt;=I263),"시간 적합","시간 확인 필요"))</x:f>
        <x:v>시간 적합</x:v>
      </x:c>
      <x:c r="K263" s="88" t="str">
        <x:v>S04부터 추가된 것으로 판단</x:v>
      </x:c>
      <x:c r="L263" s="88" t="str">
        <x:v>$2 최종 선택</x:v>
      </x:c>
    </x:row>
    <x:row r="264">
      <x:c r="A264" s="88" t="n">
        <x:v>26</x:v>
      </x:c>
      <x:c r="B264" s="88" t="str">
        <x:v>S26_LDW</x:v>
      </x:c>
      <x:c r="C264" s="88" t="n">
        <x:v>9</x:v>
      </x:c>
      <x:c r="D264" s="88" t="str">
        <x:v>5번 코스</x:v>
      </x:c>
      <x:c r="E264" s="89" t="n">
        <x:v>1021.684</x:v>
      </x:c>
      <x:c r="F264" s="89" t="n">
        <x:v>1213.629333</x:v>
      </x:c>
      <x:c r="G264" s="89" t="n">
        <x:f>IF(OR(E264="",F264=""),"",F264-E264)</x:f>
        <x:v>191.94533300000012</x:v>
      </x:c>
      <x:c r="H264" s="89" t="n">
        <x:v>130</x:v>
      </x:c>
      <x:c r="I264" s="89" t="n">
        <x:v>230</x:v>
      </x:c>
      <x:c r="J264" s="99" t="str">
        <x:f>IF(G264="","경계 누락",IF(AND(G264&gt;=H264,G264&lt;=I264),"시간 적합","시간 확인 필요"))</x:f>
        <x:v>시간 적합</x:v>
      </x:c>
      <x:c r="K264" s="88" t="str">
        <x:v>16칸×10초=약 160초+이동</x:v>
      </x:c>
      <x:c r="L264" s="88" t="str">
        <x:v>$2 최종 선택</x:v>
      </x:c>
    </x:row>
    <x:row r="265">
      <x:c r="A265" s="88" t="n">
        <x:v>26</x:v>
      </x:c>
      <x:c r="B265" s="88" t="str">
        <x:v>S26_LDW</x:v>
      </x:c>
      <x:c r="C265" s="88" t="n">
        <x:v>10</x:v>
      </x:c>
      <x:c r="D265" s="88" t="str">
        <x:v>6번 왕복</x:v>
      </x:c>
      <x:c r="E265" s="89" t="n">
        <x:v>1230.5200000000002</x:v>
      </x:c>
      <x:c r="F265" s="89" t="n">
        <x:v>1256.652</x:v>
      </x:c>
      <x:c r="G265" s="89" t="n">
        <x:f>IF(OR(E265="",F265=""),"",F265-E265)</x:f>
        <x:v>26.131999999999834</x:v>
      </x:c>
      <x:c r="H265" s="89" t="n">
        <x:v>5</x:v>
      </x:c>
      <x:c r="I265" s="89" t="n">
        <x:v>70</x:v>
      </x:c>
      <x:c r="J265" s="99" t="str">
        <x:f>IF(G265="","경계 누락",IF(AND(G265&gt;=H265,G265&lt;=I265),"시간 적합","시간 확인 필요"))</x:f>
        <x:v>시간 적합</x:v>
      </x:c>
      <x:c r="K265" s="88" t="str">
        <x:v>PPT 1분 미만</x:v>
      </x:c>
      <x:c r="L265" s="88" t="str">
        <x:v>$2 최종 선택</x:v>
      </x:c>
    </x:row>
    <x:row r="266">
      <x:c r="A266" s="88" t="n">
        <x:v>26</x:v>
      </x:c>
      <x:c r="B266" s="88" t="str">
        <x:v>S26_LDW</x:v>
      </x:c>
      <x:c r="C266" s="88" t="n">
        <x:v>11</x:v>
      </x:c>
      <x:c r="D266" s="88" t="str">
        <x:v>7번 자유</x:v>
      </x:c>
      <x:c r="E266" s="89" t="n">
        <x:v>1277.9920000000002</x:v>
      </x:c>
      <x:c r="F266" s="89" t="n">
        <x:v>1291.4080000000001</x:v>
      </x:c>
      <x:c r="G266" s="89" t="n">
        <x:f>IF(OR(E266="",F266=""),"",F266-E266)</x:f>
        <x:v>13.41599999999994</x:v>
      </x:c>
      <x:c r="H266" s="89" t="n">
        <x:v>5</x:v>
      </x:c>
      <x:c r="I266" s="89" t="n">
        <x:v>70</x:v>
      </x:c>
      <x:c r="J266" s="99" t="str">
        <x:f>IF(G266="","경계 누락",IF(AND(G266&gt;=H266,G266&lt;=I266),"시간 적합","시간 확인 필요"))</x:f>
        <x:v>시간 적합</x:v>
      </x:c>
      <x:c r="K266" s="88" t="str">
        <x:v>PPT 1분 미만</x:v>
      </x:c>
      <x:c r="L266" s="88" t="str">
        <x:v>$2 최종 선택</x:v>
      </x:c>
    </x:row>
    <x:row r="267">
      <x:c r="A267" s="88" t="n">
        <x:v>27</x:v>
      </x:c>
      <x:c r="B267" s="88" t="str">
        <x:v>S27_HDH</x:v>
      </x:c>
      <x:c r="C267" s="88" t="n">
        <x:v>1</x:v>
      </x:c>
      <x:c r="D267" s="88" t="str">
        <x:v>1번 호흡</x:v>
      </x:c>
      <x:c r="E267" s="89" t="n">
        <x:v>6.2</x:v>
      </x:c>
      <x:c r="F267" s="89" t="n">
        <x:v>198.3</x:v>
      </x:c>
      <x:c r="G267" s="89" t="n">
        <x:f>IF(OR(E267="",F267=""),"",F267-E267)</x:f>
        <x:v>192.10000000000002</x:v>
      </x:c>
      <x:c r="H267" s="89" t="n">
        <x:v>150</x:v>
      </x:c>
      <x:c r="I267" s="89" t="n">
        <x:v>240</x:v>
      </x:c>
      <x:c r="J267" s="99" t="str">
        <x:f>IF(G267="","경계 누락",IF(AND(G267&gt;=H267,G267&lt;=I267),"시간 적합","시간 확인 필요"))</x:f>
        <x:v>시간 적합</x:v>
      </x:c>
      <x:c r="K267" s="88" t="str">
        <x:v>PPT 3분</x:v>
      </x:c>
      <x:c r="L267" s="88" t="str">
        <x:v>$2 최종 선택</x:v>
      </x:c>
    </x:row>
    <x:row r="268">
      <x:c r="A268" s="88" t="n">
        <x:v>27</x:v>
      </x:c>
      <x:c r="B268" s="88" t="str">
        <x:v>S27_HDH</x:v>
      </x:c>
      <x:c r="C268" s="88" t="n">
        <x:v>2</x:v>
      </x:c>
      <x:c r="D268" s="88" t="str">
        <x:v>2번 호흡</x:v>
      </x:c>
      <x:c r="E268" s="89" t="n">
        <x:v>221.1</x:v>
      </x:c>
      <x:c r="F268" s="89" t="n">
        <x:v>596.9</x:v>
      </x:c>
      <x:c r="G268" s="89" t="n">
        <x:f>IF(OR(E268="",F268=""),"",F268-E268)</x:f>
        <x:v>375.79999999999995</x:v>
      </x:c>
      <x:c r="H268" s="89" t="n">
        <x:v>240</x:v>
      </x:c>
      <x:c r="I268" s="89" t="n">
        <x:v>450</x:v>
      </x:c>
      <x:c r="J268" s="99" t="str">
        <x:f>IF(G268="","경계 누락",IF(AND(G268&gt;=H268,G268&lt;=I268),"시간 적합","시간 확인 필요"))</x:f>
        <x:v>시간 적합</x:v>
      </x:c>
      <x:c r="K268" s="88" t="str">
        <x:v>PPT 표기 4분30초 / 세부 합계 약 6분</x:v>
      </x:c>
      <x:c r="L268" s="88" t="str">
        <x:v>$2 최종 선택</x:v>
      </x:c>
    </x:row>
    <x:row r="269">
      <x:c r="A269" s="88" t="n">
        <x:v>27</x:v>
      </x:c>
      <x:c r="B269" s="88" t="str">
        <x:v>S27_HDH</x:v>
      </x:c>
      <x:c r="C269" s="88" t="n">
        <x:v>3</x:v>
      </x:c>
      <x:c r="D269" s="88" t="str">
        <x:v>3번 픽업-1</x:v>
      </x:c>
      <x:c r="E269" s="89" t="n">
        <x:v>649.1</x:v>
      </x:c>
      <x:c r="F269" s="89" t="n">
        <x:v>663.7</x:v>
      </x:c>
      <x:c r="G269" s="89" t="n">
        <x:f>IF(OR(E269="",F269=""),"",F269-E269)</x:f>
        <x:v>14.600000000000023</x:v>
      </x:c>
      <x:c r="H269" s="89" t="n">
        <x:v>5</x:v>
      </x:c>
      <x:c r="I269" s="89" t="n">
        <x:v>90</x:v>
      </x:c>
      <x:c r="J269" s="99" t="str">
        <x:f>IF(G269="","경계 누락",IF(AND(G269&gt;=H269,G269&lt;=I269),"시간 적합","시간 확인 필요"))</x:f>
        <x:v>시간 적합</x:v>
      </x:c>
      <x:c r="K269" s="88" t="str">
        <x:v>총시간 미기재</x:v>
      </x:c>
      <x:c r="L269" s="88" t="str">
        <x:v>$2 최종 선택</x:v>
      </x:c>
    </x:row>
    <x:row r="270">
      <x:c r="A270" s="88" t="n">
        <x:v>27</x:v>
      </x:c>
      <x:c r="B270" s="88" t="str">
        <x:v>S27_HDH</x:v>
      </x:c>
      <x:c r="C270" s="88" t="n">
        <x:v>4</x:v>
      </x:c>
      <x:c r="D270" s="88" t="str">
        <x:v>3번 픽업-2</x:v>
      </x:c>
      <x:c r="E270" s="89" t="n">
        <x:v>682.1</x:v>
      </x:c>
      <x:c r="F270" s="89" t="n">
        <x:v>695.7</x:v>
      </x:c>
      <x:c r="G270" s="89" t="n">
        <x:f>IF(OR(E270="",F270=""),"",F270-E270)</x:f>
        <x:v>13.600000000000023</x:v>
      </x:c>
      <x:c r="H270" s="89" t="n">
        <x:v>5</x:v>
      </x:c>
      <x:c r="I270" s="89" t="n">
        <x:v>90</x:v>
      </x:c>
      <x:c r="J270" s="99" t="str">
        <x:f>IF(G270="","경계 누락",IF(AND(G270&gt;=H270,G270&lt;=I270),"시간 적합","시간 확인 필요"))</x:f>
        <x:v>시간 적합</x:v>
      </x:c>
      <x:c r="K270" s="88" t="str">
        <x:v>총시간 미기재</x:v>
      </x:c>
      <x:c r="L270" s="88" t="str">
        <x:v>$2 최종 선택</x:v>
      </x:c>
    </x:row>
    <x:row r="271">
      <x:c r="A271" s="88" t="n">
        <x:v>27</x:v>
      </x:c>
      <x:c r="B271" s="88" t="str">
        <x:v>S27_HDH</x:v>
      </x:c>
      <x:c r="C271" s="88" t="n">
        <x:v>5</x:v>
      </x:c>
      <x:c r="D271" s="88" t="str">
        <x:v>4번 낙상-즉시</x:v>
      </x:c>
      <x:c r="E271" s="89" t="n">
        <x:v>754</x:v>
      </x:c>
      <x:c r="F271" s="89" t="n">
        <x:v>767.2</x:v>
      </x:c>
      <x:c r="G271" s="89" t="n">
        <x:f>IF(OR(E271="",F271=""),"",F271-E271)</x:f>
        <x:v>13.200000000000045</x:v>
      </x:c>
      <x:c r="H271" s="89" t="n">
        <x:v>5</x:v>
      </x:c>
      <x:c r="I271" s="89" t="n">
        <x:v>30</x:v>
      </x:c>
      <x:c r="J271" s="99" t="str">
        <x:f>IF(G271="","경계 누락",IF(AND(G271&gt;=H271,G271&lt;=I271),"시간 적합","시간 확인 필요"))</x:f>
        <x:v>시간 적합</x:v>
      </x:c>
      <x:c r="K271" s="88" t="str">
        <x:v>즥시 일어나기</x:v>
      </x:c>
      <x:c r="L271" s="88" t="str">
        <x:v>$2 최종 선택</x:v>
      </x:c>
    </x:row>
    <x:row r="272">
      <x:c r="A272" s="88" t="n">
        <x:v>27</x:v>
      </x:c>
      <x:c r="B272" s="88" t="str">
        <x:v>S27_HDH</x:v>
      </x:c>
      <x:c r="C272" s="88" t="n">
        <x:v>6</x:v>
      </x:c>
      <x:c r="D272" s="88" t="str">
        <x:v>4번 낙상-30초 유지</x:v>
      </x:c>
      <x:c r="E272" s="89" t="n">
        <x:v>780.3</x:v>
      </x:c>
      <x:c r="F272" s="89" t="n">
        <x:v>825.9</x:v>
      </x:c>
      <x:c r="G272" s="89" t="n">
        <x:f>IF(OR(E272="",F272=""),"",F272-E272)</x:f>
        <x:v>45.60000000000002</x:v>
      </x:c>
      <x:c r="H272" s="89" t="n">
        <x:v>25</x:v>
      </x:c>
      <x:c r="I272" s="89" t="n">
        <x:v>75</x:v>
      </x:c>
      <x:c r="J272" s="99" t="str">
        <x:f>IF(G272="","경계 누락",IF(AND(G272&gt;=H272,G272&lt;=I272),"시간 적합","시간 확인 필요"))</x:f>
        <x:v>시간 적합</x:v>
      </x:c>
      <x:c r="K272" s="88" t="str">
        <x:v>30초 유지+이동</x:v>
      </x:c>
      <x:c r="L272" s="88" t="str">
        <x:v>$2 최종 선택</x:v>
      </x:c>
    </x:row>
    <x:row r="273">
      <x:c r="A273" s="88" t="n">
        <x:v>27</x:v>
      </x:c>
      <x:c r="B273" s="88" t="str">
        <x:v>S27_HDH</x:v>
      </x:c>
      <x:c r="C273" s="88" t="n">
        <x:v>7</x:v>
      </x:c>
      <x:c r="D273" s="88" t="str">
        <x:v>4번 낙상-천천히</x:v>
      </x:c>
      <x:c r="E273" s="89" t="n">
        <x:v>838.1</x:v>
      </x:c>
      <x:c r="F273" s="89" t="n">
        <x:v>889</x:v>
      </x:c>
      <x:c r="G273" s="89" t="n">
        <x:f>IF(OR(E273="",F273=""),"",F273-E273)</x:f>
        <x:v>50.89999999999998</x:v>
      </x:c>
      <x:c r="H273" s="89" t="n">
        <x:v>25</x:v>
      </x:c>
      <x:c r="I273" s="89" t="n">
        <x:v>90</x:v>
      </x:c>
      <x:c r="J273" s="99" t="str">
        <x:f>IF(G273="","경계 누락",IF(AND(G273&gt;=H273,G273&lt;=I273),"시간 적합","시간 확인 필요"))</x:f>
        <x:v>시간 적합</x:v>
      </x:c>
      <x:c r="K273" s="88" t="str">
        <x:v>천천히 눕기+30초 유지</x:v>
      </x:c>
      <x:c r="L273" s="88" t="str">
        <x:v>$2 최종 선택</x:v>
      </x:c>
    </x:row>
    <x:row r="274">
      <x:c r="A274" s="88" t="n">
        <x:v>27</x:v>
      </x:c>
      <x:c r="B274" s="88" t="str">
        <x:v>S27_HDH</x:v>
      </x:c>
      <x:c r="C274" s="88" t="n">
        <x:v>8</x:v>
      </x:c>
      <x:c r="D274" s="88" t="str">
        <x:v>4번 물건 집기</x:v>
      </x:c>
      <x:c r="E274" s="89" t="n">
        <x:v>910</x:v>
      </x:c>
      <x:c r="F274" s="89" t="n">
        <x:v>922.5</x:v>
      </x:c>
      <x:c r="G274" s="89" t="n">
        <x:f>IF(OR(E274="",F274=""),"",F274-E274)</x:f>
        <x:v>12.5</x:v>
      </x:c>
      <x:c r="H274" s="89" t="n">
        <x:v>5</x:v>
      </x:c>
      <x:c r="I274" s="89" t="n">
        <x:v>40</x:v>
      </x:c>
      <x:c r="J274" s="99" t="str">
        <x:f>IF(G274="","경계 누락",IF(AND(G274&gt;=H274,G274&lt;=I274),"시간 적합","시간 확인 필요"))</x:f>
        <x:v>시간 적합</x:v>
      </x:c>
      <x:c r="K274" s="88" t="str">
        <x:v>S04부터 추가된 것으로 판단</x:v>
      </x:c>
      <x:c r="L274" s="88" t="str">
        <x:v>$2 최종 선택</x:v>
      </x:c>
    </x:row>
    <x:row r="275">
      <x:c r="A275" s="88" t="n">
        <x:v>27</x:v>
      </x:c>
      <x:c r="B275" s="88" t="str">
        <x:v>S27_HDH</x:v>
      </x:c>
      <x:c r="C275" s="88" t="n">
        <x:v>9</x:v>
      </x:c>
      <x:c r="D275" s="88" t="str">
        <x:v>5번 코스</x:v>
      </x:c>
      <x:c r="E275" s="89" t="n">
        <x:v>972</x:v>
      </x:c>
      <x:c r="F275" s="89" t="n">
        <x:v>1159.6</x:v>
      </x:c>
      <x:c r="G275" s="89" t="n">
        <x:f>IF(OR(E275="",F275=""),"",F275-E275)</x:f>
        <x:v>187.5999999999999</x:v>
      </x:c>
      <x:c r="H275" s="89" t="n">
        <x:v>130</x:v>
      </x:c>
      <x:c r="I275" s="89" t="n">
        <x:v>230</x:v>
      </x:c>
      <x:c r="J275" s="99" t="str">
        <x:f>IF(G275="","경계 누락",IF(AND(G275&gt;=H275,G275&lt;=I275),"시간 적합","시간 확인 필요"))</x:f>
        <x:v>시간 적합</x:v>
      </x:c>
      <x:c r="K275" s="88" t="str">
        <x:v>16칸×10초=약 160초+이동</x:v>
      </x:c>
      <x:c r="L275" s="88" t="str">
        <x:v>$2 최종 선택</x:v>
      </x:c>
    </x:row>
    <x:row r="276">
      <x:c r="A276" s="88" t="n">
        <x:v>27</x:v>
      </x:c>
      <x:c r="B276" s="88" t="str">
        <x:v>S27_HDH</x:v>
      </x:c>
      <x:c r="C276" s="88" t="n">
        <x:v>10</x:v>
      </x:c>
      <x:c r="D276" s="88" t="str">
        <x:v>6번 왕복</x:v>
      </x:c>
      <x:c r="E276" s="89" t="n">
        <x:v>1183.3</x:v>
      </x:c>
      <x:c r="F276" s="89" t="n">
        <x:v>1205.4</x:v>
      </x:c>
      <x:c r="G276" s="89" t="n">
        <x:f>IF(OR(E276="",F276=""),"",F276-E276)</x:f>
        <x:v>22.100000000000136</x:v>
      </x:c>
      <x:c r="H276" s="89" t="n">
        <x:v>5</x:v>
      </x:c>
      <x:c r="I276" s="89" t="n">
        <x:v>70</x:v>
      </x:c>
      <x:c r="J276" s="99" t="str">
        <x:f>IF(G276="","경계 누락",IF(AND(G276&gt;=H276,G276&lt;=I276),"시간 적합","시간 확인 필요"))</x:f>
        <x:v>시간 적합</x:v>
      </x:c>
      <x:c r="K276" s="88" t="str">
        <x:v>PPT 1분 미만</x:v>
      </x:c>
      <x:c r="L276" s="88" t="str">
        <x:v>$2 최종 선택</x:v>
      </x:c>
    </x:row>
    <x:row r="277">
      <x:c r="A277" s="88" t="n">
        <x:v>27</x:v>
      </x:c>
      <x:c r="B277" s="88" t="str">
        <x:v>S27_HDH</x:v>
      </x:c>
      <x:c r="C277" s="88" t="n">
        <x:v>11</x:v>
      </x:c>
      <x:c r="D277" s="88" t="str">
        <x:v>7번 자유</x:v>
      </x:c>
      <x:c r="E277" s="89" t="n">
        <x:v>1225.3</x:v>
      </x:c>
      <x:c r="F277" s="89" t="n">
        <x:v>1236</x:v>
      </x:c>
      <x:c r="G277" s="89" t="n">
        <x:f>IF(OR(E277="",F277=""),"",F277-E277)</x:f>
        <x:v>10.700000000000045</x:v>
      </x:c>
      <x:c r="H277" s="89" t="n">
        <x:v>5</x:v>
      </x:c>
      <x:c r="I277" s="89" t="n">
        <x:v>70</x:v>
      </x:c>
      <x:c r="J277" s="99" t="str">
        <x:f>IF(G277="","경계 누락",IF(AND(G277&gt;=H277,G277&lt;=I277),"시간 적합","시간 확인 필요"))</x:f>
        <x:v>시간 적합</x:v>
      </x:c>
      <x:c r="K277" s="88" t="str">
        <x:v>PPT 1분 미만</x:v>
      </x:c>
      <x:c r="L277" s="88" t="str">
        <x:v>$2 최종 선택</x:v>
      </x:c>
    </x:row>
    <x:row r="278">
      <x:c r="A278" s="88" t="n">
        <x:v>28</x:v>
      </x:c>
      <x:c r="B278" s="88" t="str">
        <x:v>S28_KDH</x:v>
      </x:c>
      <x:c r="C278" s="88" t="n">
        <x:v>1</x:v>
      </x:c>
      <x:c r="D278" s="88" t="str">
        <x:v>1번 호흡</x:v>
      </x:c>
      <x:c r="E278" s="89" t="n">
        <x:v>14.424000000000055</x:v>
      </x:c>
      <x:c r="F278" s="89" t="n">
        <x:v>207.58000000000004</x:v>
      </x:c>
      <x:c r="G278" s="89" t="n">
        <x:f>IF(OR(E278="",F278=""),"",F278-E278)</x:f>
        <x:v>193.15599999999998</x:v>
      </x:c>
      <x:c r="H278" s="89" t="n">
        <x:v>150</x:v>
      </x:c>
      <x:c r="I278" s="89" t="n">
        <x:v>240</x:v>
      </x:c>
      <x:c r="J278" s="99" t="str">
        <x:f>IF(G278="","경계 누락",IF(AND(G278&gt;=H278,G278&lt;=I278),"시간 적합","시간 확인 필요"))</x:f>
        <x:v>시간 적합</x:v>
      </x:c>
      <x:c r="K278" s="88" t="str">
        <x:v>PPT 3분</x:v>
      </x:c>
      <x:c r="L278" s="88" t="str">
        <x:v>$2 최종 선택</x:v>
      </x:c>
    </x:row>
    <x:row r="279">
      <x:c r="A279" s="88" t="n">
        <x:v>28</x:v>
      </x:c>
      <x:c r="B279" s="88" t="str">
        <x:v>S28_KDH</x:v>
      </x:c>
      <x:c r="C279" s="88" t="n">
        <x:v>2</x:v>
      </x:c>
      <x:c r="D279" s="88" t="str">
        <x:v>2번 호흡</x:v>
      </x:c>
      <x:c r="E279" s="89" t="n">
        <x:v>238.92400000000004</x:v>
      </x:c>
      <x:c r="F279" s="89" t="n">
        <x:v>616.316</x:v>
      </x:c>
      <x:c r="G279" s="89" t="n">
        <x:f>IF(OR(E279="",F279=""),"",F279-E279)</x:f>
        <x:v>377.392</x:v>
      </x:c>
      <x:c r="H279" s="89" t="n">
        <x:v>240</x:v>
      </x:c>
      <x:c r="I279" s="89" t="n">
        <x:v>450</x:v>
      </x:c>
      <x:c r="J279" s="99" t="str">
        <x:f>IF(G279="","경계 누락",IF(AND(G279&gt;=H279,G279&lt;=I279),"시간 적합","시간 확인 필요"))</x:f>
        <x:v>시간 적합</x:v>
      </x:c>
      <x:c r="K279" s="88" t="str">
        <x:v>PPT 표기 4분30초 / 세부 합계 약 6분</x:v>
      </x:c>
      <x:c r="L279" s="88" t="str">
        <x:v>$2 최종 선택</x:v>
      </x:c>
    </x:row>
    <x:row r="280">
      <x:c r="A280" s="88" t="n">
        <x:v>28</x:v>
      </x:c>
      <x:c r="B280" s="88" t="str">
        <x:v>S28_KDH</x:v>
      </x:c>
      <x:c r="C280" s="88" t="n">
        <x:v>3</x:v>
      </x:c>
      <x:c r="D280" s="88" t="str">
        <x:v>3번 픽업-1</x:v>
      </x:c>
      <x:c r="E280" s="89" t="n">
        <x:v>674.368</x:v>
      </x:c>
      <x:c r="F280" s="89" t="n">
        <x:v>690.6840000000001</x:v>
      </x:c>
      <x:c r="G280" s="89" t="n">
        <x:f>IF(OR(E280="",F280=""),"",F280-E280)</x:f>
        <x:v>16.31600000000003</x:v>
      </x:c>
      <x:c r="H280" s="89" t="n">
        <x:v>5</x:v>
      </x:c>
      <x:c r="I280" s="89" t="n">
        <x:v>90</x:v>
      </x:c>
      <x:c r="J280" s="99" t="str">
        <x:f>IF(G280="","경계 누락",IF(AND(G280&gt;=H280,G280&lt;=I280),"시간 적합","시간 확인 필요"))</x:f>
        <x:v>시간 적합</x:v>
      </x:c>
      <x:c r="K280" s="88" t="str">
        <x:v>총시간 미기재</x:v>
      </x:c>
      <x:c r="L280" s="88" t="str">
        <x:v>$2 최종 선택</x:v>
      </x:c>
    </x:row>
    <x:row r="281">
      <x:c r="A281" s="88" t="n">
        <x:v>28</x:v>
      </x:c>
      <x:c r="B281" s="88" t="str">
        <x:v>S28_KDH</x:v>
      </x:c>
      <x:c r="C281" s="88" t="n">
        <x:v>4</x:v>
      </x:c>
      <x:c r="D281" s="88" t="str">
        <x:v>3번 픽업-2</x:v>
      </x:c>
      <x:c r="E281" s="89" t="n">
        <x:v>709.596</x:v>
      </x:c>
      <x:c r="F281" s="89" t="n">
        <x:v>724.6600000000001</x:v>
      </x:c>
      <x:c r="G281" s="89" t="n">
        <x:f>IF(OR(E281="",F281=""),"",F281-E281)</x:f>
        <x:v>15.064000000000078</x:v>
      </x:c>
      <x:c r="H281" s="89" t="n">
        <x:v>5</x:v>
      </x:c>
      <x:c r="I281" s="89" t="n">
        <x:v>90</x:v>
      </x:c>
      <x:c r="J281" s="99" t="str">
        <x:f>IF(G281="","경계 누락",IF(AND(G281&gt;=H281,G281&lt;=I281),"시간 적합","시간 확인 필요"))</x:f>
        <x:v>시간 적합</x:v>
      </x:c>
      <x:c r="K281" s="88" t="str">
        <x:v>총시간 미기재</x:v>
      </x:c>
      <x:c r="L281" s="88" t="str">
        <x:v>$2 최종 선택</x:v>
      </x:c>
    </x:row>
    <x:row r="282">
      <x:c r="A282" s="88" t="n">
        <x:v>28</x:v>
      </x:c>
      <x:c r="B282" s="88" t="str">
        <x:v>S28_KDH</x:v>
      </x:c>
      <x:c r="C282" s="88" t="n">
        <x:v>5</x:v>
      </x:c>
      <x:c r="D282" s="88" t="str">
        <x:v>4번 낙상-즉시</x:v>
      </x:c>
      <x:c r="E282" s="89" t="n">
        <x:v>788.84</x:v>
      </x:c>
      <x:c r="F282" s="89" t="n">
        <x:v>804.416</x:v>
      </x:c>
      <x:c r="G282" s="89" t="n">
        <x:f>IF(OR(E282="",F282=""),"",F282-E282)</x:f>
        <x:v>15.576000000000022</x:v>
      </x:c>
      <x:c r="H282" s="89" t="n">
        <x:v>5</x:v>
      </x:c>
      <x:c r="I282" s="89" t="n">
        <x:v>30</x:v>
      </x:c>
      <x:c r="J282" s="99" t="str">
        <x:f>IF(G282="","경계 누락",IF(AND(G282&gt;=H282,G282&lt;=I282),"시간 적합","시간 확인 필요"))</x:f>
        <x:v>시간 적합</x:v>
      </x:c>
      <x:c r="K282" s="88" t="str">
        <x:v>즥시 일어나기</x:v>
      </x:c>
      <x:c r="L282" s="88" t="str">
        <x:v>$2 최종 선택</x:v>
      </x:c>
    </x:row>
    <x:row r="283">
      <x:c r="A283" s="88" t="n">
        <x:v>28</x:v>
      </x:c>
      <x:c r="B283" s="88" t="str">
        <x:v>S28_KDH</x:v>
      </x:c>
      <x:c r="C283" s="88" t="n">
        <x:v>6</x:v>
      </x:c>
      <x:c r="D283" s="88" t="str">
        <x:v>4번 낙상-30초 유지</x:v>
      </x:c>
      <x:c r="E283" s="89" t="n">
        <x:v>817.7</x:v>
      </x:c>
      <x:c r="F283" s="89" t="n">
        <x:v>865.7080000000001</x:v>
      </x:c>
      <x:c r="G283" s="89" t="n">
        <x:f>IF(OR(E283="",F283=""),"",F283-E283)</x:f>
        <x:v>48.00800000000004</x:v>
      </x:c>
      <x:c r="H283" s="89" t="n">
        <x:v>25</x:v>
      </x:c>
      <x:c r="I283" s="89" t="n">
        <x:v>75</x:v>
      </x:c>
      <x:c r="J283" s="99" t="str">
        <x:f>IF(G283="","경계 누락",IF(AND(G283&gt;=H283,G283&lt;=I283),"시간 적합","시간 확인 필요"))</x:f>
        <x:v>시간 적합</x:v>
      </x:c>
      <x:c r="K283" s="88" t="str">
        <x:v>30초 유지+이동</x:v>
      </x:c>
      <x:c r="L283" s="88" t="str">
        <x:v>$2 최종 선택</x:v>
      </x:c>
    </x:row>
    <x:row r="284">
      <x:c r="A284" s="88" t="n">
        <x:v>28</x:v>
      </x:c>
      <x:c r="B284" s="88" t="str">
        <x:v>S28_KDH</x:v>
      </x:c>
      <x:c r="C284" s="88" t="n">
        <x:v>7</x:v>
      </x:c>
      <x:c r="D284" s="88" t="str">
        <x:v>4번 낙상-천천히</x:v>
      </x:c>
      <x:c r="E284" s="89" t="n">
        <x:v>881.24</x:v>
      </x:c>
      <x:c r="F284" s="89" t="n">
        <x:v>928.0600000000001</x:v>
      </x:c>
      <x:c r="G284" s="89" t="n">
        <x:f>IF(OR(E284="",F284=""),"",F284-E284)</x:f>
        <x:v>46.82000000000005</x:v>
      </x:c>
      <x:c r="H284" s="89" t="n">
        <x:v>25</x:v>
      </x:c>
      <x:c r="I284" s="89" t="n">
        <x:v>90</x:v>
      </x:c>
      <x:c r="J284" s="99" t="str">
        <x:f>IF(G284="","경계 누락",IF(AND(G284&gt;=H284,G284&lt;=I284),"시간 적합","시간 확인 필요"))</x:f>
        <x:v>시간 적합</x:v>
      </x:c>
      <x:c r="K284" s="88" t="str">
        <x:v>천천히 눕기+30초 유지</x:v>
      </x:c>
      <x:c r="L284" s="88" t="str">
        <x:v>$2 최종 선택</x:v>
      </x:c>
    </x:row>
    <x:row r="285">
      <x:c r="A285" s="88" t="n">
        <x:v>28</x:v>
      </x:c>
      <x:c r="B285" s="88" t="str">
        <x:v>S28_KDH</x:v>
      </x:c>
      <x:c r="C285" s="88" t="n">
        <x:v>8</x:v>
      </x:c>
      <x:c r="D285" s="88" t="str">
        <x:v>4번 물건 집기</x:v>
      </x:c>
      <x:c r="E285" s="89" t="n">
        <x:v>946.028</x:v>
      </x:c>
      <x:c r="F285" s="89" t="n">
        <x:v>957.956</x:v>
      </x:c>
      <x:c r="G285" s="89" t="n">
        <x:f>IF(OR(E285="",F285=""),"",F285-E285)</x:f>
        <x:v>11.927999999999997</x:v>
      </x:c>
      <x:c r="H285" s="89" t="n">
        <x:v>5</x:v>
      </x:c>
      <x:c r="I285" s="89" t="n">
        <x:v>40</x:v>
      </x:c>
      <x:c r="J285" s="99" t="str">
        <x:f>IF(G285="","경계 누락",IF(AND(G285&gt;=H285,G285&lt;=I285),"시간 적합","시간 확인 필요"))</x:f>
        <x:v>시간 적합</x:v>
      </x:c>
      <x:c r="K285" s="88" t="str">
        <x:v>S04부터 추가된 것으로 판단</x:v>
      </x:c>
      <x:c r="L285" s="88" t="str">
        <x:v>$2 최종 선택</x:v>
      </x:c>
    </x:row>
    <x:row r="286">
      <x:c r="A286" s="88" t="n">
        <x:v>28</x:v>
      </x:c>
      <x:c r="B286" s="88" t="str">
        <x:v>S28_KDH</x:v>
      </x:c>
      <x:c r="C286" s="88" t="n">
        <x:v>9</x:v>
      </x:c>
      <x:c r="D286" s="88" t="str">
        <x:v>5번 코스</x:v>
      </x:c>
      <x:c r="E286" s="89" t="n">
        <x:v>1002.46</x:v>
      </x:c>
      <x:c r="F286" s="89" t="n">
        <x:v>1191.396</x:v>
      </x:c>
      <x:c r="G286" s="89" t="n">
        <x:f>IF(OR(E286="",F286=""),"",F286-E286)</x:f>
        <x:v>188.93599999999992</x:v>
      </x:c>
      <x:c r="H286" s="89" t="n">
        <x:v>130</x:v>
      </x:c>
      <x:c r="I286" s="89" t="n">
        <x:v>230</x:v>
      </x:c>
      <x:c r="J286" s="99" t="str">
        <x:f>IF(G286="","경계 누락",IF(AND(G286&gt;=H286,G286&lt;=I286),"시간 적합","시간 확인 필요"))</x:f>
        <x:v>시간 적합</x:v>
      </x:c>
      <x:c r="K286" s="88" t="str">
        <x:v>16칸×10초=약 160초+이동</x:v>
      </x:c>
      <x:c r="L286" s="88" t="str">
        <x:v>$2 최종 선택</x:v>
      </x:c>
    </x:row>
    <x:row r="287">
      <x:c r="A287" s="88" t="n">
        <x:v>28</x:v>
      </x:c>
      <x:c r="B287" s="88" t="str">
        <x:v>S28_KDH</x:v>
      </x:c>
      <x:c r="C287" s="88" t="n">
        <x:v>10</x:v>
      </x:c>
      <x:c r="D287" s="88" t="str">
        <x:v>6번 왕복</x:v>
      </x:c>
      <x:c r="E287" s="89" t="n">
        <x:v>1214.4840000000002</x:v>
      </x:c>
      <x:c r="F287" s="89" t="n">
        <x:v>1239.976</x:v>
      </x:c>
      <x:c r="G287" s="89" t="n">
        <x:f>IF(OR(E287="",F287=""),"",F287-E287)</x:f>
        <x:v>25.491999999999962</x:v>
      </x:c>
      <x:c r="H287" s="89" t="n">
        <x:v>5</x:v>
      </x:c>
      <x:c r="I287" s="89" t="n">
        <x:v>70</x:v>
      </x:c>
      <x:c r="J287" s="99" t="str">
        <x:f>IF(G287="","경계 누락",IF(AND(G287&gt;=H287,G287&lt;=I287),"시간 적합","시간 확인 필요"))</x:f>
        <x:v>시간 적합</x:v>
      </x:c>
      <x:c r="K287" s="88" t="str">
        <x:v>PPT 1분 미만</x:v>
      </x:c>
      <x:c r="L287" s="88" t="str">
        <x:v>$2 최종 선택</x:v>
      </x:c>
    </x:row>
    <x:row r="288">
      <x:c r="A288" s="88" t="n">
        <x:v>28</x:v>
      </x:c>
      <x:c r="B288" s="88" t="str">
        <x:v>S28_KDH</x:v>
      </x:c>
      <x:c r="C288" s="88" t="n">
        <x:v>11</x:v>
      </x:c>
      <x:c r="D288" s="88" t="str">
        <x:v>7번 자유</x:v>
      </x:c>
      <x:c r="E288" s="89" t="n">
        <x:v>1265.272</x:v>
      </x:c>
      <x:c r="F288" s="89" t="n">
        <x:v>1278.26</x:v>
      </x:c>
      <x:c r="G288" s="89" t="n">
        <x:f>IF(OR(E288="",F288=""),"",F288-E288)</x:f>
        <x:v>12.988000000000056</x:v>
      </x:c>
      <x:c r="H288" s="89" t="n">
        <x:v>5</x:v>
      </x:c>
      <x:c r="I288" s="89" t="n">
        <x:v>70</x:v>
      </x:c>
      <x:c r="J288" s="99" t="str">
        <x:f>IF(G288="","경계 누락",IF(AND(G288&gt;=H288,G288&lt;=I288),"시간 적합","시간 확인 필요"))</x:f>
        <x:v>시간 적합</x:v>
      </x:c>
      <x:c r="K288" s="88" t="str">
        <x:v>PPT 1분 미만</x:v>
      </x:c>
      <x:c r="L288" s="88" t="str">
        <x:v>$2 최종 선택</x:v>
      </x:c>
    </x:row>
    <x:row r="289">
      <x:c r="A289" s="88" t="n">
        <x:v>29</x:v>
      </x:c>
      <x:c r="B289" s="88" t="str">
        <x:v>S29_LHS</x:v>
      </x:c>
      <x:c r="C289" s="88" t="n">
        <x:v>1</x:v>
      </x:c>
      <x:c r="D289" s="88" t="str">
        <x:v>1번 호흡</x:v>
      </x:c>
      <x:c r="E289" s="89" t="n">
        <x:v>17.784</x:v>
      </x:c>
      <x:c r="F289" s="89" t="n">
        <x:v>209.824</x:v>
      </x:c>
      <x:c r="G289" s="89" t="n">
        <x:f>IF(OR(E289="",F289=""),"",F289-E289)</x:f>
        <x:v>192.04000000000002</x:v>
      </x:c>
      <x:c r="H289" s="89" t="n">
        <x:v>150</x:v>
      </x:c>
      <x:c r="I289" s="89" t="n">
        <x:v>240</x:v>
      </x:c>
      <x:c r="J289" s="99" t="str">
        <x:f>IF(G289="","경계 누락",IF(AND(G289&gt;=H289,G289&lt;=I289),"시간 적합","시간 확인 필요"))</x:f>
        <x:v>시간 적합</x:v>
      </x:c>
      <x:c r="K289" s="88" t="str">
        <x:v>PPT 3분</x:v>
      </x:c>
      <x:c r="L289" s="88" t="str">
        <x:v>$2 최종 선택</x:v>
      </x:c>
    </x:row>
    <x:row r="290">
      <x:c r="A290" s="88" t="n">
        <x:v>29</x:v>
      </x:c>
      <x:c r="B290" s="88" t="str">
        <x:v>S29_LHS</x:v>
      </x:c>
      <x:c r="C290" s="88" t="n">
        <x:v>2</x:v>
      </x:c>
      <x:c r="D290" s="88" t="str">
        <x:v>2번 호흡</x:v>
      </x:c>
      <x:c r="E290" s="89" t="n">
        <x:v>232.384</x:v>
      </x:c>
      <x:c r="F290" s="89" t="n">
        <x:v>606.668</x:v>
      </x:c>
      <x:c r="G290" s="89" t="n">
        <x:f>IF(OR(E290="",F290=""),"",F290-E290)</x:f>
        <x:v>374.284</x:v>
      </x:c>
      <x:c r="H290" s="89" t="n">
        <x:v>240</x:v>
      </x:c>
      <x:c r="I290" s="89" t="n">
        <x:v>450</x:v>
      </x:c>
      <x:c r="J290" s="99" t="str">
        <x:f>IF(G290="","경계 누락",IF(AND(G290&gt;=H290,G290&lt;=I290),"시간 적합","시간 확인 필요"))</x:f>
        <x:v>시간 적합</x:v>
      </x:c>
      <x:c r="K290" s="88" t="str">
        <x:v>PPT 표기 4분30초 / 세부 합계 약 6분</x:v>
      </x:c>
      <x:c r="L290" s="88" t="str">
        <x:v>$2 최종 선택</x:v>
      </x:c>
    </x:row>
    <x:row r="291">
      <x:c r="A291" s="88" t="n">
        <x:v>29</x:v>
      </x:c>
      <x:c r="B291" s="88" t="str">
        <x:v>S29_LHS</x:v>
      </x:c>
      <x:c r="C291" s="88" t="n">
        <x:v>3</x:v>
      </x:c>
      <x:c r="D291" s="88" t="str">
        <x:v>3번 픽업-1</x:v>
      </x:c>
      <x:c r="E291" s="89" t="n">
        <x:v>652.486</x:v>
      </x:c>
      <x:c r="F291" s="89" t="n">
        <x:v>666.664</x:v>
      </x:c>
      <x:c r="G291" s="89" t="n">
        <x:f>IF(OR(E291="",F291=""),"",F291-E291)</x:f>
        <x:v>14.177999999999997</x:v>
      </x:c>
      <x:c r="H291" s="89" t="n">
        <x:v>5</x:v>
      </x:c>
      <x:c r="I291" s="89" t="n">
        <x:v>90</x:v>
      </x:c>
      <x:c r="J291" s="99" t="str">
        <x:f>IF(G291="","경계 누락",IF(AND(G291&gt;=H291,G291&lt;=I291),"시간 적합","시간 확인 필요"))</x:f>
        <x:v>시간 적합</x:v>
      </x:c>
      <x:c r="K291" s="88" t="str">
        <x:v>총시간 미기재</x:v>
      </x:c>
      <x:c r="L291" s="88" t="str">
        <x:v>$2 최종 선택</x:v>
      </x:c>
    </x:row>
    <x:row r="292">
      <x:c r="A292" s="88" t="n">
        <x:v>29</x:v>
      </x:c>
      <x:c r="B292" s="88" t="str">
        <x:v>S29_LHS</x:v>
      </x:c>
      <x:c r="C292" s="88" t="n">
        <x:v>4</x:v>
      </x:c>
      <x:c r="D292" s="88" t="str">
        <x:v>3번 픽업-2</x:v>
      </x:c>
      <x:c r="E292" s="89" t="n">
        <x:v>682.42</x:v>
      </x:c>
      <x:c r="F292" s="89" t="n">
        <x:v>695.828</x:v>
      </x:c>
      <x:c r="G292" s="89" t="n">
        <x:f>IF(OR(E292="",F292=""),"",F292-E292)</x:f>
        <x:v>13.408000000000015</x:v>
      </x:c>
      <x:c r="H292" s="89" t="n">
        <x:v>5</x:v>
      </x:c>
      <x:c r="I292" s="89" t="n">
        <x:v>90</x:v>
      </x:c>
      <x:c r="J292" s="99" t="str">
        <x:f>IF(G292="","경계 누락",IF(AND(G292&gt;=H292,G292&lt;=I292),"시간 적합","시간 확인 필요"))</x:f>
        <x:v>시간 적합</x:v>
      </x:c>
      <x:c r="K292" s="88" t="str">
        <x:v>총시간 미기재</x:v>
      </x:c>
      <x:c r="L292" s="88" t="str">
        <x:v>$2 최종 선택</x:v>
      </x:c>
    </x:row>
    <x:row r="293">
      <x:c r="A293" s="88" t="n">
        <x:v>29</x:v>
      </x:c>
      <x:c r="B293" s="88" t="str">
        <x:v>S29_LHS</x:v>
      </x:c>
      <x:c r="C293" s="88" t="n">
        <x:v>5</x:v>
      </x:c>
      <x:c r="D293" s="88" t="str">
        <x:v>4번 낙상-즉시</x:v>
      </x:c>
      <x:c r="E293" s="89" t="n">
        <x:v>764.14</x:v>
      </x:c>
      <x:c r="F293" s="89" t="n">
        <x:v>781.232</x:v>
      </x:c>
      <x:c r="G293" s="89" t="n">
        <x:f>IF(OR(E293="",F293=""),"",F293-E293)</x:f>
        <x:v>17.091999999999985</x:v>
      </x:c>
      <x:c r="H293" s="89" t="n">
        <x:v>5</x:v>
      </x:c>
      <x:c r="I293" s="89" t="n">
        <x:v>30</x:v>
      </x:c>
      <x:c r="J293" s="99" t="str">
        <x:f>IF(G293="","경계 누락",IF(AND(G293&gt;=H293,G293&lt;=I293),"시간 적합","시간 확인 필요"))</x:f>
        <x:v>시간 적합</x:v>
      </x:c>
      <x:c r="K293" s="88" t="str">
        <x:v>즥시 일어나기</x:v>
      </x:c>
      <x:c r="L293" s="88" t="str">
        <x:v>$2 최종 선택</x:v>
      </x:c>
    </x:row>
    <x:row r="294">
      <x:c r="A294" s="88" t="n">
        <x:v>29</x:v>
      </x:c>
      <x:c r="B294" s="88" t="str">
        <x:v>S29_LHS</x:v>
      </x:c>
      <x:c r="C294" s="88" t="n">
        <x:v>6</x:v>
      </x:c>
      <x:c r="D294" s="88" t="str">
        <x:v>4번 낙상-30초 유지</x:v>
      </x:c>
      <x:c r="E294" s="89" t="n">
        <x:v>790.8</x:v>
      </x:c>
      <x:c r="F294" s="89" t="n">
        <x:v>837.34</x:v>
      </x:c>
      <x:c r="G294" s="89" t="n">
        <x:f>IF(OR(E294="",F294=""),"",F294-E294)</x:f>
        <x:v>46.54000000000008</x:v>
      </x:c>
      <x:c r="H294" s="89" t="n">
        <x:v>25</x:v>
      </x:c>
      <x:c r="I294" s="89" t="n">
        <x:v>75</x:v>
      </x:c>
      <x:c r="J294" s="99" t="str">
        <x:f>IF(G294="","경계 누락",IF(AND(G294&gt;=H294,G294&lt;=I294),"시간 적합","시간 확인 필요"))</x:f>
        <x:v>시간 적합</x:v>
      </x:c>
      <x:c r="K294" s="88" t="str">
        <x:v>30초 유지+이동</x:v>
      </x:c>
      <x:c r="L294" s="88" t="str">
        <x:v>$2 최종 선택</x:v>
      </x:c>
    </x:row>
    <x:row r="295">
      <x:c r="A295" s="88" t="n">
        <x:v>29</x:v>
      </x:c>
      <x:c r="B295" s="88" t="str">
        <x:v>S29_LHS</x:v>
      </x:c>
      <x:c r="C295" s="88" t="n">
        <x:v>7</x:v>
      </x:c>
      <x:c r="D295" s="88" t="str">
        <x:v>4번 낙상-천천히</x:v>
      </x:c>
      <x:c r="E295" s="89" t="n">
        <x:v>848.692</x:v>
      </x:c>
      <x:c r="F295" s="89" t="n">
        <x:v>896.944</x:v>
      </x:c>
      <x:c r="G295" s="89" t="n">
        <x:f>IF(OR(E295="",F295=""),"",F295-E295)</x:f>
        <x:v>48.25199999999995</x:v>
      </x:c>
      <x:c r="H295" s="89" t="n">
        <x:v>25</x:v>
      </x:c>
      <x:c r="I295" s="89" t="n">
        <x:v>90</x:v>
      </x:c>
      <x:c r="J295" s="99" t="str">
        <x:f>IF(G295="","경계 누락",IF(AND(G295&gt;=H295,G295&lt;=I295),"시간 적합","시간 확인 필요"))</x:f>
        <x:v>시간 적합</x:v>
      </x:c>
      <x:c r="K295" s="88" t="str">
        <x:v>천천히 눕기+30초 유지</x:v>
      </x:c>
      <x:c r="L295" s="88" t="str">
        <x:v>$2 최종 선택</x:v>
      </x:c>
    </x:row>
    <x:row r="296">
      <x:c r="A296" s="88" t="n">
        <x:v>29</x:v>
      </x:c>
      <x:c r="B296" s="88" t="str">
        <x:v>S29_LHS</x:v>
      </x:c>
      <x:c r="C296" s="88" t="n">
        <x:v>8</x:v>
      </x:c>
      <x:c r="D296" s="88" t="str">
        <x:v>4번 물건 집기</x:v>
      </x:c>
      <x:c r="E296" s="89" t="n">
        <x:v>914.5</x:v>
      </x:c>
      <x:c r="F296" s="89" t="n">
        <x:v>927.224</x:v>
      </x:c>
      <x:c r="G296" s="89" t="n">
        <x:f>IF(OR(E296="",F296=""),"",F296-E296)</x:f>
        <x:v>12.724000000000046</x:v>
      </x:c>
      <x:c r="H296" s="89" t="n">
        <x:v>5</x:v>
      </x:c>
      <x:c r="I296" s="89" t="n">
        <x:v>40</x:v>
      </x:c>
      <x:c r="J296" s="99" t="str">
        <x:f>IF(G296="","경계 누락",IF(AND(G296&gt;=H296,G296&lt;=I296),"시간 적합","시간 확인 필요"))</x:f>
        <x:v>시간 적합</x:v>
      </x:c>
      <x:c r="K296" s="88" t="str">
        <x:v>S04부터 추가된 것으로 판단</x:v>
      </x:c>
      <x:c r="L296" s="88" t="str">
        <x:v>$2 최종 선택</x:v>
      </x:c>
    </x:row>
    <x:row r="297">
      <x:c r="A297" s="88" t="n">
        <x:v>29</x:v>
      </x:c>
      <x:c r="B297" s="88" t="str">
        <x:v>S29_LHS</x:v>
      </x:c>
      <x:c r="C297" s="88" t="n">
        <x:v>9</x:v>
      </x:c>
      <x:c r="D297" s="88" t="str">
        <x:v>5번 코스</x:v>
      </x:c>
      <x:c r="E297" s="89" t="n">
        <x:v>972.348</x:v>
      </x:c>
      <x:c r="F297" s="89" t="n">
        <x:v>1158.54</x:v>
      </x:c>
      <x:c r="G297" s="89" t="n">
        <x:f>IF(OR(E297="",F297=""),"",F297-E297)</x:f>
        <x:v>186.192</x:v>
      </x:c>
      <x:c r="H297" s="89" t="n">
        <x:v>130</x:v>
      </x:c>
      <x:c r="I297" s="89" t="n">
        <x:v>230</x:v>
      </x:c>
      <x:c r="J297" s="99" t="str">
        <x:f>IF(G297="","경계 누락",IF(AND(G297&gt;=H297,G297&lt;=I297),"시간 적합","시간 확인 필요"))</x:f>
        <x:v>시간 적합</x:v>
      </x:c>
      <x:c r="K297" s="88" t="str">
        <x:v>16칸×10초=약 160초+이동</x:v>
      </x:c>
      <x:c r="L297" s="88" t="str">
        <x:v>$2 최종 선택</x:v>
      </x:c>
    </x:row>
    <x:row r="298">
      <x:c r="A298" s="88" t="n">
        <x:v>29</x:v>
      </x:c>
      <x:c r="B298" s="88" t="str">
        <x:v>S29_LHS</x:v>
      </x:c>
      <x:c r="C298" s="88" t="n">
        <x:v>10</x:v>
      </x:c>
      <x:c r="D298" s="88" t="str">
        <x:v>6번 왕복</x:v>
      </x:c>
      <x:c r="E298" s="89" t="n">
        <x:v>1186.98</x:v>
      </x:c>
      <x:c r="F298" s="89" t="n">
        <x:v>1210.275</x:v>
      </x:c>
      <x:c r="G298" s="89" t="n">
        <x:f>IF(OR(E298="",F298=""),"",F298-E298)</x:f>
        <x:v>23.295000000000073</x:v>
      </x:c>
      <x:c r="H298" s="89" t="n">
        <x:v>5</x:v>
      </x:c>
      <x:c r="I298" s="89" t="n">
        <x:v>70</x:v>
      </x:c>
      <x:c r="J298" s="99" t="str">
        <x:f>IF(G298="","경계 누락",IF(AND(G298&gt;=H298,G298&lt;=I298),"시간 적합","시간 확인 필요"))</x:f>
        <x:v>시간 적합</x:v>
      </x:c>
      <x:c r="K298" s="88" t="str">
        <x:v>PPT 1분 미만</x:v>
      </x:c>
      <x:c r="L298" s="88" t="str">
        <x:v>$2 최종 선택</x:v>
      </x:c>
    </x:row>
    <x:row r="299">
      <x:c r="A299" s="88" t="n">
        <x:v>29</x:v>
      </x:c>
      <x:c r="B299" s="88" t="str">
        <x:v>S29_LHS</x:v>
      </x:c>
      <x:c r="C299" s="88" t="n">
        <x:v>11</x:v>
      </x:c>
      <x:c r="D299" s="88" t="str">
        <x:v>7번 자유</x:v>
      </x:c>
      <x:c r="E299" s="89" t="n">
        <x:v>1236.928</x:v>
      </x:c>
      <x:c r="F299" s="89" t="n">
        <x:v>1251.62</x:v>
      </x:c>
      <x:c r="G299" s="89" t="n">
        <x:f>IF(OR(E299="",F299=""),"",F299-E299)</x:f>
        <x:v>14.69199999999978</x:v>
      </x:c>
      <x:c r="H299" s="89" t="n">
        <x:v>5</x:v>
      </x:c>
      <x:c r="I299" s="89" t="n">
        <x:v>70</x:v>
      </x:c>
      <x:c r="J299" s="99" t="str">
        <x:f>IF(G299="","경계 누락",IF(AND(G299&gt;=H299,G299&lt;=I299),"시간 적합","시간 확인 필요"))</x:f>
        <x:v>시간 적합</x:v>
      </x:c>
      <x:c r="K299" s="88" t="str">
        <x:v>PPT 1분 미만</x:v>
      </x:c>
      <x:c r="L299" s="88" t="str">
        <x:v>$2 최종 선택</x:v>
      </x:c>
    </x:row>
    <x:row r="300">
      <x:c r="A300" s="88" t="n">
        <x:v>30</x:v>
      </x:c>
      <x:c r="B300" s="88" t="str">
        <x:v>S30_SJE</x:v>
      </x:c>
      <x:c r="C300" s="88" t="n">
        <x:v>1</x:v>
      </x:c>
      <x:c r="D300" s="88" t="str">
        <x:v>1번 호흡</x:v>
      </x:c>
      <x:c r="E300" s="89" t="n">
        <x:v>6.45</x:v>
      </x:c>
      <x:c r="F300" s="89" t="n">
        <x:v>192.15</x:v>
      </x:c>
      <x:c r="G300" s="89" t="n">
        <x:f>IF(OR(E300="",F300=""),"",F300-E300)</x:f>
        <x:v>185.70000000000002</x:v>
      </x:c>
      <x:c r="H300" s="89" t="n">
        <x:v>150</x:v>
      </x:c>
      <x:c r="I300" s="89" t="n">
        <x:v>240</x:v>
      </x:c>
      <x:c r="J300" s="99" t="str">
        <x:f>IF(G300="","경계 누락",IF(AND(G300&gt;=H300,G300&lt;=I300),"시간 적합","시간 확인 필요"))</x:f>
        <x:v>시간 적합</x:v>
      </x:c>
      <x:c r="K300" s="88" t="str">
        <x:v>PPT 3분</x:v>
      </x:c>
      <x:c r="L300" s="88" t="str">
        <x:v>$2 최종 선택</x:v>
      </x:c>
    </x:row>
    <x:row r="301">
      <x:c r="A301" s="88" t="n">
        <x:v>30</x:v>
      </x:c>
      <x:c r="B301" s="88" t="str">
        <x:v>S30_SJE</x:v>
      </x:c>
      <x:c r="C301" s="88" t="n">
        <x:v>2</x:v>
      </x:c>
      <x:c r="D301" s="88" t="str">
        <x:v>2번 호흡</x:v>
      </x:c>
      <x:c r="E301" s="89" t="n">
        <x:v>237.275</x:v>
      </x:c>
      <x:c r="F301" s="89" t="n">
        <x:v>620.125</x:v>
      </x:c>
      <x:c r="G301" s="89" t="n">
        <x:f>IF(OR(E301="",F301=""),"",F301-E301)</x:f>
        <x:v>382.85</x:v>
      </x:c>
      <x:c r="H301" s="89" t="n">
        <x:v>240</x:v>
      </x:c>
      <x:c r="I301" s="89" t="n">
        <x:v>450</x:v>
      </x:c>
      <x:c r="J301" s="99" t="str">
        <x:f>IF(G301="","경계 누락",IF(AND(G301&gt;=H301,G301&lt;=I301),"시간 적합","시간 확인 필요"))</x:f>
        <x:v>시간 적합</x:v>
      </x:c>
      <x:c r="K301" s="88" t="str">
        <x:v>PPT 표기 4분30초 / 세부 합계 약 6분</x:v>
      </x:c>
      <x:c r="L301" s="88" t="str">
        <x:v>$2 최종 선택</x:v>
      </x:c>
    </x:row>
    <x:row r="302">
      <x:c r="A302" s="88" t="n">
        <x:v>30</x:v>
      </x:c>
      <x:c r="B302" s="88" t="str">
        <x:v>S30_SJE</x:v>
      </x:c>
      <x:c r="C302" s="88" t="n">
        <x:v>3</x:v>
      </x:c>
      <x:c r="D302" s="88" t="str">
        <x:v>3번 픽업-1</x:v>
      </x:c>
      <x:c r="E302" s="89" t="n">
        <x:v>661.775</x:v>
      </x:c>
      <x:c r="F302" s="89" t="n">
        <x:v>676.4</x:v>
      </x:c>
      <x:c r="G302" s="89" t="n">
        <x:f>IF(OR(E302="",F302=""),"",F302-E302)</x:f>
        <x:v>14.625</x:v>
      </x:c>
      <x:c r="H302" s="89" t="n">
        <x:v>5</x:v>
      </x:c>
      <x:c r="I302" s="89" t="n">
        <x:v>90</x:v>
      </x:c>
      <x:c r="J302" s="99" t="str">
        <x:f>IF(G302="","경계 누락",IF(AND(G302&gt;=H302,G302&lt;=I302),"시간 적합","시간 확인 필요"))</x:f>
        <x:v>시간 적합</x:v>
      </x:c>
      <x:c r="K302" s="88" t="str">
        <x:v>총시간 미기재</x:v>
      </x:c>
      <x:c r="L302" s="88" t="str">
        <x:v>$2 최종 선택</x:v>
      </x:c>
    </x:row>
    <x:row r="303">
      <x:c r="A303" s="88" t="n">
        <x:v>30</x:v>
      </x:c>
      <x:c r="B303" s="88" t="str">
        <x:v>S30_SJE</x:v>
      </x:c>
      <x:c r="C303" s="88" t="n">
        <x:v>4</x:v>
      </x:c>
      <x:c r="D303" s="88" t="str">
        <x:v>3번 픽업-2</x:v>
      </x:c>
      <x:c r="E303" s="89" t="n">
        <x:v>730.025</x:v>
      </x:c>
      <x:c r="F303" s="89" t="n">
        <x:v>741.25</x:v>
      </x:c>
      <x:c r="G303" s="89" t="n">
        <x:f>IF(OR(E303="",F303=""),"",F303-E303)</x:f>
        <x:v>11.225000000000023</x:v>
      </x:c>
      <x:c r="H303" s="89" t="n">
        <x:v>5</x:v>
      </x:c>
      <x:c r="I303" s="89" t="n">
        <x:v>90</x:v>
      </x:c>
      <x:c r="J303" s="99" t="str">
        <x:f>IF(G303="","경계 누락",IF(AND(G303&gt;=H303,G303&lt;=I303),"시간 적합","시간 확인 필요"))</x:f>
        <x:v>시간 적합</x:v>
      </x:c>
      <x:c r="K303" s="88" t="str">
        <x:v>총시간 미기재</x:v>
      </x:c>
      <x:c r="L303" s="88" t="str">
        <x:v>$2 최종 선택</x:v>
      </x:c>
    </x:row>
    <x:row r="304">
      <x:c r="A304" s="88" t="n">
        <x:v>30</x:v>
      </x:c>
      <x:c r="B304" s="88" t="str">
        <x:v>S30_SJE</x:v>
      </x:c>
      <x:c r="C304" s="88" t="n">
        <x:v>5</x:v>
      </x:c>
      <x:c r="D304" s="88" t="str">
        <x:v>4번 낙상-즉시</x:v>
      </x:c>
      <x:c r="E304" s="89" t="n">
        <x:v>755.025</x:v>
      </x:c>
      <x:c r="F304" s="89" t="n">
        <x:v>791.15</x:v>
      </x:c>
      <x:c r="G304" s="89" t="n">
        <x:f>IF(OR(E304="",F304=""),"",F304-E304)</x:f>
        <x:v>36.125</x:v>
      </x:c>
      <x:c r="H304" s="89" t="n">
        <x:v>5</x:v>
      </x:c>
      <x:c r="I304" s="89" t="n">
        <x:v>30</x:v>
      </x:c>
      <x:c r="J304" s="98" t="str">
        <x:f>IF(G304="","경계 누락",IF(AND(G304&gt;=H304,G304&lt;=I304),"시간 적합","시간 확인 필요"))</x:f>
        <x:v>시간 확인 필요</x:v>
      </x:c>
      <x:c r="K304" s="88" t="str">
        <x:v>즥시 일어나기</x:v>
      </x:c>
      <x:c r="L304" s="88" t="str">
        <x:v>$2 최종 선택</x:v>
      </x:c>
    </x:row>
    <x:row r="305">
      <x:c r="A305" s="88" t="n">
        <x:v>30</x:v>
      </x:c>
      <x:c r="B305" s="88" t="str">
        <x:v>S30_SJE</x:v>
      </x:c>
      <x:c r="C305" s="88" t="n">
        <x:v>6</x:v>
      </x:c>
      <x:c r="D305" s="88" t="str">
        <x:v>4번 낙상-30초 유지</x:v>
      </x:c>
      <x:c r="E305" s="89" t="n">
        <x:v>800.675</x:v>
      </x:c>
      <x:c r="F305" s="89" t="n">
        <x:v>844.1</x:v>
      </x:c>
      <x:c r="G305" s="89" t="n">
        <x:f>IF(OR(E305="",F305=""),"",F305-E305)</x:f>
        <x:v>43.42500000000007</x:v>
      </x:c>
      <x:c r="H305" s="89" t="n">
        <x:v>25</x:v>
      </x:c>
      <x:c r="I305" s="89" t="n">
        <x:v>75</x:v>
      </x:c>
      <x:c r="J305" s="99" t="str">
        <x:f>IF(G305="","경계 누락",IF(AND(G305&gt;=H305,G305&lt;=I305),"시간 적합","시간 확인 필요"))</x:f>
        <x:v>시간 적합</x:v>
      </x:c>
      <x:c r="K305" s="88" t="str">
        <x:v>30초 유지+이동</x:v>
      </x:c>
      <x:c r="L305" s="88" t="str">
        <x:v>$2 최종 선택</x:v>
      </x:c>
    </x:row>
    <x:row r="306">
      <x:c r="A306" s="88" t="n">
        <x:v>30</x:v>
      </x:c>
      <x:c r="B306" s="88" t="str">
        <x:v>S30_SJE</x:v>
      </x:c>
      <x:c r="C306" s="88" t="n">
        <x:v>7</x:v>
      </x:c>
      <x:c r="D306" s="88" t="str">
        <x:v>4번 낙상-천천히</x:v>
      </x:c>
      <x:c r="E306" s="89" t="n">
        <x:v>853.65</x:v>
      </x:c>
      <x:c r="F306" s="89" t="n">
        <x:v>896.7</x:v>
      </x:c>
      <x:c r="G306" s="89" t="n">
        <x:f>IF(OR(E306="",F306=""),"",F306-E306)</x:f>
        <x:v>43.05000000000007</x:v>
      </x:c>
      <x:c r="H306" s="89" t="n">
        <x:v>25</x:v>
      </x:c>
      <x:c r="I306" s="89" t="n">
        <x:v>90</x:v>
      </x:c>
      <x:c r="J306" s="99" t="str">
        <x:f>IF(G306="","경계 누락",IF(AND(G306&gt;=H306,G306&lt;=I306),"시간 적합","시간 확인 필요"))</x:f>
        <x:v>시간 적합</x:v>
      </x:c>
      <x:c r="K306" s="88" t="str">
        <x:v>천천히 눕기+30초 유지</x:v>
      </x:c>
      <x:c r="L306" s="88" t="str">
        <x:v>$2 최종 선택</x:v>
      </x:c>
    </x:row>
    <x:row r="307">
      <x:c r="A307" s="88" t="n">
        <x:v>30</x:v>
      </x:c>
      <x:c r="B307" s="88" t="str">
        <x:v>S30_SJE</x:v>
      </x:c>
      <x:c r="C307" s="88" t="n">
        <x:v>8</x:v>
      </x:c>
      <x:c r="D307" s="88" t="str">
        <x:v>4번 물건 집기</x:v>
      </x:c>
      <x:c r="E307" s="89" t="n">
        <x:v>911.825</x:v>
      </x:c>
      <x:c r="F307" s="89" t="n">
        <x:v>968.925</x:v>
      </x:c>
      <x:c r="G307" s="89" t="n">
        <x:f>IF(OR(E307="",F307=""),"",F307-E307)</x:f>
        <x:v>57.09999999999991</x:v>
      </x:c>
      <x:c r="H307" s="89" t="n">
        <x:v>5</x:v>
      </x:c>
      <x:c r="I307" s="89" t="n">
        <x:v>40</x:v>
      </x:c>
      <x:c r="J307" s="98" t="str">
        <x:f>IF(G307="","경계 누락",IF(AND(G307&gt;=H307,G307&lt;=I307),"시간 적합","시간 확인 필요"))</x:f>
        <x:v>시간 확인 필요</x:v>
      </x:c>
      <x:c r="K307" s="88" t="str">
        <x:v>S04부터 추가된 것으로 판단</x:v>
      </x:c>
      <x:c r="L307" s="88" t="str">
        <x:v>$2 최종 선택</x:v>
      </x:c>
    </x:row>
    <x:row r="308">
      <x:c r="A308" s="88" t="n">
        <x:v>30</x:v>
      </x:c>
      <x:c r="B308" s="88" t="str">
        <x:v>S30_SJE</x:v>
      </x:c>
      <x:c r="C308" s="88" t="n">
        <x:v>9</x:v>
      </x:c>
      <x:c r="D308" s="88" t="str">
        <x:v>5번 코스</x:v>
      </x:c>
      <x:c r="E308" s="89" t="n">
        <x:v>974.375</x:v>
      </x:c>
      <x:c r="F308" s="89" t="n">
        <x:v>1158.775</x:v>
      </x:c>
      <x:c r="G308" s="89" t="n">
        <x:f>IF(OR(E308="",F308=""),"",F308-E308)</x:f>
        <x:v>184.4000000000001</x:v>
      </x:c>
      <x:c r="H308" s="89" t="n">
        <x:v>130</x:v>
      </x:c>
      <x:c r="I308" s="89" t="n">
        <x:v>230</x:v>
      </x:c>
      <x:c r="J308" s="99" t="str">
        <x:f>IF(G308="","경계 누락",IF(AND(G308&gt;=H308,G308&lt;=I308),"시간 적합","시간 확인 필요"))</x:f>
        <x:v>시간 적합</x:v>
      </x:c>
      <x:c r="K308" s="88" t="str">
        <x:v>16칸×10초=약 160초+이동</x:v>
      </x:c>
      <x:c r="L308" s="88" t="str">
        <x:v>$2 최종 선택</x:v>
      </x:c>
    </x:row>
    <x:row r="309">
      <x:c r="A309" s="88" t="n">
        <x:v>30</x:v>
      </x:c>
      <x:c r="B309" s="88" t="str">
        <x:v>S30_SJE</x:v>
      </x:c>
      <x:c r="C309" s="88" t="n">
        <x:v>10</x:v>
      </x:c>
      <x:c r="D309" s="88" t="str">
        <x:v>6번 왕복</x:v>
      </x:c>
      <x:c r="E309" s="89" t="n">
        <x:v>1175.375</x:v>
      </x:c>
      <x:c r="F309" s="89" t="n">
        <x:v>1219.625</x:v>
      </x:c>
      <x:c r="G309" s="89" t="n">
        <x:f>IF(OR(E309="",F309=""),"",F309-E309)</x:f>
        <x:v>44.25</x:v>
      </x:c>
      <x:c r="H309" s="89" t="n">
        <x:v>5</x:v>
      </x:c>
      <x:c r="I309" s="89" t="n">
        <x:v>70</x:v>
      </x:c>
      <x:c r="J309" s="99" t="str">
        <x:f>IF(G309="","경계 누락",IF(AND(G309&gt;=H309,G309&lt;=I309),"시간 적합","시간 확인 필요"))</x:f>
        <x:v>시간 적합</x:v>
      </x:c>
      <x:c r="K309" s="88" t="str">
        <x:v>PPT 1분 미만</x:v>
      </x:c>
      <x:c r="L309" s="88" t="str">
        <x:v>$2 최종 선택</x:v>
      </x:c>
    </x:row>
    <x:row r="310">
      <x:c r="A310" s="90" t="n">
        <x:v>30</x:v>
      </x:c>
      <x:c r="B310" s="90" t="str">
        <x:v>S30_SJE</x:v>
      </x:c>
      <x:c r="C310" s="90" t="n">
        <x:v>11</x:v>
      </x:c>
      <x:c r="D310" s="90" t="str">
        <x:v>7번 자유</x:v>
      </x:c>
      <x:c r="E310" s="91" t="n">
        <x:v>1243.925</x:v>
      </x:c>
      <x:c r="F310" s="91" t="n">
        <x:v>1254.325</x:v>
      </x:c>
      <x:c r="G310" s="91" t="n">
        <x:f>IF(OR(E310="",F310=""),"",F310-E310)</x:f>
        <x:v>10.400000000000091</x:v>
      </x:c>
      <x:c r="H310" s="91" t="n">
        <x:v>5</x:v>
      </x:c>
      <x:c r="I310" s="91" t="n">
        <x:v>70</x:v>
      </x:c>
      <x:c r="J310" s="286" t="str">
        <x:f>IF(G310="","경계 누락",IF(AND(G310&gt;=H310,G310&lt;=I310),"시간 적합","시간 확인 필요"))</x:f>
        <x:v>시간 적합</x:v>
      </x:c>
      <x:c r="K310" s="90" t="str">
        <x:v>PPT 1분 미만</x:v>
      </x:c>
      <x:c r="L310" s="90" t="str">
        <x:v>$2 최종 선택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12" hidden="0" customWidth="1"/>
    <x:col min="5" max="5" width="32" hidden="0" customWidth="1"/>
    <x:col min="6" max="6" width="38" hidden="0" customWidth="1"/>
  </x:cols>
  <x:sheetData>
    <x:row r="1" ht="30" customHeight="1">
      <x:c r="A1" s="49" t="str">
        <x:v>전수검사 판정 기준 및 범례</x:v>
      </x:c>
      <x:c r="B1" s="49"/>
      <x:c r="C1" s="49"/>
      <x:c r="D1" s="49"/>
      <x:c r="E1" s="49"/>
      <x:c r="F1" s="49"/>
    </x:row>
    <x:row r="2" ht="30" customHeight="1">
      <x:c r="A2" s="52" t="str">
        <x:v>원시 데이터, 후보 데이터, 최종 선택을 분리해 재현성과 수동 검토 가능성을 높이기 위한 기록</x:v>
      </x:c>
      <x:c r="B2" s="52"/>
      <x:c r="C2" s="52"/>
      <x:c r="D2" s="52"/>
      <x:c r="E2" s="52"/>
      <x:c r="F2" s="52"/>
    </x:row>
    <x:row r="4">
      <x:c r="A4" s="65" t="str">
        <x:v>구분</x:v>
      </x:c>
      <x:c r="B4" s="65" t="str">
        <x:v>값/규칙</x:v>
      </x:c>
      <x:c r="C4" s="65" t="str">
        <x:v>설명</x:v>
      </x:c>
      <x:c r="D4" s="65" t="str">
        <x:v>색상</x:v>
      </x:c>
      <x:c r="E4" s="65" t="str">
        <x:v>원본/근거</x:v>
      </x:c>
      <x:c r="F4" s="65" t="str">
        <x:v>주의</x:v>
      </x:c>
    </x:row>
    <x:row r="5">
      <x:c r="A5" s="293" t="str">
        <x:v>프로토콜</x:v>
      </x:c>
      <x:c r="B5" s="293" t="str">
        <x:v>S01~S03: 20개</x:v>
      </x:c>
      <x:c r="C5" s="293" t="str">
        <x:v>낙상 3구간</x:v>
      </x:c>
      <x:c r="D5" s="293" t="str"/>
      <x:c r="E5" s="293" t="str">
        <x:v>PPT Fall 3가지 상황</x:v>
      </x:c>
      <x:c r="F5" s="293" t="str">
        <x:v>실험 특이사항 우선</x:v>
      </x:c>
    </x:row>
    <x:row r="6">
      <x:c r="A6" s="294" t="str">
        <x:v>프로토콜</x:v>
      </x:c>
      <x:c r="B6" s="294" t="str">
        <x:v>S04~S30: 22개</x:v>
      </x:c>
      <x:c r="C6" s="294" t="str">
        <x:v>낙상 물건 집기 추가</x:v>
      </x:c>
      <x:c r="D6" s="294" t="str"/>
      <x:c r="E6" s="294" t="str">
        <x:v>Dataset_issue S04 메모</x:v>
      </x:c>
      <x:c r="F6" s="294" t="str">
        <x:v>S04부터 유지로 기록</x:v>
      </x:c>
    </x:row>
    <x:row r="7">
      <x:c r="A7" s="294" t="str">
        <x:v>원시 검출</x:v>
      </x:c>
      <x:c r="B7" s="294" t="str">
        <x:v>8.5V</x:v>
      </x:c>
      <x:c r="C7" s="294" t="str">
        <x:v>MATLAB 고정 임계값, 4초 이내 병합</x:v>
      </x:c>
      <x:c r="D7" s="294" t="str"/>
      <x:c r="E7" s="294" t="str">
        <x:v>sync_validate_batch.m</x:v>
      </x:c>
      <x:c r="F7" s="294" t="str">
        <x:v>실제 누름 횟수와 동일하지 않을 수 있음</x:v>
      </x:c>
    </x:row>
    <x:row r="8">
      <x:c r="A8" s="294" t="str">
        <x:v>후보 검출</x:v>
      </x:c>
      <x:c r="B8" s="294" t="str">
        <x:v>참가자별 임계값</x:v>
      </x:c>
      <x:c r="C8" s="294" t="str">
        <x:v>기존 $2 후보 선정에 사용한 임계값</x:v>
      </x:c>
      <x:c r="D8" s="294" t="str"/>
      <x:c r="E8" s="294" t="str">
        <x:v>normalization_records.json</x:v>
      </x:c>
      <x:c r="F8" s="294" t="str">
        <x:v>RAW 8.5V와 별도 층</x:v>
      </x:c>
    </x:row>
    <x:row r="9">
      <x:c r="A9" s="294" t="str">
        <x:v>마커 일치</x:v>
      </x:c>
      <x:c r="B9" s="294" t="str">
        <x:v>±2.0초</x:v>
      </x:c>
      <x:c r="C9" s="294" t="str">
        <x:v>현재 선택값과 후보값을 같은 이벤트로 연결</x:v>
      </x:c>
      <x:c r="D9" s="296" t="str">
        <x:v>초록</x:v>
      </x:c>
      <x:c r="E9" s="294" t="str">
        <x:v>전수검사 규칙</x:v>
      </x:c>
      <x:c r="F9" s="294" t="str">
        <x:v>정확한 파형 확인 필요</x:v>
      </x:c>
    </x:row>
    <x:row r="10">
      <x:c r="A10" s="294" t="str">
        <x:v>대체 후보</x:v>
      </x:c>
      <x:c r="B10" s="294" t="str">
        <x:v>±15초</x:v>
      </x:c>
      <x:c r="C10" s="294" t="str">
        <x:v>같은 경계에서 검토할 가까운 후보</x:v>
      </x:c>
      <x:c r="D10" s="297" t="str">
        <x:v>노랑</x:v>
      </x:c>
      <x:c r="E10" s="294" t="str">
        <x:v>전수검사 규칙</x:v>
      </x:c>
      <x:c r="F10" s="294" t="str">
        <x:v>후보2·3은 자동 확정 아님</x:v>
      </x:c>
    </x:row>
    <x:row r="11">
      <x:c r="A11" s="294" t="str">
        <x:v>시간패턴 추천</x:v>
      </x:c>
      <x:c r="B11" s="294" t="str">
        <x:v>20/22 경계 템플릿</x:v>
      </x:c>
      <x:c r="C11" s="294" t="str">
        <x:v>선택값이 없는 행에만 추천</x:v>
      </x:c>
      <x:c r="D11" s="298" t="str">
        <x:v>파랑</x:v>
      </x:c>
      <x:c r="E11" s="294" t="str">
        <x:v>완성된 참가자의 중앙 시간패턴</x:v>
      </x:c>
      <x:c r="F11" s="294" t="str">
        <x:v>반드시 MATLAB/영상으로 확인</x:v>
      </x:c>
    </x:row>
    <x:row r="12">
      <x:c r="A12" s="294" t="str">
        <x:v>미선택</x:v>
      </x:c>
      <x:c r="B12" s="294" t="str">
        <x:v>후보로만 존재</x:v>
      </x:c>
      <x:c r="C12" s="294" t="str">
        <x:v>현재 선택 또는 추천에 연결되지 않음</x:v>
      </x:c>
      <x:c r="D12" s="299" t="str">
        <x:v>회색</x:v>
      </x:c>
      <x:c r="E12" s="294" t="str">
        <x:v>후보 검출 결과</x:v>
      </x:c>
      <x:c r="F12" s="294" t="str">
        <x:v>오검출이라고 단정하지 않음</x:v>
      </x:c>
    </x:row>
    <x:row r="13">
      <x:c r="A13" s="294" t="str">
        <x:v>시간 검증</x:v>
      </x:c>
      <x:c r="B13" s="294" t="str">
        <x:v>1번 호흡</x:v>
      </x:c>
      <x:c r="C13" s="294" t="str">
        <x:v>150~240초</x:v>
      </x:c>
      <x:c r="D13" s="294" t="str"/>
      <x:c r="E13" s="294" t="str">
        <x:v>PPT 총 3분</x:v>
      </x:c>
      <x:c r="F13" s="294" t="str">
        <x:v>준비·종료 동작 포함 가능</x:v>
      </x:c>
    </x:row>
    <x:row r="14">
      <x:c r="A14" s="294" t="str">
        <x:v>시간 검증</x:v>
      </x:c>
      <x:c r="B14" s="294" t="str">
        <x:v>2번 호흡</x:v>
      </x:c>
      <x:c r="C14" s="294" t="str">
        <x:v>240~450초</x:v>
      </x:c>
      <x:c r="D14" s="294" t="str"/>
      <x:c r="E14" s="294" t="str">
        <x:v>PPT 표기 4분30초/세부 합계 약 6분</x:v>
      </x:c>
      <x:c r="F14" s="294" t="str">
        <x:v>PPT 내부 불일치</x:v>
      </x:c>
    </x:row>
    <x:row r="15">
      <x:c r="A15" s="294" t="str">
        <x:v>시간 검증</x:v>
      </x:c>
      <x:c r="B15" s="294" t="str">
        <x:v>픽업 각 코스</x:v>
      </x:c>
      <x:c r="C15" s="294" t="str">
        <x:v>5~90초</x:v>
      </x:c>
      <x:c r="D15" s="294" t="str"/>
      <x:c r="E15" s="294" t="str">
        <x:v>총시간 미기재</x:v>
      </x:c>
      <x:c r="F15" s="294" t="str">
        <x:v>느슨한 확인 범위</x:v>
      </x:c>
    </x:row>
    <x:row r="16">
      <x:c r="A16" s="294" t="str">
        <x:v>시간 검증</x:v>
      </x:c>
      <x:c r="B16" s="294" t="str">
        <x:v>낙상 즉시</x:v>
      </x:c>
      <x:c r="C16" s="294" t="str">
        <x:v>5~30초</x:v>
      </x:c>
      <x:c r="D16" s="294" t="str"/>
      <x:c r="E16" s="294" t="str">
        <x:v>즉시 일어나기</x:v>
      </x:c>
      <x:c r="F16" s="294" t="str">
        <x:v>이동 포함</x:v>
      </x:c>
    </x:row>
    <x:row r="17">
      <x:c r="A17" s="294" t="str">
        <x:v>시간 검증</x:v>
      </x:c>
      <x:c r="B17" s="294" t="str">
        <x:v>낙상 유지</x:v>
      </x:c>
      <x:c r="C17" s="294" t="str">
        <x:v>25~75초</x:v>
      </x:c>
      <x:c r="D17" s="294" t="str"/>
      <x:c r="E17" s="294" t="str">
        <x:v>30초 유지</x:v>
      </x:c>
      <x:c r="F17" s="294" t="str">
        <x:v>이동 포함</x:v>
      </x:c>
    </x:row>
    <x:row r="18">
      <x:c r="A18" s="294" t="str">
        <x:v>시간 검증</x:v>
      </x:c>
      <x:c r="B18" s="294" t="str">
        <x:v>낙상 천천히</x:v>
      </x:c>
      <x:c r="C18" s="294" t="str">
        <x:v>25~90초</x:v>
      </x:c>
      <x:c r="D18" s="294" t="str"/>
      <x:c r="E18" s="294" t="str">
        <x:v>천천히 눕기+30초</x:v>
      </x:c>
      <x:c r="F18" s="294" t="str">
        <x:v>이동 포함</x:v>
      </x:c>
    </x:row>
    <x:row r="19">
      <x:c r="A19" s="294" t="str">
        <x:v>시간 검증</x:v>
      </x:c>
      <x:c r="B19" s="294" t="str">
        <x:v>낙상 물건 집기</x:v>
      </x:c>
      <x:c r="C19" s="294" t="str">
        <x:v>5~40초</x:v>
      </x:c>
      <x:c r="D19" s="294" t="str"/>
      <x:c r="E19" s="294" t="str">
        <x:v>S04부터 추가</x:v>
      </x:c>
      <x:c r="F19" s="294" t="str">
        <x:v>총시간 미기재</x:v>
      </x:c>
    </x:row>
    <x:row r="20">
      <x:c r="A20" s="294" t="str">
        <x:v>시간 검증</x:v>
      </x:c>
      <x:c r="B20" s="294" t="str">
        <x:v>5번 코스</x:v>
      </x:c>
      <x:c r="C20" s="294" t="str">
        <x:v>130~230초</x:v>
      </x:c>
      <x:c r="D20" s="294" t="str"/>
      <x:c r="E20" s="294" t="str">
        <x:v>16칸×10초</x:v>
      </x:c>
      <x:c r="F20" s="294" t="str">
        <x:v>이동 포함</x:v>
      </x:c>
    </x:row>
    <x:row r="21">
      <x:c r="A21" s="294" t="str">
        <x:v>시간 검증</x:v>
      </x:c>
      <x:c r="B21" s="294" t="str">
        <x:v>6·7번</x:v>
      </x:c>
      <x:c r="C21" s="294" t="str">
        <x:v>5~70초</x:v>
      </x:c>
      <x:c r="D21" s="294" t="str"/>
      <x:c r="E21" s="294" t="str">
        <x:v>각 1분 미만</x:v>
      </x:c>
      <x:c r="F21" s="294" t="str">
        <x:v>시작·종료 동작 포함</x:v>
      </x:c>
    </x:row>
    <x:row r="22">
      <x:c r="A22" s="294" t="str">
        <x:v>출처</x:v>
      </x:c>
      <x:c r="B22" s="294" t="str">
        <x:v>MATLAB RAW</x:v>
      </x:c>
      <x:c r="C22" s="294" t="str">
        <x:v>$2/revalidation/matlab_raw/matlab_results.json</x:v>
      </x:c>
      <x:c r="D22" s="294" t="str"/>
      <x:c r="E22" s="294" t="str">
        <x:v>로컬 파일</x:v>
      </x:c>
      <x:c r="F22" s="294" t="str"/>
    </x:row>
    <x:row r="23">
      <x:c r="A23" s="294" t="str">
        <x:v>출처</x:v>
      </x:c>
      <x:c r="B23" s="294" t="str">
        <x:v>최종 선택</x:v>
      </x:c>
      <x:c r="C23" s="294" t="str">
        <x:v>$2/sync_results/final_sync_records.json</x:v>
      </x:c>
      <x:c r="D23" s="294" t="str"/>
      <x:c r="E23" s="294" t="str">
        <x:v>로컬 파일</x:v>
      </x:c>
      <x:c r="F23" s="294" t="str"/>
    </x:row>
    <x:row r="24">
      <x:c r="A24" s="295" t="str">
        <x:v>출처</x:v>
      </x:c>
      <x:c r="B24" s="295" t="str">
        <x:v>실험 가이드</x:v>
      </x:c>
      <x:c r="C24" s="295" t="str">
        <x:v>HAI_Experiment_UWB_GuideLine.pptx</x:v>
      </x:c>
      <x:c r="D24" s="295" t="str"/>
      <x:c r="E24" s="295" t="str">
        <x:v>로컬 파일</x:v>
      </x:c>
      <x:c r="F24" s="295" t="str"/>
    </x:row>
  </x:sheetData>
  <x:mergeCells>
    <x:mergeCell ref="A1:F1"/>
    <x:mergeCell ref="A2:F2"/>
  </x:mergeCells>
  <x:pageMargins left="0.7" right="0.7" top="0.75" bottom="0.75" header="0.3" footer="0.3"/>
</x:worksheet>
</file>