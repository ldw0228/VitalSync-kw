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d13389836e7d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be73b96fe93f4df7"/>
    <x:sheet xmlns:r="http://schemas.openxmlformats.org/officeDocument/2006/relationships" name="프로토콜_잠금" sheetId="2" r:id="R36fa908ec71b476a"/>
    <x:sheet xmlns:r="http://schemas.openxmlformats.org/officeDocument/2006/relationships" name="개발_구간결과" sheetId="3" r:id="Rab8a71d419dc4299"/>
    <x:sheet xmlns:r="http://schemas.openxmlformats.org/officeDocument/2006/relationships" name="레이더별_관측" sheetId="4" r:id="Re7d8068208424ad2"/>
    <x:sheet xmlns:r="http://schemas.openxmlformats.org/officeDocument/2006/relationships" name="실패사례" sheetId="5" r:id="R7fcd30885d7b44e4"/>
    <x:sheet xmlns:r="http://schemas.openxmlformats.org/officeDocument/2006/relationships" name="설정값" sheetId="6" r:id="Ra4fb2437e02541aa"/>
    <x:sheet xmlns:r="http://schemas.openxmlformats.org/officeDocument/2006/relationships" name="판단기록" sheetId="7" r:id="R2e4e2e7400ff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854D0E"/>
      <x:name val="Carlito"/>
    </x:font>
    <x:font>
      <x:b/>
      <x:sz val="9"/>
      <x:color rgb="FFFFFFFF"/>
      <x:name val="Carlito"/>
    </x:font>
    <x:font>
      <x:b/>
      <x:sz val="9"/>
      <x:color rgb="FF0F172A"/>
      <x:name val="Carlito"/>
    </x:font>
    <x:font>
      <x:sz val="9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1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5" fillId="2" borderId="6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6" fillId="2" borderId="5" xfId="0" applyNumberFormat="1" applyFont="1" applyFill="1" applyBorder="1" applyAlignment="1">
      <x:alignment vertical="center" wrapText="1"/>
    </x:xf>
    <x:xf numFmtId="0" fontId="6" fillId="2" borderId="6" xfId="0" applyNumberFormat="1" applyFont="1" applyFill="1" applyBorder="1" applyAlignment="1">
      <x:alignment vertical="center" wrapText="1"/>
    </x:xf>
    <x:xf numFmtId="0" fontId="6" fillId="2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7" fillId="0" borderId="13" xfId="0" applyNumberFormat="1" applyFont="1" applyFill="1" applyBorder="1" applyAlignment="1">
      <x:alignment vertical="center" wrapText="1"/>
    </x:xf>
    <x:xf numFmtId="0" fontId="5" fillId="2" borderId="14" xfId="0" applyNumberFormat="1" applyFont="1" applyFill="1" applyBorder="1" applyAlignment="1">
      <x:alignment vertical="center" wrapText="1"/>
    </x:xf>
    <x:xf numFmtId="0" fontId="5" fillId="2" borderId="15" xfId="0" applyNumberFormat="1" applyFont="1" applyFill="1" applyBorder="1" applyAlignment="1">
      <x:alignment vertical="center" wrapText="1"/>
    </x:xf>
    <x:xf numFmtId="0" fontId="5" fillId="2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0F766E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dba5ea0e334c450e" /><Relationship Type="http://schemas.openxmlformats.org/officeDocument/2006/relationships/theme" Target="/xl/theme/theme1.xml" Id="R961c450b5b764cb4" /><Relationship Type="http://schemas.openxmlformats.org/officeDocument/2006/relationships/sharedStrings" Target="/xl/sharedStrings.xml" Id="R90677d8d4d334c4e" /><Relationship Type="http://schemas.openxmlformats.org/officeDocument/2006/relationships/worksheet" Target="/xl/worksheets/sheet1.xml" Id="Rbe73b96fe93f4df7" /><Relationship Type="http://schemas.openxmlformats.org/officeDocument/2006/relationships/worksheet" Target="/xl/worksheets/sheet2.xml" Id="R36fa908ec71b476a" /><Relationship Type="http://schemas.openxmlformats.org/officeDocument/2006/relationships/worksheet" Target="/xl/worksheets/sheet3.xml" Id="Rab8a71d419dc4299" /><Relationship Type="http://schemas.openxmlformats.org/officeDocument/2006/relationships/worksheet" Target="/xl/worksheets/sheet4.xml" Id="Re7d8068208424ad2" /><Relationship Type="http://schemas.openxmlformats.org/officeDocument/2006/relationships/worksheet" Target="/xl/worksheets/sheet5.xml" Id="R7fcd30885d7b44e4" /><Relationship Type="http://schemas.openxmlformats.org/officeDocument/2006/relationships/worksheet" Target="/xl/worksheets/sheet6.xml" Id="Ra4fb2437e02541aa" /><Relationship Type="http://schemas.openxmlformats.org/officeDocument/2006/relationships/worksheet" Target="/xl/worksheets/sheet7.xml" Id="R2e4e2e7400ff49dd" /><Relationship Type="http://schemas.microsoft.com/office/2017/10/relationships/person" Target="/xl/persons/person.xml" Id="R0b012fd926624bde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.png" Id="R1441bafad6a44320" /><Relationship Type="http://schemas.openxmlformats.org/officeDocument/2006/relationships/image" Target="/xl/media/image2.png" Id="Rc8ff32c3c309478d" /></Relationships>
</file>

<file path=xl/drawings/_rels/drawing2.xml.rels><?xml version="1.0" encoding="utf-8"?><Relationships xmlns="http://schemas.openxmlformats.org/package/2006/relationships"><Relationship Type="http://schemas.openxmlformats.org/officeDocument/2006/relationships/image" Target="/xl/media/image3.png" Id="R40580b44bb4a473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14</xdr:row>
      <xdr:rowOff>0</xdr:rowOff>
    </xdr:from>
    <xdr:ext cx="6572250" cy="3333750"/>
    <xdr:pic>
      <xdr:nvPicPr>
        <xdr:cNvPr id="1" name="b2533374-4782-4109-be6c-bd19cfb5df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41bafad6a443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14</xdr:row>
      <xdr:rowOff>0</xdr:rowOff>
    </xdr:from>
    <xdr:ext cx="6572250" cy="3333750"/>
    <xdr:pic>
      <xdr:nvPicPr>
        <xdr:cNvPr id="2" name="ad1be52b-f672-4d62-a70d-bfbde4ef43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ff32c3c30947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22</xdr:row>
      <xdr:rowOff>0</xdr:rowOff>
    </xdr:from>
    <xdr:ext cx="8763000" cy="4381500"/>
    <xdr:pic>
      <xdr:nvPicPr>
        <xdr:cNvPr id="1" name="d606e347-c3f8-4f9a-87e2-d5df9b38d2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580b44bb4a47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User" id="{3A3BA5B3-F8DE-4752-A103-D104AAA91DE0}"/>
</xltc:personList>
</file>

<file path=xl/tables/table1.xml><?xml version="1.0" encoding="utf-8"?>
<x:table xmlns:x="http://schemas.openxmlformats.org/spreadsheetml/2006/main" id="1" name="ProtocolLockTable" displayName="ProtocolLockTable" ref="A4:N34" headerRowCount="1" totalsRowCount="0" totalsRowShown="0">
  <x:tableColumns count="14">
    <x:tableColumn id="1" name="number"/>
    <x:tableColumn id="2" name="subject"/>
    <x:tableColumn id="3" name="cohort"/>
    <x:tableColumn id="4" name="blind_status"/>
    <x:tableColumn id="5" name="usability"/>
    <x:tableColumn id="6" name="m01_s"/>
    <x:tableColumn id="7" name="m02_s"/>
    <x:tableColumn id="8" name="s01_duration_s"/>
    <x:tableColumn id="9" name="m03_s"/>
    <x:tableColumn id="10" name="m04_s"/>
    <x:tableColumn id="11" name="s02_duration_s"/>
    <x:tableColumn id="12" name="s01_duration_qc"/>
    <x:tableColumn id="13" name="s02_duration_qc"/>
    <x:tableColumn id="14" name="decision_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elopmentSegmentsTable" displayName="DevelopmentSegmentsTable" ref="A4:AF84" headerRowCount="1" totalsRowCount="0" totalsRowShown="0">
  <x:tableColumns count="32">
    <x:tableColumn id="1" name="subject"/>
    <x:tableColumn id="2" name="experiment"/>
    <x:tableColumn id="3" name="state"/>
    <x:tableColumn id="4" name="nominal_facing_radar"/>
    <x:tableColumn id="5" name="start_s"/>
    <x:tableColumn id="6" name="end_s"/>
    <x:tableColumn id="7" name="duration_s"/>
    <x:tableColumn id="8" name="rsp_rr_bpm"/>
    <x:tableColumn id="9" name="radar1_rr_bpm"/>
    <x:tableColumn id="10" name="radar2_rr_bpm"/>
    <x:tableColumn id="11" name="radar3_rr_bpm"/>
    <x:tableColumn id="12" name="radar1_primary_rr_bpm"/>
    <x:tableColumn id="13" name="radar2_primary_rr_bpm"/>
    <x:tableColumn id="14" name="radar3_primary_rr_bpm"/>
    <x:tableColumn id="15" name="quality_best_radar"/>
    <x:tableColumn id="16" name="quality_best_rr_bpm"/>
    <x:tableColumn id="17" name="consensus_rr_bpm"/>
    <x:tableColumn id="18" name="radar_rr_mad_bpm"/>
    <x:tableColumn id="19" name="edge_quality"/>
    <x:tableColumn id="20" name="motion_quality"/>
    <x:tableColumn id="21" name="max_motion_index"/>
    <x:tableColumn id="22" name="confidence"/>
    <x:tableColumn id="23" name="reject"/>
    <x:tableColumn id="24" name="rr_abs_error"/>
    <x:tableColumn id="25" name="oracle_abs_error"/>
    <x:tableColumn id="26" name="waveform_abs_corr"/>
    <x:tableColumn id="27" name="median_motion_index"/>
    <x:tableColumn id="28" name="rr_evaluable"/>
    <x:tableColumn id="29" name="accepted_for_rr"/>
    <x:tableColumn id="30" name="accepted_error"/>
    <x:tableColumn id="31" name="all_error"/>
    <x:tableColumn id="32" name="within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darObservationsTable" displayName="RadarObservationsTable" ref="A4:X244" headerRowCount="1" totalsRowCount="0" totalsRowShown="0">
  <x:tableColumns count="24">
    <x:tableColumn id="1" name="subject"/>
    <x:tableColumn id="2" name="experiment"/>
    <x:tableColumn id="3" name="state"/>
    <x:tableColumn id="4" name="nominal_facing_radar"/>
    <x:tableColumn id="5" name="radar"/>
    <x:tableColumn id="6" name="start_s"/>
    <x:tableColumn id="7" name="end_s"/>
    <x:tableColumn id="8" name="duration_s"/>
    <x:tableColumn id="9" name="rsp_rr_bpm"/>
    <x:tableColumn id="10" name="primary_bin"/>
    <x:tableColumn id="11" name="auxiliary_bin"/>
    <x:tableColumn id="12" name="auxiliary_corr"/>
    <x:tableColumn id="13" name="radar_rr_bpm"/>
    <x:tableColumn id="14" name="primary_rr_bpm"/>
    <x:tableColumn id="15" name="path_fused_rr_bpm"/>
    <x:tableColumn id="16" name="primary_rr_abs_error"/>
    <x:tableColumn id="17" name="path_fused_rr_abs_error"/>
    <x:tableColumn id="18" name="rr_abs_error"/>
    <x:tableColumn id="19" name="quality"/>
    <x:tableColumn id="20" name="phase_bad"/>
    <x:tableColumn id="21" name="spectral_entropy"/>
    <x:tableColumn id="22" name="peak_fraction"/>
    <x:tableColumn id="23" name="edge_margin_hz"/>
    <x:tableColumn id="24" name="motion_index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ilureCasesTable" displayName="FailureCasesTable" ref="A4:AA19" headerRowCount="1" totalsRowCount="0" totalsRowShown="0">
  <x:tableColumns count="27">
    <x:tableColumn id="1" name="subject"/>
    <x:tableColumn id="2" name="experiment"/>
    <x:tableColumn id="3" name="state"/>
    <x:tableColumn id="4" name="nominal_facing_radar"/>
    <x:tableColumn id="5" name="start_s"/>
    <x:tableColumn id="6" name="end_s"/>
    <x:tableColumn id="7" name="duration_s"/>
    <x:tableColumn id="8" name="rsp_rr_bpm"/>
    <x:tableColumn id="9" name="radar1_rr_bpm"/>
    <x:tableColumn id="10" name="radar2_rr_bpm"/>
    <x:tableColumn id="11" name="radar3_rr_bpm"/>
    <x:tableColumn id="12" name="radar1_primary_rr_bpm"/>
    <x:tableColumn id="13" name="radar2_primary_rr_bpm"/>
    <x:tableColumn id="14" name="radar3_primary_rr_bpm"/>
    <x:tableColumn id="15" name="quality_best_radar"/>
    <x:tableColumn id="16" name="quality_best_rr_bpm"/>
    <x:tableColumn id="17" name="consensus_rr_bpm"/>
    <x:tableColumn id="18" name="radar_rr_mad_bpm"/>
    <x:tableColumn id="19" name="edge_quality"/>
    <x:tableColumn id="20" name="motion_quality"/>
    <x:tableColumn id="21" name="max_motion_index"/>
    <x:tableColumn id="22" name="confidence"/>
    <x:tableColumn id="23" name="reject"/>
    <x:tableColumn id="24" name="rr_abs_error"/>
    <x:tableColumn id="25" name="oracle_abs_error"/>
    <x:tableColumn id="26" name="waveform_abs_corr"/>
    <x:tableColumn id="27" name="median_motion_index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ttingsTable" displayName="SettingsTable" ref="A4:D18" headerRowCount="1" totalsRowCount="0" totalsRowShown="0">
  <x:tableColumns count="4">
    <x:tableColumn id="1" name="group"/>
    <x:tableColumn id="2" name="parameter"/>
    <x:tableColumn id="3" name="value"/>
    <x:tableColumn id="4" name="bas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cisionLogTable" displayName="DecisionLogTable" ref="A4:D12" headerRowCount="1" totalsRowCount="0" totalsRowShown="0">
  <x:tableColumns count="4">
    <x:tableColumn id="1" name="date"/>
    <x:tableColumn id="2" name="decision"/>
    <x:tableColumn id="3" name="basis"/>
    <x:tableColumn id="4" name="imp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$2">
  <a:themeElements>
    <a:clrScheme name="$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$2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R2c7f2ea316754a5f" /></Relationships>
</file>

<file path=xl/worksheets/_rels/sheet2.xml.rels><?xml version="1.0" encoding="utf-8"?><Relationships xmlns="http://schemas.openxmlformats.org/package/2006/relationships"><Relationship Type="http://schemas.openxmlformats.org/officeDocument/2006/relationships/table" Target="/xl/tables/table1.xml" Id="R3c46485525c64862" /></Relationships>
</file>

<file path=xl/worksheets/_rels/sheet3.xml.rels><?xml version="1.0" encoding="utf-8"?><Relationships xmlns="http://schemas.openxmlformats.org/package/2006/relationships"><Relationship Type="http://schemas.openxmlformats.org/officeDocument/2006/relationships/table" Target="/xl/tables/table2.xml" Id="R34ae95fc73294ad8" /></Relationships>
</file>

<file path=xl/worksheets/_rels/sheet4.xml.rels><?xml version="1.0" encoding="utf-8"?><Relationships xmlns="http://schemas.openxmlformats.org/package/2006/relationships"><Relationship Type="http://schemas.openxmlformats.org/officeDocument/2006/relationships/table" Target="/xl/tables/table3.xml" Id="R163f7dd49172450d" /></Relationships>
</file>

<file path=xl/worksheets/_rels/sheet5.xml.rels><?xml version="1.0" encoding="utf-8"?><Relationships xmlns="http://schemas.openxmlformats.org/package/2006/relationships"><Relationship Type="http://schemas.openxmlformats.org/officeDocument/2006/relationships/drawing" Target="/xl/drawings/drawing2.xml" Id="Red25b9c6160e4184" /><Relationship Type="http://schemas.openxmlformats.org/officeDocument/2006/relationships/table" Target="/xl/tables/table4.xml" Id="Rab686edb35564176" /></Relationships>
</file>

<file path=xl/worksheets/_rels/sheet6.xml.rels><?xml version="1.0" encoding="utf-8"?><Relationships xmlns="http://schemas.openxmlformats.org/package/2006/relationships"><Relationship Type="http://schemas.openxmlformats.org/officeDocument/2006/relationships/table" Target="/xl/tables/table5.xml" Id="Re8b1e9e99a6844bd" /></Relationships>
</file>

<file path=xl/worksheets/_rels/sheet7.xml.rels><?xml version="1.0" encoding="utf-8"?><Relationships xmlns="http://schemas.openxmlformats.org/package/2006/relationships"><Relationship Type="http://schemas.openxmlformats.org/officeDocument/2006/relationships/table" Target="/xl/tables/table6.xml" Id="R90cdeb11863340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4" max="4" width="22" hidden="0" customWidth="1"/>
    <x:col min="5" max="5" width="14" hidden="0" customWidth="1"/>
  </x:cols>
  <x:sheetData>
    <x:row r="1" ht="34" customHeight="1">
      <x:c r="A1" s="3" t="str">
        <x:v>방향 적응형 3-UWB 호흡 분석 | 개발군 검증 장부</x:v>
      </x:c>
    </x:row>
    <x:row r="2" ht="26" customHeight="1">
      <x:c r="A2" s="7" t="str">
        <x:v>독립검증군 17명은 잠금 상태이며 이 장부의 성능 수치는 이미 분석한 개발군 10명에만 해당합니다.</x:v>
      </x:c>
    </x:row>
    <x:row r="4">
      <x:c r="A4" s="14" t="str">
        <x:v>연구 설계</x:v>
      </x:c>
      <x:c r="B4" s="14" t="str">
        <x:v>값</x:v>
      </x:c>
      <x:c r="D4" s="16" t="str">
        <x:v>개발군 결과</x:v>
      </x:c>
      <x:c r="E4" s="16" t="str">
        <x:v>값</x:v>
      </x:c>
    </x:row>
    <x:row r="5">
      <x:c r="A5" s="15" t="str">
        <x:v>개발군</x:v>
      </x:c>
      <x:c r="B5" s="15" t="n">
        <x:f>COUNTIF('프로토콜_잠금'!$C$5:$C$34,"development")</x:f>
        <x:v>10</x:v>
      </x:c>
      <x:c r="D5" s="15" t="str">
        <x:v>전체 RR MAE</x:v>
      </x:c>
      <x:c r="E5" s="17" t="n">
        <x:f>SUM('개발_구간결과'!$AE$5:$AE$84)/SUM('개발_구간결과'!$AB$5:$AB$84)</x:f>
        <x:v>0.5007426936632953</x:v>
      </x:c>
    </x:row>
    <x:row r="6">
      <x:c r="A6" s="15" t="str">
        <x:v>잠금 독립검증군</x:v>
      </x:c>
      <x:c r="B6" s="15" t="n">
        <x:f>COUNTIF('프로토콜_잠금'!$C$5:$C$34,"independent_validation")</x:f>
        <x:v>17</x:v>
      </x:c>
      <x:c r="D6" s="15" t="str">
        <x:v>채택 RR MAE</x:v>
      </x:c>
      <x:c r="E6" s="17" t="n">
        <x:f>SUM('개발_구간결과'!$AD$5:$AD$84)/SUM('개발_구간결과'!$AC$5:$AC$84)</x:f>
        <x:v>0.3243639623879665</x:v>
      </x:c>
    </x:row>
    <x:row r="7">
      <x:c r="A7" s="15" t="str">
        <x:v>부분검토</x:v>
      </x:c>
      <x:c r="B7" s="15" t="n">
        <x:f>COUNTIF('프로토콜_잠금'!$C$5:$C$34,"partial_review")</x:f>
        <x:v>2</x:v>
      </x:c>
      <x:c r="D7" s="15" t="str">
        <x:v>채택 coverage</x:v>
      </x:c>
      <x:c r="E7" s="18" t="n">
        <x:f>SUM('개발_구간결과'!$AC$5:$AC$84)/SUM('개발_구간결과'!$AB$5:$AB$84)</x:f>
        <x:v>0.9857142857142858</x:v>
      </x:c>
    </x:row>
    <x:row r="8">
      <x:c r="A8" s="15" t="str">
        <x:v>제외</x:v>
      </x:c>
      <x:c r="B8" s="15" t="n">
        <x:f>COUNTIF('프로토콜_잠금'!$C$5:$C$34,"excluded")</x:f>
        <x:v>1</x:v>
      </x:c>
      <x:c r="D8" s="15" t="str">
        <x:v>±2회/분 이내</x:v>
      </x:c>
      <x:c r="E8" s="18" t="n">
        <x:f>SUM('개발_구간결과'!$AF$5:$AF$84)/SUM('개발_구간결과'!$AB$5:$AB$84)</x:f>
        <x:v>0.9285714285714286</x:v>
      </x:c>
    </x:row>
    <x:row r="9">
      <x:c r="A9" s="15" t="str">
        <x:v>1·2번 공통 사용</x:v>
      </x:c>
      <x:c r="B9" s="15" t="n">
        <x:f>COUNTIF('프로토콜_잠금'!$E$5:$E$34,"usable_both")</x:f>
        <x:v>27</x:v>
      </x:c>
      <x:c r="D9" s="15" t="str">
        <x:v>파형 |상관| 중앙값</x:v>
      </x:c>
      <x:c r="E9" s="18" t="n">
        <x:v>0.8275394334476533</x:v>
      </x:c>
    </x:row>
    <x:row r="10">
      <x:c r="D10" s="15" t="str">
        <x:v>스쿼트 움직임 검출</x:v>
      </x:c>
      <x:c r="E10" s="15" t="str">
        <x:v>9/10</x:v>
      </x:c>
    </x:row>
    <x:row r="12" ht="38" customHeight="1">
      <x:c r="A12" s="22" t="str">
        <x:v>판정: 개발군 기준선은 개선됐지만 독립 성능은 아직 모릅니다. post-hold 실패와 S18 스쿼트 미관측을 해결하기 전 최종 ANN/SNN을 학습하지 않습니다.</x:v>
      </x:c>
    </x:row>
  </x:sheetData>
  <x:mergeCells>
    <x:mergeCell ref="A1:L1"/>
    <x:mergeCell ref="A2:L2"/>
    <x:mergeCell ref="A12:L12"/>
  </x:mergeCells>
  <x:pageMargins left="0.7" right="0.7" top="0.75" bottom="0.75" header="0.3" footer="0.3"/>
  <x:drawing xmlns:r="http://schemas.openxmlformats.org/officeDocument/2006/relationships" r:id="R2c7f2ea316754a5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20" hidden="0" customWidth="1"/>
    <x:col min="5" max="5" width="18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48" hidden="0" customWidth="1"/>
  </x:cols>
  <x:sheetData>
    <x:row r="1" ht="34" customHeight="1">
      <x:c r="A1" s="3" t="str">
        <x:v>참가자별 실험 1·2 프로토콜 잠금</x:v>
      </x:c>
    </x:row>
    <x:row r="2" ht="26" customHeight="1">
      <x:c r="A2" s="7" t="str">
        <x:v>M01-M04 선택과 개발/독립검증 분리를 모델 결과와 무관하게 기록합니다.</x:v>
      </x:c>
    </x:row>
    <x:row r="4" ht="28" customHeight="1">
      <x:c r="A4" s="63" t="str">
        <x:v>number</x:v>
      </x:c>
      <x:c r="B4" s="64" t="str">
        <x:v>subject</x:v>
      </x:c>
      <x:c r="C4" s="64" t="str">
        <x:v>cohort</x:v>
      </x:c>
      <x:c r="D4" s="64" t="str">
        <x:v>blind_status</x:v>
      </x:c>
      <x:c r="E4" s="64" t="str">
        <x:v>usability</x:v>
      </x:c>
      <x:c r="F4" s="64" t="str">
        <x:v>m01_s</x:v>
      </x:c>
      <x:c r="G4" s="64" t="str">
        <x:v>m02_s</x:v>
      </x:c>
      <x:c r="H4" s="64" t="str">
        <x:v>s01_duration_s</x:v>
      </x:c>
      <x:c r="I4" s="64" t="str">
        <x:v>m03_s</x:v>
      </x:c>
      <x:c r="J4" s="64" t="str">
        <x:v>m04_s</x:v>
      </x:c>
      <x:c r="K4" s="64" t="str">
        <x:v>s02_duration_s</x:v>
      </x:c>
      <x:c r="L4" s="64" t="str">
        <x:v>s01_duration_qc</x:v>
      </x:c>
      <x:c r="M4" s="64" t="str">
        <x:v>s02_duration_qc</x:v>
      </x:c>
      <x:c r="N4" s="65" t="str">
        <x:v>decision_basis</x:v>
      </x:c>
    </x:row>
    <x:row r="5">
      <x:c r="A5" s="57" t="n">
        <x:v>1</x:v>
      </x:c>
      <x:c r="B5" s="58" t="str">
        <x:v>S01_CMS</x:v>
      </x:c>
      <x:c r="C5" s="58" t="str">
        <x:v>partial_review</x:v>
      </x:c>
      <x:c r="D5" s="58" t="str">
        <x:v>not_applicable</x:v>
      </x:c>
      <x:c r="E5" s="58" t="str">
        <x:v>partial_review</x:v>
      </x:c>
      <x:c r="F5" s="58" t="n">
        <x:v>58.512</x:v>
      </x:c>
      <x:c r="G5" s="58" t="n">
        <x:v>245.772</x:v>
      </x:c>
      <x:c r="H5" s="58" t="n">
        <x:v>187.26</x:v>
      </x:c>
      <x:c r="I5" s="58" t="n">
        <x:v>302.51599999999996</x:v>
      </x:c>
      <x:c r="J5" s="58" t="n">
        <x:v>729.192</x:v>
      </x:c>
      <x:c r="K5" s="58" t="n">
        <x:v>426.676</x:v>
      </x:c>
      <x:c r="L5" s="58" t="str">
        <x:v>pass</x:v>
      </x:c>
      <x:c r="M5" s="58" t="str">
        <x:v>review</x:v>
      </x:c>
      <x:c r="N5" s="59" t="str">
        <x:v>M01-M02는 개연성 있음; M03-M04 426.7초로 S02 내부 라벨 불확실</x:v>
      </x:c>
    </x:row>
    <x:row r="6">
      <x:c r="A6" s="57" t="n">
        <x:v>2</x:v>
      </x:c>
      <x:c r="B6" s="58" t="str">
        <x:v>S02_RJS</x:v>
      </x:c>
      <x:c r="C6" s="58" t="str">
        <x:v>independent_validation</x:v>
      </x:c>
      <x:c r="D6" s="58" t="str">
        <x:v>locked_not_evaluated</x:v>
      </x:c>
      <x:c r="E6" s="58" t="str">
        <x:v>usable_both</x:v>
      </x:c>
      <x:c r="F6" s="58" t="n">
        <x:v>25</x:v>
      </x:c>
      <x:c r="G6" s="58" t="n">
        <x:v>217</x:v>
      </x:c>
      <x:c r="H6" s="58" t="n">
        <x:v>192</x:v>
      </x:c>
      <x:c r="I6" s="58" t="n">
        <x:v>245</x:v>
      </x:c>
      <x:c r="J6" s="58" t="n">
        <x:v>611</x:v>
      </x:c>
      <x:c r="K6" s="58" t="n">
        <x:v>366</x:v>
      </x:c>
      <x:c r="L6" s="58" t="str">
        <x:v>pass</x:v>
      </x:c>
      <x:c r="M6" s="58" t="str">
        <x:v>pass</x:v>
      </x:c>
      <x:c r="N6" s="59" t="str">
        <x:v>기존 전수검사 M01-M04 유지</x:v>
      </x:c>
    </x:row>
    <x:row r="7">
      <x:c r="A7" s="57" t="n">
        <x:v>3</x:v>
      </x:c>
      <x:c r="B7" s="58" t="str">
        <x:v>S03_PSJ</x:v>
      </x:c>
      <x:c r="C7" s="58" t="str">
        <x:v>independent_validation</x:v>
      </x:c>
      <x:c r="D7" s="58" t="str">
        <x:v>locked_not_evaluated</x:v>
      </x:c>
      <x:c r="E7" s="58" t="str">
        <x:v>usable_both</x:v>
      </x:c>
      <x:c r="F7" s="58" t="n">
        <x:v>23</x:v>
      </x:c>
      <x:c r="G7" s="58" t="n">
        <x:v>210</x:v>
      </x:c>
      <x:c r="H7" s="58" t="n">
        <x:v>187</x:v>
      </x:c>
      <x:c r="I7" s="58" t="n">
        <x:v>276</x:v>
      </x:c>
      <x:c r="J7" s="58" t="n">
        <x:v>646</x:v>
      </x:c>
      <x:c r="K7" s="58" t="n">
        <x:v>370</x:v>
      </x:c>
      <x:c r="L7" s="58" t="str">
        <x:v>pass</x:v>
      </x:c>
      <x:c r="M7" s="58" t="str">
        <x:v>pass</x:v>
      </x:c>
      <x:c r="N7" s="59" t="str">
        <x:v>기존 전수검사 M01-M04 유지</x:v>
      </x:c>
    </x:row>
    <x:row r="8">
      <x:c r="A8" s="57" t="n">
        <x:v>4</x:v>
      </x:c>
      <x:c r="B8" s="58" t="str">
        <x:v>S04_KTW</x:v>
      </x:c>
      <x:c r="C8" s="58" t="str">
        <x:v>independent_validation</x:v>
      </x:c>
      <x:c r="D8" s="58" t="str">
        <x:v>locked_not_evaluated</x:v>
      </x:c>
      <x:c r="E8" s="58" t="str">
        <x:v>usable_both</x:v>
      </x:c>
      <x:c r="F8" s="58" t="n">
        <x:v>22.63000000000003</x:v>
      </x:c>
      <x:c r="G8" s="58" t="n">
        <x:v>223.48000000000002</x:v>
      </x:c>
      <x:c r="H8" s="58" t="n">
        <x:v>200.85</x:v>
      </x:c>
      <x:c r="I8" s="58" t="n">
        <x:v>274.189</x:v>
      </x:c>
      <x:c r="J8" s="58" t="n">
        <x:v>647.2239999999999</x:v>
      </x:c>
      <x:c r="K8" s="58" t="n">
        <x:v>373.035</x:v>
      </x:c>
      <x:c r="L8" s="58" t="str">
        <x:v>pass</x:v>
      </x:c>
      <x:c r="M8" s="58" t="str">
        <x:v>pass</x:v>
      </x:c>
      <x:c r="N8" s="59" t="str">
        <x:v>후반 마커 문제와 무관하게 M01-M04 시간 범위 정상</x:v>
      </x:c>
    </x:row>
    <x:row r="9">
      <x:c r="A9" s="57" t="n">
        <x:v>5</x:v>
      </x:c>
      <x:c r="B9" s="58" t="str">
        <x:v>S05_LHS</x:v>
      </x:c>
      <x:c r="C9" s="58" t="str">
        <x:v>independent_validation</x:v>
      </x:c>
      <x:c r="D9" s="58" t="str">
        <x:v>locked_not_evaluated</x:v>
      </x:c>
      <x:c r="E9" s="58" t="str">
        <x:v>usable_both</x:v>
      </x:c>
      <x:c r="F9" s="58" t="n">
        <x:v>15</x:v>
      </x:c>
      <x:c r="G9" s="58" t="n">
        <x:v>210</x:v>
      </x:c>
      <x:c r="H9" s="58" t="n">
        <x:v>195</x:v>
      </x:c>
      <x:c r="I9" s="58" t="n">
        <x:v>241</x:v>
      </x:c>
      <x:c r="J9" s="58" t="n">
        <x:v>612</x:v>
      </x:c>
      <x:c r="K9" s="58" t="n">
        <x:v>371</x:v>
      </x:c>
      <x:c r="L9" s="58" t="str">
        <x:v>pass</x:v>
      </x:c>
      <x:c r="M9" s="58" t="str">
        <x:v>pass</x:v>
      </x:c>
      <x:c r="N9" s="59" t="str">
        <x:v>기존 전수검사 M01-M04 유지</x:v>
      </x:c>
    </x:row>
    <x:row r="10">
      <x:c r="A10" s="57" t="n">
        <x:v>6</x:v>
      </x:c>
      <x:c r="B10" s="58" t="str">
        <x:v>S06_LDW</x:v>
      </x:c>
      <x:c r="C10" s="58" t="str">
        <x:v>independent_validation</x:v>
      </x:c>
      <x:c r="D10" s="58" t="str">
        <x:v>locked_not_evaluated</x:v>
      </x:c>
      <x:c r="E10" s="58" t="str">
        <x:v>usable_both</x:v>
      </x:c>
      <x:c r="F10" s="58" t="n">
        <x:v>22</x:v>
      </x:c>
      <x:c r="G10" s="58" t="n">
        <x:v>214</x:v>
      </x:c>
      <x:c r="H10" s="58" t="n">
        <x:v>192</x:v>
      </x:c>
      <x:c r="I10" s="58" t="n">
        <x:v>264</x:v>
      </x:c>
      <x:c r="J10" s="58" t="n">
        <x:v>638</x:v>
      </x:c>
      <x:c r="K10" s="58" t="n">
        <x:v>374</x:v>
      </x:c>
      <x:c r="L10" s="58" t="str">
        <x:v>pass</x:v>
      </x:c>
      <x:c r="M10" s="58" t="str">
        <x:v>pass</x:v>
      </x:c>
      <x:c r="N10" s="59" t="str">
        <x:v>기존 전수검사 M01-M04 유지</x:v>
      </x:c>
    </x:row>
    <x:row r="11">
      <x:c r="A11" s="57" t="n">
        <x:v>7</x:v>
      </x:c>
      <x:c r="B11" s="58" t="str">
        <x:v>S07_KDM</x:v>
      </x:c>
      <x:c r="C11" s="58" t="str">
        <x:v>development</x:v>
      </x:c>
      <x:c r="D11" s="58" t="str">
        <x:v>already_seen</x:v>
      </x:c>
      <x:c r="E11" s="58" t="str">
        <x:v>usable_both</x:v>
      </x:c>
      <x:c r="F11" s="58" t="n">
        <x:v>16.57200000000004</x:v>
      </x:c>
      <x:c r="G11" s="58" t="n">
        <x:v>214.34500000000006</x:v>
      </x:c>
      <x:c r="H11" s="58" t="n">
        <x:v>197.773</x:v>
      </x:c>
      <x:c r="I11" s="58" t="n">
        <x:v>275.59800000000007</x:v>
      </x:c>
      <x:c r="J11" s="58" t="n">
        <x:v>646.7800000000001</x:v>
      </x:c>
      <x:c r="K11" s="58" t="n">
        <x:v>371.182</x:v>
      </x:c>
      <x:c r="L11" s="58" t="str">
        <x:v>pass</x:v>
      </x:c>
      <x:c r="M11" s="58" t="str">
        <x:v>pass</x:v>
      </x:c>
      <x:c r="N11" s="59" t="str">
        <x:v>기존 전수검사 M01-M04 유지</x:v>
      </x:c>
    </x:row>
    <x:row r="12">
      <x:c r="A12" s="57" t="n">
        <x:v>8</x:v>
      </x:c>
      <x:c r="B12" s="58" t="str">
        <x:v>S08_MDO</x:v>
      </x:c>
      <x:c r="C12" s="58" t="str">
        <x:v>development</x:v>
      </x:c>
      <x:c r="D12" s="58" t="str">
        <x:v>already_seen</x:v>
      </x:c>
      <x:c r="E12" s="58" t="str">
        <x:v>usable_both</x:v>
      </x:c>
      <x:c r="F12" s="58" t="n">
        <x:v>23.796000000000053</x:v>
      </x:c>
      <x:c r="G12" s="58" t="n">
        <x:v>220.16400000000004</x:v>
      </x:c>
      <x:c r="H12" s="58" t="n">
        <x:v>196.368</x:v>
      </x:c>
      <x:c r="I12" s="58" t="n">
        <x:v>260.4440000000001</x:v>
      </x:c>
      <x:c r="J12" s="58" t="n">
        <x:v>645.896</x:v>
      </x:c>
      <x:c r="K12" s="58" t="n">
        <x:v>385.452</x:v>
      </x:c>
      <x:c r="L12" s="58" t="str">
        <x:v>pass</x:v>
      </x:c>
      <x:c r="M12" s="58" t="str">
        <x:v>pass</x:v>
      </x:c>
      <x:c r="N12" s="59" t="str">
        <x:v>기존 전수검사 M01-M04 유지</x:v>
      </x:c>
    </x:row>
    <x:row r="13">
      <x:c r="A13" s="57" t="n">
        <x:v>9</x:v>
      </x:c>
      <x:c r="B13" s="58" t="str">
        <x:v>S09_HDH</x:v>
      </x:c>
      <x:c r="C13" s="58" t="str">
        <x:v>development</x:v>
      </x:c>
      <x:c r="D13" s="58" t="str">
        <x:v>already_seen</x:v>
      </x:c>
      <x:c r="E13" s="58" t="str">
        <x:v>usable_both</x:v>
      </x:c>
      <x:c r="F13" s="58" t="n">
        <x:v>16.915000000000067</x:v>
      </x:c>
      <x:c r="G13" s="58" t="n">
        <x:v>209.82400000000007</x:v>
      </x:c>
      <x:c r="H13" s="58" t="n">
        <x:v>192.909</x:v>
      </x:c>
      <x:c r="I13" s="58" t="n">
        <x:v>272.42800000000005</x:v>
      </x:c>
      <x:c r="J13" s="58" t="n">
        <x:v>647.296</x:v>
      </x:c>
      <x:c r="K13" s="58" t="n">
        <x:v>374.868</x:v>
      </x:c>
      <x:c r="L13" s="58" t="str">
        <x:v>pass</x:v>
      </x:c>
      <x:c r="M13" s="58" t="str">
        <x:v>pass</x:v>
      </x:c>
      <x:c r="N13" s="59" t="str">
        <x:v>기존 전수검사 M01-M04 유지</x:v>
      </x:c>
    </x:row>
    <x:row r="14">
      <x:c r="A14" s="57" t="n">
        <x:v>10</x:v>
      </x:c>
      <x:c r="B14" s="58" t="str">
        <x:v>S10_JKH</x:v>
      </x:c>
      <x:c r="C14" s="58" t="str">
        <x:v>independent_validation</x:v>
      </x:c>
      <x:c r="D14" s="58" t="str">
        <x:v>locked_not_evaluated</x:v>
      </x:c>
      <x:c r="E14" s="58" t="str">
        <x:v>usable_both</x:v>
      </x:c>
      <x:c r="F14" s="58" t="n">
        <x:v>26.144000000000062</x:v>
      </x:c>
      <x:c r="G14" s="58" t="n">
        <x:v>212.46800000000005</x:v>
      </x:c>
      <x:c r="H14" s="58" t="n">
        <x:v>186.324</x:v>
      </x:c>
      <x:c r="I14" s="58" t="n">
        <x:v>244.70000000000005</x:v>
      </x:c>
      <x:c r="J14" s="58" t="n">
        <x:v>625.8240000000001</x:v>
      </x:c>
      <x:c r="K14" s="58" t="n">
        <x:v>381.124</x:v>
      </x:c>
      <x:c r="L14" s="58" t="str">
        <x:v>pass</x:v>
      </x:c>
      <x:c r="M14" s="58" t="str">
        <x:v>pass</x:v>
      </x:c>
      <x:c r="N14" s="59" t="str">
        <x:v>기존 전수검사 M01-M04 유지</x:v>
      </x:c>
    </x:row>
    <x:row r="15">
      <x:c r="A15" s="57" t="n">
        <x:v>11</x:v>
      </x:c>
      <x:c r="B15" s="58" t="str">
        <x:v>S11_SJE</x:v>
      </x:c>
      <x:c r="C15" s="58" t="str">
        <x:v>independent_validation</x:v>
      </x:c>
      <x:c r="D15" s="58" t="str">
        <x:v>locked_not_evaluated</x:v>
      </x:c>
      <x:c r="E15" s="58" t="str">
        <x:v>usable_both</x:v>
      </x:c>
      <x:c r="F15" s="58" t="n">
        <x:v>15.264000000000037</x:v>
      </x:c>
      <x:c r="G15" s="58" t="n">
        <x:v>207.4813333333334</x:v>
      </x:c>
      <x:c r="H15" s="58" t="n">
        <x:v>192.217</x:v>
      </x:c>
      <x:c r="I15" s="58" t="n">
        <x:v>260.616</x:v>
      </x:c>
      <x:c r="J15" s="58" t="n">
        <x:v>635.6160000000001</x:v>
      </x:c>
      <x:c r="K15" s="58" t="n">
        <x:v>375</x:v>
      </x:c>
      <x:c r="L15" s="58" t="str">
        <x:v>pass</x:v>
      </x:c>
      <x:c r="M15" s="58" t="str">
        <x:v>pass</x:v>
      </x:c>
      <x:c r="N15" s="59" t="str">
        <x:v>후반 마커 문제와 무관하게 M01-M04 시간 범위 정상</x:v>
      </x:c>
    </x:row>
    <x:row r="16">
      <x:c r="A16" s="57" t="n">
        <x:v>12</x:v>
      </x:c>
      <x:c r="B16" s="58" t="str">
        <x:v>S12_KDH</x:v>
      </x:c>
      <x:c r="C16" s="58" t="str">
        <x:v>independent_validation</x:v>
      </x:c>
      <x:c r="D16" s="58" t="str">
        <x:v>locked_not_evaluated</x:v>
      </x:c>
      <x:c r="E16" s="58" t="str">
        <x:v>usable_both</x:v>
      </x:c>
      <x:c r="F16" s="58" t="n">
        <x:v>24.524</x:v>
      </x:c>
      <x:c r="G16" s="58" t="n">
        <x:v>222.644</x:v>
      </x:c>
      <x:c r="H16" s="58" t="n">
        <x:v>198.12</x:v>
      </x:c>
      <x:c r="I16" s="58" t="n">
        <x:v>270.448</x:v>
      </x:c>
      <x:c r="J16" s="58" t="n">
        <x:v>646.804</x:v>
      </x:c>
      <x:c r="K16" s="58" t="n">
        <x:v>376.356</x:v>
      </x:c>
      <x:c r="L16" s="58" t="str">
        <x:v>pass</x:v>
      </x:c>
      <x:c r="M16" s="58" t="str">
        <x:v>pass</x:v>
      </x:c>
      <x:c r="N16" s="59" t="str">
        <x:v>자동 추천 M04=764.472 대신 원후보 646.804 채택</x:v>
      </x:c>
    </x:row>
    <x:row r="17">
      <x:c r="A17" s="57" t="n">
        <x:v>13</x:v>
      </x:c>
      <x:c r="B17" s="58" t="str">
        <x:v>S13_KTW</x:v>
      </x:c>
      <x:c r="C17" s="58" t="str">
        <x:v>independent_validation</x:v>
      </x:c>
      <x:c r="D17" s="58" t="str">
        <x:v>locked_not_evaluated</x:v>
      </x:c>
      <x:c r="E17" s="58" t="str">
        <x:v>usable_both</x:v>
      </x:c>
      <x:c r="F17" s="58" t="n">
        <x:v>11.5</x:v>
      </x:c>
      <x:c r="G17" s="58" t="n">
        <x:v>205.2</x:v>
      </x:c>
      <x:c r="H17" s="58" t="n">
        <x:v>193.7</x:v>
      </x:c>
      <x:c r="I17" s="58" t="n">
        <x:v>228.3</x:v>
      </x:c>
      <x:c r="J17" s="58" t="n">
        <x:v>597.4</x:v>
      </x:c>
      <x:c r="K17" s="58" t="n">
        <x:v>369.1</x:v>
      </x:c>
      <x:c r="L17" s="58" t="str">
        <x:v>pass</x:v>
      </x:c>
      <x:c r="M17" s="58" t="str">
        <x:v>pass</x:v>
      </x:c>
      <x:c r="N17" s="59" t="str">
        <x:v>기존 전수검사 M01-M04 유지</x:v>
      </x:c>
    </x:row>
    <x:row r="18">
      <x:c r="A18" s="57" t="n">
        <x:v>14</x:v>
      </x:c>
      <x:c r="B18" s="58" t="str">
        <x:v>S14_MDO</x:v>
      </x:c>
      <x:c r="C18" s="58" t="str">
        <x:v>independent_validation</x:v>
      </x:c>
      <x:c r="D18" s="58" t="str">
        <x:v>locked_not_evaluated</x:v>
      </x:c>
      <x:c r="E18" s="58" t="str">
        <x:v>usable_both</x:v>
      </x:c>
      <x:c r="F18" s="58" t="n">
        <x:v>13.64800000000007</x:v>
      </x:c>
      <x:c r="G18" s="58" t="n">
        <x:v>208.91200000000006</x:v>
      </x:c>
      <x:c r="H18" s="58" t="n">
        <x:v>195.264</x:v>
      </x:c>
      <x:c r="I18" s="58" t="n">
        <x:v>233.95200000000006</x:v>
      </x:c>
      <x:c r="J18" s="58" t="n">
        <x:v>607.4200000000001</x:v>
      </x:c>
      <x:c r="K18" s="58" t="n">
        <x:v>373.468</x:v>
      </x:c>
      <x:c r="L18" s="58" t="str">
        <x:v>pass</x:v>
      </x:c>
      <x:c r="M18" s="58" t="str">
        <x:v>pass</x:v>
      </x:c>
      <x:c r="N18" s="59" t="str">
        <x:v>기존 전수검사 M01-M04 유지</x:v>
      </x:c>
    </x:row>
    <x:row r="19">
      <x:c r="A19" s="57" t="n">
        <x:v>15</x:v>
      </x:c>
      <x:c r="B19" s="58" t="str">
        <x:v>S15_JKH</x:v>
      </x:c>
      <x:c r="C19" s="58" t="str">
        <x:v>independent_validation</x:v>
      </x:c>
      <x:c r="D19" s="58" t="str">
        <x:v>locked_not_evaluated</x:v>
      </x:c>
      <x:c r="E19" s="58" t="str">
        <x:v>usable_both</x:v>
      </x:c>
      <x:c r="F19" s="58" t="n">
        <x:v>5.524000000000086</x:v>
      </x:c>
      <x:c r="G19" s="58" t="n">
        <x:v>199.3360000000001</x:v>
      </x:c>
      <x:c r="H19" s="58" t="n">
        <x:v>193.812</x:v>
      </x:c>
      <x:c r="I19" s="58" t="n">
        <x:v>234.2160000000001</x:v>
      </x:c>
      <x:c r="J19" s="58" t="n">
        <x:v>599.1800000000001</x:v>
      </x:c>
      <x:c r="K19" s="58" t="n">
        <x:v>364.964</x:v>
      </x:c>
      <x:c r="L19" s="58" t="str">
        <x:v>pass</x:v>
      </x:c>
      <x:c r="M19" s="58" t="str">
        <x:v>pass</x:v>
      </x:c>
      <x:c r="N19" s="59" t="str">
        <x:v>기존 전수검사 M01-M04 유지</x:v>
      </x:c>
    </x:row>
    <x:row r="20">
      <x:c r="A20" s="57" t="n">
        <x:v>16</x:v>
      </x:c>
      <x:c r="B20" s="58" t="str">
        <x:v>S16_LJH</x:v>
      </x:c>
      <x:c r="C20" s="58" t="str">
        <x:v>independent_validation</x:v>
      </x:c>
      <x:c r="D20" s="58" t="str">
        <x:v>locked_not_evaluated</x:v>
      </x:c>
      <x:c r="E20" s="58" t="str">
        <x:v>usable_both</x:v>
      </x:c>
      <x:c r="F20" s="58" t="n">
        <x:v>12.91600000000005</x:v>
      </x:c>
      <x:c r="G20" s="58" t="n">
        <x:v>206.04400000000004</x:v>
      </x:c>
      <x:c r="H20" s="58" t="n">
        <x:v>193.128</x:v>
      </x:c>
      <x:c r="I20" s="58" t="n">
        <x:v>282.012</x:v>
      </x:c>
      <x:c r="J20" s="58" t="n">
        <x:v>654.944</x:v>
      </x:c>
      <x:c r="K20" s="58" t="n">
        <x:v>372.932</x:v>
      </x:c>
      <x:c r="L20" s="58" t="str">
        <x:v>pass</x:v>
      </x:c>
      <x:c r="M20" s="58" t="str">
        <x:v>pass</x:v>
      </x:c>
      <x:c r="N20" s="59" t="str">
        <x:v>기존 M04=759.140 대신 원후보 654.944 채택</x:v>
      </x:c>
    </x:row>
    <x:row r="21">
      <x:c r="A21" s="57" t="n">
        <x:v>17</x:v>
      </x:c>
      <x:c r="B21" s="58" t="str">
        <x:v>S17_RJS</x:v>
      </x:c>
      <x:c r="C21" s="58" t="str">
        <x:v>development</x:v>
      </x:c>
      <x:c r="D21" s="58" t="str">
        <x:v>already_seen</x:v>
      </x:c>
      <x:c r="E21" s="58" t="str">
        <x:v>usable_both</x:v>
      </x:c>
      <x:c r="F21" s="58" t="n">
        <x:v>15.872500000000063</x:v>
      </x:c>
      <x:c r="G21" s="58" t="n">
        <x:v>209.80933300000004</x:v>
      </x:c>
      <x:c r="H21" s="58" t="n">
        <x:v>193.937</x:v>
      </x:c>
      <x:c r="I21" s="58" t="n">
        <x:v>232.94600000000005</x:v>
      </x:c>
      <x:c r="J21" s="58" t="n">
        <x:v>604.3144</x:v>
      </x:c>
      <x:c r="K21" s="58" t="n">
        <x:v>371.368</x:v>
      </x:c>
      <x:c r="L21" s="58" t="str">
        <x:v>pass</x:v>
      </x:c>
      <x:c r="M21" s="58" t="str">
        <x:v>pass</x:v>
      </x:c>
      <x:c r="N21" s="59" t="str">
        <x:v>기존 전수검사 M01-M04 유지</x:v>
      </x:c>
    </x:row>
    <x:row r="22">
      <x:c r="A22" s="57" t="n">
        <x:v>18</x:v>
      </x:c>
      <x:c r="B22" s="58" t="str">
        <x:v>S18_LJH</x:v>
      </x:c>
      <x:c r="C22" s="58" t="str">
        <x:v>development</x:v>
      </x:c>
      <x:c r="D22" s="58" t="str">
        <x:v>already_seen</x:v>
      </x:c>
      <x:c r="E22" s="58" t="str">
        <x:v>usable_both</x:v>
      </x:c>
      <x:c r="F22" s="58" t="n">
        <x:v>15.296000000000042</x:v>
      </x:c>
      <x:c r="G22" s="58" t="n">
        <x:v>211.68000000000004</x:v>
      </x:c>
      <x:c r="H22" s="58" t="n">
        <x:v>196.384</x:v>
      </x:c>
      <x:c r="I22" s="58" t="n">
        <x:v>231.17600000000004</x:v>
      </x:c>
      <x:c r="J22" s="58" t="n">
        <x:v>603.692</x:v>
      </x:c>
      <x:c r="K22" s="58" t="n">
        <x:v>372.516</x:v>
      </x:c>
      <x:c r="L22" s="58" t="str">
        <x:v>pass</x:v>
      </x:c>
      <x:c r="M22" s="58" t="str">
        <x:v>pass</x:v>
      </x:c>
      <x:c r="N22" s="59" t="str">
        <x:v>기존 전수검사 M01-M04 유지</x:v>
      </x:c>
    </x:row>
    <x:row r="23">
      <x:c r="A23" s="57" t="n">
        <x:v>19</x:v>
      </x:c>
      <x:c r="B23" s="58" t="str">
        <x:v>S19_CHW</x:v>
      </x:c>
      <x:c r="C23" s="58" t="str">
        <x:v>development</x:v>
      </x:c>
      <x:c r="D23" s="58" t="str">
        <x:v>already_seen</x:v>
      </x:c>
      <x:c r="E23" s="58" t="str">
        <x:v>usable_both</x:v>
      </x:c>
      <x:c r="F23" s="58" t="n">
        <x:v>19.82800000000003</x:v>
      </x:c>
      <x:c r="G23" s="58" t="n">
        <x:v>215.90000000000003</x:v>
      </x:c>
      <x:c r="H23" s="58" t="n">
        <x:v>196.072</x:v>
      </x:c>
      <x:c r="I23" s="58" t="n">
        <x:v>272.07200000000006</x:v>
      </x:c>
      <x:c r="J23" s="58" t="n">
        <x:v>662.052</x:v>
      </x:c>
      <x:c r="K23" s="58" t="n">
        <x:v>389.98</x:v>
      </x:c>
      <x:c r="L23" s="58" t="str">
        <x:v>pass</x:v>
      </x:c>
      <x:c r="M23" s="58" t="str">
        <x:v>pass</x:v>
      </x:c>
      <x:c r="N23" s="59" t="str">
        <x:v>기존 전수검사 M01-M04 유지</x:v>
      </x:c>
    </x:row>
    <x:row r="24">
      <x:c r="A24" s="57" t="n">
        <x:v>20</x:v>
      </x:c>
      <x:c r="B24" s="58" t="str">
        <x:v>S20_YSE</x:v>
      </x:c>
      <x:c r="C24" s="58" t="str">
        <x:v>independent_validation</x:v>
      </x:c>
      <x:c r="D24" s="58" t="str">
        <x:v>locked_not_evaluated</x:v>
      </x:c>
      <x:c r="E24" s="58" t="str">
        <x:v>usable_both</x:v>
      </x:c>
      <x:c r="F24" s="58" t="n">
        <x:v>11.204000000000049</x:v>
      </x:c>
      <x:c r="G24" s="58" t="n">
        <x:v>207.54800000000006</x:v>
      </x:c>
      <x:c r="H24" s="58" t="n">
        <x:v>196.344</x:v>
      </x:c>
      <x:c r="I24" s="58" t="n">
        <x:v>229.71200000000005</x:v>
      </x:c>
      <x:c r="J24" s="58" t="n">
        <x:v>600.7440000000001</x:v>
      </x:c>
      <x:c r="K24" s="58" t="n">
        <x:v>371.032</x:v>
      </x:c>
      <x:c r="L24" s="58" t="str">
        <x:v>pass</x:v>
      </x:c>
      <x:c r="M24" s="58" t="str">
        <x:v>pass</x:v>
      </x:c>
      <x:c r="N24" s="59" t="str">
        <x:v>기존 전수검사 M01-M04 유지</x:v>
      </x:c>
    </x:row>
    <x:row r="25">
      <x:c r="A25" s="57" t="n">
        <x:v>21</x:v>
      </x:c>
      <x:c r="B25" s="58" t="str">
        <x:v>S21_PSJ</x:v>
      </x:c>
      <x:c r="C25" s="58" t="str">
        <x:v>development</x:v>
      </x:c>
      <x:c r="D25" s="58" t="str">
        <x:v>already_seen</x:v>
      </x:c>
      <x:c r="E25" s="58" t="str">
        <x:v>usable_both</x:v>
      </x:c>
      <x:c r="F25" s="58" t="n">
        <x:v>19.952000000000034</x:v>
      </x:c>
      <x:c r="G25" s="58" t="n">
        <x:v>214.06000000000003</x:v>
      </x:c>
      <x:c r="H25" s="58" t="n">
        <x:v>194.108</x:v>
      </x:c>
      <x:c r="I25" s="58" t="n">
        <x:v>235.40400000000005</x:v>
      </x:c>
      <x:c r="J25" s="58" t="n">
        <x:v>612.2120000000001</x:v>
      </x:c>
      <x:c r="K25" s="58" t="n">
        <x:v>376.808</x:v>
      </x:c>
      <x:c r="L25" s="58" t="str">
        <x:v>pass</x:v>
      </x:c>
      <x:c r="M25" s="58" t="str">
        <x:v>pass</x:v>
      </x:c>
      <x:c r="N25" s="59" t="str">
        <x:v>기존 전수검사 M01-M04 유지</x:v>
      </x:c>
    </x:row>
    <x:row r="26">
      <x:c r="A26" s="57" t="n">
        <x:v>22</x:v>
      </x:c>
      <x:c r="B26" s="58" t="str">
        <x:v>S22_KJH</x:v>
      </x:c>
      <x:c r="C26" s="58" t="str">
        <x:v>partial_review</x:v>
      </x:c>
      <x:c r="D26" s="58" t="str">
        <x:v>not_applicable</x:v>
      </x:c>
      <x:c r="E26" s="58" t="str">
        <x:v>partial_review</x:v>
      </x:c>
      <x:c r="F26" s="58" t="str"/>
      <x:c r="G26" s="58" t="n">
        <x:v>222.04</x:v>
      </x:c>
      <x:c r="H26" s="58" t="str"/>
      <x:c r="I26" s="58" t="n">
        <x:v>304.812</x:v>
      </x:c>
      <x:c r="J26" s="58" t="n">
        <x:v>681.412</x:v>
      </x:c>
      <x:c r="K26" s="58" t="n">
        <x:v>376.6</x:v>
      </x:c>
      <x:c r="L26" s="58" t="str">
        <x:v>missing</x:v>
      </x:c>
      <x:c r="M26" s="58" t="str">
        <x:v>pass</x:v>
      </x:c>
      <x:c r="N26" s="59" t="str">
        <x:v>M01 누락; S02는 M03=304.812 후보 기준 376.6초</x:v>
      </x:c>
    </x:row>
    <x:row r="27">
      <x:c r="A27" s="57" t="n">
        <x:v>23</x:v>
      </x:c>
      <x:c r="B27" s="58" t="str">
        <x:v>S23_KDM</x:v>
      </x:c>
      <x:c r="C27" s="58" t="str">
        <x:v>development</x:v>
      </x:c>
      <x:c r="D27" s="58" t="str">
        <x:v>already_seen</x:v>
      </x:c>
      <x:c r="E27" s="58" t="str">
        <x:v>usable_both</x:v>
      </x:c>
      <x:c r="F27" s="58" t="n">
        <x:v>17.03200000000001</x:v>
      </x:c>
      <x:c r="G27" s="58" t="n">
        <x:v>212.8</x:v>
      </x:c>
      <x:c r="H27" s="58" t="n">
        <x:v>195.768</x:v>
      </x:c>
      <x:c r="I27" s="58" t="n">
        <x:v>229.692</x:v>
      </x:c>
      <x:c r="J27" s="58" t="n">
        <x:v>603.5240000000001</x:v>
      </x:c>
      <x:c r="K27" s="58" t="n">
        <x:v>373.832</x:v>
      </x:c>
      <x:c r="L27" s="58" t="str">
        <x:v>pass</x:v>
      </x:c>
      <x:c r="M27" s="58" t="str">
        <x:v>pass</x:v>
      </x:c>
      <x:c r="N27" s="59" t="str">
        <x:v>기존 전수검사 M01-M04 유지</x:v>
      </x:c>
    </x:row>
    <x:row r="28">
      <x:c r="A28" s="57" t="n">
        <x:v>24</x:v>
      </x:c>
      <x:c r="B28" s="58" t="str">
        <x:v>S24_KHJ</x:v>
      </x:c>
      <x:c r="C28" s="58" t="str">
        <x:v>excluded</x:v>
      </x:c>
      <x:c r="D28" s="58" t="str">
        <x:v>not_applicable</x:v>
      </x:c>
      <x:c r="E28" s="58" t="str">
        <x:v>excluded</x:v>
      </x:c>
      <x:c r="F28" s="58" t="str"/>
      <x:c r="G28" s="58" t="str"/>
      <x:c r="H28" s="58" t="str"/>
      <x:c r="I28" s="58" t="str"/>
      <x:c r="J28" s="58" t="str"/>
      <x:c r="K28" s="58" t="str"/>
      <x:c r="L28" s="58" t="str">
        <x:v>missing</x:v>
      </x:c>
      <x:c r="M28" s="58" t="str">
        <x:v>missing</x:v>
      </x:c>
      <x:c r="N28" s="59" t="str">
        <x:v>UWB 원본 누락</x:v>
      </x:c>
    </x:row>
    <x:row r="29">
      <x:c r="A29" s="57" t="n">
        <x:v>25</x:v>
      </x:c>
      <x:c r="B29" s="58" t="str">
        <x:v>S25_GEC</x:v>
      </x:c>
      <x:c r="C29" s="58" t="str">
        <x:v>independent_validation</x:v>
      </x:c>
      <x:c r="D29" s="58" t="str">
        <x:v>locked_not_evaluated</x:v>
      </x:c>
      <x:c r="E29" s="58" t="str">
        <x:v>usable_both</x:v>
      </x:c>
      <x:c r="F29" s="58" t="n">
        <x:v>19</x:v>
      </x:c>
      <x:c r="G29" s="58" t="n">
        <x:v>216.6</x:v>
      </x:c>
      <x:c r="H29" s="58" t="n">
        <x:v>197.6</x:v>
      </x:c>
      <x:c r="I29" s="58" t="n">
        <x:v>237</x:v>
      </x:c>
      <x:c r="J29" s="58" t="n">
        <x:v>611.8</x:v>
      </x:c>
      <x:c r="K29" s="58" t="n">
        <x:v>374.8</x:v>
      </x:c>
      <x:c r="L29" s="58" t="str">
        <x:v>pass</x:v>
      </x:c>
      <x:c r="M29" s="58" t="str">
        <x:v>pass</x:v>
      </x:c>
      <x:c r="N29" s="59" t="str">
        <x:v>기존 전수검사 M01-M04 유지</x:v>
      </x:c>
    </x:row>
    <x:row r="30">
      <x:c r="A30" s="57" t="n">
        <x:v>26</x:v>
      </x:c>
      <x:c r="B30" s="58" t="str">
        <x:v>S26_LDW</x:v>
      </x:c>
      <x:c r="C30" s="58" t="str">
        <x:v>development</x:v>
      </x:c>
      <x:c r="D30" s="58" t="str">
        <x:v>already_seen</x:v>
      </x:c>
      <x:c r="E30" s="58" t="str">
        <x:v>usable_both</x:v>
      </x:c>
      <x:c r="F30" s="58" t="n">
        <x:v>12.588000000000042</x:v>
      </x:c>
      <x:c r="G30" s="58" t="n">
        <x:v>206.84400000000005</x:v>
      </x:c>
      <x:c r="H30" s="58" t="n">
        <x:v>194.256</x:v>
      </x:c>
      <x:c r="I30" s="58" t="n">
        <x:v>257.132</x:v>
      </x:c>
      <x:c r="J30" s="58" t="n">
        <x:v>633.0600000000001</x:v>
      </x:c>
      <x:c r="K30" s="58" t="n">
        <x:v>375.928</x:v>
      </x:c>
      <x:c r="L30" s="58" t="str">
        <x:v>pass</x:v>
      </x:c>
      <x:c r="M30" s="58" t="str">
        <x:v>pass</x:v>
      </x:c>
      <x:c r="N30" s="59" t="str">
        <x:v>기존 전수검사 M01-M04 유지</x:v>
      </x:c>
    </x:row>
    <x:row r="31">
      <x:c r="A31" s="57" t="n">
        <x:v>27</x:v>
      </x:c>
      <x:c r="B31" s="58" t="str">
        <x:v>S27_HDH</x:v>
      </x:c>
      <x:c r="C31" s="58" t="str">
        <x:v>independent_validation</x:v>
      </x:c>
      <x:c r="D31" s="58" t="str">
        <x:v>locked_not_evaluated</x:v>
      </x:c>
      <x:c r="E31" s="58" t="str">
        <x:v>usable_both</x:v>
      </x:c>
      <x:c r="F31" s="58" t="n">
        <x:v>6.2</x:v>
      </x:c>
      <x:c r="G31" s="58" t="n">
        <x:v>198.3</x:v>
      </x:c>
      <x:c r="H31" s="58" t="n">
        <x:v>192.1</x:v>
      </x:c>
      <x:c r="I31" s="58" t="n">
        <x:v>221.1</x:v>
      </x:c>
      <x:c r="J31" s="58" t="n">
        <x:v>596.9</x:v>
      </x:c>
      <x:c r="K31" s="58" t="n">
        <x:v>375.8</x:v>
      </x:c>
      <x:c r="L31" s="58" t="str">
        <x:v>pass</x:v>
      </x:c>
      <x:c r="M31" s="58" t="str">
        <x:v>pass</x:v>
      </x:c>
      <x:c r="N31" s="59" t="str">
        <x:v>기존 전수검사 M01-M04 유지</x:v>
      </x:c>
    </x:row>
    <x:row r="32">
      <x:c r="A32" s="57" t="n">
        <x:v>28</x:v>
      </x:c>
      <x:c r="B32" s="58" t="str">
        <x:v>S28_KDH</x:v>
      </x:c>
      <x:c r="C32" s="58" t="str">
        <x:v>development</x:v>
      </x:c>
      <x:c r="D32" s="58" t="str">
        <x:v>already_seen</x:v>
      </x:c>
      <x:c r="E32" s="58" t="str">
        <x:v>usable_both</x:v>
      </x:c>
      <x:c r="F32" s="58" t="n">
        <x:v>14.424000000000055</x:v>
      </x:c>
      <x:c r="G32" s="58" t="n">
        <x:v>207.58000000000004</x:v>
      </x:c>
      <x:c r="H32" s="58" t="n">
        <x:v>193.156</x:v>
      </x:c>
      <x:c r="I32" s="58" t="n">
        <x:v>238.92400000000004</x:v>
      </x:c>
      <x:c r="J32" s="58" t="n">
        <x:v>616.316</x:v>
      </x:c>
      <x:c r="K32" s="58" t="n">
        <x:v>377.392</x:v>
      </x:c>
      <x:c r="L32" s="58" t="str">
        <x:v>pass</x:v>
      </x:c>
      <x:c r="M32" s="58" t="str">
        <x:v>pass</x:v>
      </x:c>
      <x:c r="N32" s="59" t="str">
        <x:v>기존 전수검사 M01-M04 유지</x:v>
      </x:c>
    </x:row>
    <x:row r="33">
      <x:c r="A33" s="57" t="n">
        <x:v>29</x:v>
      </x:c>
      <x:c r="B33" s="58" t="str">
        <x:v>S29_LHS</x:v>
      </x:c>
      <x:c r="C33" s="58" t="str">
        <x:v>independent_validation</x:v>
      </x:c>
      <x:c r="D33" s="58" t="str">
        <x:v>locked_not_evaluated</x:v>
      </x:c>
      <x:c r="E33" s="58" t="str">
        <x:v>usable_both</x:v>
      </x:c>
      <x:c r="F33" s="58" t="n">
        <x:v>17.784</x:v>
      </x:c>
      <x:c r="G33" s="58" t="n">
        <x:v>209.824</x:v>
      </x:c>
      <x:c r="H33" s="58" t="n">
        <x:v>192.04</x:v>
      </x:c>
      <x:c r="I33" s="58" t="n">
        <x:v>232.384</x:v>
      </x:c>
      <x:c r="J33" s="58" t="n">
        <x:v>606.668</x:v>
      </x:c>
      <x:c r="K33" s="58" t="n">
        <x:v>374.284</x:v>
      </x:c>
      <x:c r="L33" s="58" t="str">
        <x:v>pass</x:v>
      </x:c>
      <x:c r="M33" s="58" t="str">
        <x:v>pass</x:v>
      </x:c>
      <x:c r="N33" s="59" t="str">
        <x:v>기존 전수검사 M01-M04 유지</x:v>
      </x:c>
    </x:row>
    <x:row r="34">
      <x:c r="A34" s="60" t="n">
        <x:v>30</x:v>
      </x:c>
      <x:c r="B34" s="61" t="str">
        <x:v>S30_SJE</x:v>
      </x:c>
      <x:c r="C34" s="61" t="str">
        <x:v>independent_validation</x:v>
      </x:c>
      <x:c r="D34" s="61" t="str">
        <x:v>locked_not_evaluated</x:v>
      </x:c>
      <x:c r="E34" s="61" t="str">
        <x:v>usable_both</x:v>
      </x:c>
      <x:c r="F34" s="61" t="n">
        <x:v>6.45</x:v>
      </x:c>
      <x:c r="G34" s="61" t="n">
        <x:v>192.15</x:v>
      </x:c>
      <x:c r="H34" s="61" t="n">
        <x:v>185.7</x:v>
      </x:c>
      <x:c r="I34" s="61" t="n">
        <x:v>237.275</x:v>
      </x:c>
      <x:c r="J34" s="61" t="n">
        <x:v>620.125</x:v>
      </x:c>
      <x:c r="K34" s="61" t="n">
        <x:v>382.85</x:v>
      </x:c>
      <x:c r="L34" s="61" t="str">
        <x:v>pass</x:v>
      </x:c>
      <x:c r="M34" s="61" t="str">
        <x:v>pass</x:v>
      </x:c>
      <x:c r="N34" s="62" t="str">
        <x:v>기존 전수검사 M01-M04 유지</x:v>
      </x:c>
    </x:row>
  </x:sheetData>
  <x:mergeCells>
    <x:mergeCell ref="A1:N1"/>
    <x:mergeCell ref="A2:N2"/>
  </x:mergeCells>
  <x:conditionalFormatting sqref="C5:C34">
    <x:cfRule type="containsText" dxfId="0" priority="1" operator="containsText" text="development"/>
    <x:cfRule type="containsText" dxfId="1" priority="2" operator="containsText" text="independent_validation"/>
    <x:cfRule type="containsText" dxfId="2" priority="3" operator="containsText" text="partial_review"/>
  </x:conditionalFormatting>
  <x:pageMargins left="0.7" right="0.7" top="0.75" bottom="0.75" header="0.3" footer="0.3"/>
  <x:tableParts count="1">
    <x:tablePart xmlns:r="http://schemas.openxmlformats.org/officeDocument/2006/relationships" r:id="R3c46485525c648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2" hidden="0" customWidth="1"/>
    <x:col min="23" max="23" width="9" hidden="0" customWidth="1"/>
    <x:col min="24" max="24" width="14" hidden="0" customWidth="1"/>
    <x:col min="25" max="25" width="14" hidden="0" customWidth="1"/>
    <x:col min="26" max="26" width="16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</x:cols>
  <x:sheetData>
    <x:row r="1" ht="34" customHeight="1">
      <x:c r="A1" s="3" t="str">
        <x:v>개발군 구간별 호흡수 결과</x:v>
      </x:c>
    </x:row>
    <x:row r="2" ht="26" customHeight="1">
      <x:c r="A2" s="7" t="str">
        <x:v>SQUAT은 호흡수 평가에서 제외하고 움직임 거절 성능만 평가합니다.</x:v>
      </x:c>
    </x:row>
    <x:row r="4" ht="28" customHeight="1">
      <x:c r="A4" s="63" t="str">
        <x:v>subject</x:v>
      </x:c>
      <x:c r="B4" s="64" t="str">
        <x:v>experiment</x:v>
      </x:c>
      <x:c r="C4" s="64" t="str">
        <x:v>state</x:v>
      </x:c>
      <x:c r="D4" s="64" t="str">
        <x:v>nominal_facing_radar</x:v>
      </x:c>
      <x:c r="E4" s="64" t="str">
        <x:v>start_s</x:v>
      </x:c>
      <x:c r="F4" s="64" t="str">
        <x:v>end_s</x:v>
      </x:c>
      <x:c r="G4" s="64" t="str">
        <x:v>duration_s</x:v>
      </x:c>
      <x:c r="H4" s="64" t="str">
        <x:v>rsp_rr_bpm</x:v>
      </x:c>
      <x:c r="I4" s="64" t="str">
        <x:v>radar1_rr_bpm</x:v>
      </x:c>
      <x:c r="J4" s="64" t="str">
        <x:v>radar2_rr_bpm</x:v>
      </x:c>
      <x:c r="K4" s="64" t="str">
        <x:v>radar3_rr_bpm</x:v>
      </x:c>
      <x:c r="L4" s="64" t="str">
        <x:v>radar1_primary_rr_bpm</x:v>
      </x:c>
      <x:c r="M4" s="64" t="str">
        <x:v>radar2_primary_rr_bpm</x:v>
      </x:c>
      <x:c r="N4" s="64" t="str">
        <x:v>radar3_primary_rr_bpm</x:v>
      </x:c>
      <x:c r="O4" s="64" t="str">
        <x:v>quality_best_radar</x:v>
      </x:c>
      <x:c r="P4" s="64" t="str">
        <x:v>quality_best_rr_bpm</x:v>
      </x:c>
      <x:c r="Q4" s="64" t="str">
        <x:v>consensus_rr_bpm</x:v>
      </x:c>
      <x:c r="R4" s="64" t="str">
        <x:v>radar_rr_mad_bpm</x:v>
      </x:c>
      <x:c r="S4" s="64" t="str">
        <x:v>edge_quality</x:v>
      </x:c>
      <x:c r="T4" s="64" t="str">
        <x:v>motion_quality</x:v>
      </x:c>
      <x:c r="U4" s="64" t="str">
        <x:v>max_motion_index</x:v>
      </x:c>
      <x:c r="V4" s="64" t="str">
        <x:v>confidence</x:v>
      </x:c>
      <x:c r="W4" s="64" t="str">
        <x:v>reject</x:v>
      </x:c>
      <x:c r="X4" s="64" t="str">
        <x:v>rr_abs_error</x:v>
      </x:c>
      <x:c r="Y4" s="64" t="str">
        <x:v>oracle_abs_error</x:v>
      </x:c>
      <x:c r="Z4" s="64" t="str">
        <x:v>waveform_abs_corr</x:v>
      </x:c>
      <x:c r="AA4" s="64" t="str">
        <x:v>median_motion_index</x:v>
      </x:c>
      <x:c r="AB4" s="64" t="str">
        <x:v>rr_evaluable</x:v>
      </x:c>
      <x:c r="AC4" s="64" t="str">
        <x:v>accepted_for_rr</x:v>
      </x:c>
      <x:c r="AD4" s="64" t="str">
        <x:v>accepted_error</x:v>
      </x:c>
      <x:c r="AE4" s="64" t="str">
        <x:v>all_error</x:v>
      </x:c>
      <x:c r="AF4" s="65" t="str">
        <x:v>within2</x:v>
      </x:c>
    </x:row>
    <x:row r="5">
      <x:c r="A5" s="57" t="str">
        <x:v>S07_KDM</x:v>
      </x:c>
      <x:c r="B5" s="58" t="str">
        <x:v>S01</x:v>
      </x:c>
      <x:c r="C5" s="58" t="str">
        <x:v>FACE_R1</x:v>
      </x:c>
      <x:c r="D5" s="58" t="n">
        <x:v>1</x:v>
      </x:c>
      <x:c r="E5" s="58" t="n">
        <x:v>30.459</x:v>
      </x:c>
      <x:c r="F5" s="58" t="n">
        <x:v>79.4</x:v>
      </x:c>
      <x:c r="G5" s="58" t="n">
        <x:v>48.941</x:v>
      </x:c>
      <x:c r="H5" s="58" t="n">
        <x:v>11.53736799776929</x:v>
      </x:c>
      <x:c r="I5" s="58" t="n">
        <x:v>11.655899954332392</x:v>
      </x:c>
      <x:c r="J5" s="58" t="n">
        <x:v>11.535087936992198</x:v>
      </x:c>
      <x:c r="K5" s="58" t="n">
        <x:v>11.554221620628429</x:v>
      </x:c>
      <x:c r="L5" s="58" t="n">
        <x:v>11.674359256413377</x:v>
      </x:c>
      <x:c r="M5" s="58" t="n">
        <x:v>11.62501411051052</x:v>
      </x:c>
      <x:c r="N5" s="58" t="n">
        <x:v>11.64195071242637</x:v>
      </x:c>
      <x:c r="O5" s="58" t="n">
        <x:v>2</x:v>
      </x:c>
      <x:c r="P5" s="58" t="n">
        <x:v>11.535087936992198</x:v>
      </x:c>
      <x:c r="Q5" s="58" t="n">
        <x:v>11.554221620628429</x:v>
      </x:c>
      <x:c r="R5" s="58" t="n">
        <x:v>0.01913368363623036</x:v>
      </x:c>
      <x:c r="S5" s="58" t="n">
        <x:v>1</x:v>
      </x:c>
      <x:c r="T5" s="58" t="n">
        <x:v>1</x:v>
      </x:c>
      <x:c r="U5" s="58" t="n">
        <x:v>0.030606468573093983</x:v>
      </x:c>
      <x:c r="V5" s="58" t="str">
        <x:v>0.8741543844593515</x:v>
      </x:c>
      <x:c r="W5" s="58" t="n">
        <x:v>0</x:v>
      </x:c>
      <x:c r="X5" s="58" t="n">
        <x:v>0.016853622859139605</x:v>
      </x:c>
      <x:c r="Y5" s="58" t="n">
        <x:v>0.0022800607770907533</x:v>
      </x:c>
      <x:c r="Z5" s="58" t="n">
        <x:v>0.9687462465201399</x:v>
      </x:c>
      <x:c r="AA5" s="58" t="n">
        <x:v>0.030066882285210903</x:v>
      </x:c>
      <x:c r="AB5" s="58" t="n">
        <x:f>IF(C5="SQUAT",0,1)</x:f>
        <x:v>1</x:v>
      </x:c>
      <x:c r="AC5" s="58" t="n">
        <x:f>IF(AND(AB5=1,W5=0),1,0)</x:f>
        <x:v>1</x:v>
      </x:c>
      <x:c r="AD5" s="58" t="n">
        <x:f>IF(AC5=1,X5,"")</x:f>
        <x:v>0.016853622859139605</x:v>
      </x:c>
      <x:c r="AE5" s="58" t="n">
        <x:f>IF(AB5=1,X5,"")</x:f>
        <x:v>0.016853622859139605</x:v>
      </x:c>
      <x:c r="AF5" s="59" t="n">
        <x:f>IF(AB5=1,IF(X5&lt;=2,1,0),"")</x:f>
        <x:v>1</x:v>
      </x:c>
    </x:row>
    <x:row r="6">
      <x:c r="A6" s="57" t="str">
        <x:v>S07_KDM</x:v>
      </x:c>
      <x:c r="B6" s="58" t="str">
        <x:v>S01</x:v>
      </x:c>
      <x:c r="C6" s="58" t="str">
        <x:v>FACE_R2</x:v>
      </x:c>
      <x:c r="D6" s="58" t="n">
        <x:v>2</x:v>
      </x:c>
      <x:c r="E6" s="58" t="n">
        <x:v>89.4</x:v>
      </x:c>
      <x:c r="F6" s="58" t="n">
        <x:v>141.3</x:v>
      </x:c>
      <x:c r="G6" s="58" t="n">
        <x:v>51.9</x:v>
      </x:c>
      <x:c r="H6" s="58" t="n">
        <x:v>17.2789657455842</x:v>
      </x:c>
      <x:c r="I6" s="58" t="n">
        <x:v>16.952713572034632</x:v>
      </x:c>
      <x:c r="J6" s="58" t="n">
        <x:v>17.04348355862716</x:v>
      </x:c>
      <x:c r="K6" s="58" t="n">
        <x:v>16.87143726587806</x:v>
      </x:c>
      <x:c r="L6" s="58" t="n">
        <x:v>16.982492146348886</x:v>
      </x:c>
      <x:c r="M6" s="58" t="n">
        <x:v>17.21688947771315</x:v>
      </x:c>
      <x:c r="N6" s="58" t="n">
        <x:v>16.790587485144968</x:v>
      </x:c>
      <x:c r="O6" s="58" t="n">
        <x:v>1</x:v>
      </x:c>
      <x:c r="P6" s="58" t="n">
        <x:v>16.952713572034632</x:v>
      </x:c>
      <x:c r="Q6" s="58" t="n">
        <x:v>16.952713572034632</x:v>
      </x:c>
      <x:c r="R6" s="58" t="n">
        <x:v>0.08127630615657111</x:v>
      </x:c>
      <x:c r="S6" s="58" t="n">
        <x:v>1</x:v>
      </x:c>
      <x:c r="T6" s="58" t="n">
        <x:v>1</x:v>
      </x:c>
      <x:c r="U6" s="58" t="n">
        <x:v>0.029611613500613445</x:v>
      </x:c>
      <x:c r="V6" s="58" t="str">
        <x:v>0.8486230480034661</x:v>
      </x:c>
      <x:c r="W6" s="58" t="n">
        <x:v>0</x:v>
      </x:c>
      <x:c r="X6" s="58" t="n">
        <x:v>0.32625217354956604</x:v>
      </x:c>
      <x:c r="Y6" s="58" t="n">
        <x:v>0.23548218695703937</x:v>
      </x:c>
      <x:c r="Z6" s="58" t="n">
        <x:v>0.8561604306077043</x:v>
      </x:c>
      <x:c r="AA6" s="58" t="n">
        <x:v>0.028282656098357093</x:v>
      </x:c>
      <x:c r="AB6" s="58" t="n">
        <x:f>IF(C6="SQUAT",0,1)</x:f>
        <x:v>1</x:v>
      </x:c>
      <x:c r="AC6" s="58" t="n">
        <x:f>IF(AND(AB6=1,W6=0),1,0)</x:f>
        <x:v>1</x:v>
      </x:c>
      <x:c r="AD6" s="58" t="n">
        <x:f>IF(AC6=1,X6,"")</x:f>
        <x:v>0.32625217354956604</x:v>
      </x:c>
      <x:c r="AE6" s="58" t="n">
        <x:f>IF(AB6=1,X6,"")</x:f>
        <x:v>0.32625217354956604</x:v>
      </x:c>
      <x:c r="AF6" s="59" t="n">
        <x:f>IF(AB6=1,IF(X6&lt;=2,1,0),"")</x:f>
        <x:v>1</x:v>
      </x:c>
    </x:row>
    <x:row r="7">
      <x:c r="A7" s="57" t="str">
        <x:v>S07_KDM</x:v>
      </x:c>
      <x:c r="B7" s="58" t="str">
        <x:v>S01</x:v>
      </x:c>
      <x:c r="C7" s="58" t="str">
        <x:v>FACE_R3</x:v>
      </x:c>
      <x:c r="D7" s="58" t="n">
        <x:v>3</x:v>
      </x:c>
      <x:c r="E7" s="58" t="n">
        <x:v>151.3</x:v>
      </x:c>
      <x:c r="F7" s="58" t="n">
        <x:v>209.345</x:v>
      </x:c>
      <x:c r="G7" s="58" t="n">
        <x:v>58.045</x:v>
      </x:c>
      <x:c r="H7" s="58" t="n">
        <x:v>11.208947016784547</x:v>
      </x:c>
      <x:c r="I7" s="58" t="n">
        <x:v>12.306798081088514</x:v>
      </x:c>
      <x:c r="J7" s="58" t="n">
        <x:v>11.120985395823903</x:v>
      </x:c>
      <x:c r="K7" s="58" t="n">
        <x:v>11.051200733637108</x:v>
      </x:c>
      <x:c r="L7" s="58" t="n">
        <x:v>11.553487611017237</x:v>
      </x:c>
      <x:c r="M7" s="58" t="n">
        <x:v>11.267907920758558</x:v>
      </x:c>
      <x:c r="N7" s="58" t="n">
        <x:v>10.88161298185075</x:v>
      </x:c>
      <x:c r="O7" s="58" t="n">
        <x:v>2</x:v>
      </x:c>
      <x:c r="P7" s="58" t="n">
        <x:v>11.120985395823903</x:v>
      </x:c>
      <x:c r="Q7" s="58" t="n">
        <x:v>11.120985395823903</x:v>
      </x:c>
      <x:c r="R7" s="58" t="n">
        <x:v>0.06978466218679458</x:v>
      </x:c>
      <x:c r="S7" s="58" t="n">
        <x:v>1</x:v>
      </x:c>
      <x:c r="T7" s="58" t="n">
        <x:v>1</x:v>
      </x:c>
      <x:c r="U7" s="58" t="n">
        <x:v>0.031198889952222655</x:v>
      </x:c>
      <x:c r="V7" s="58" t="str">
        <x:v>0.8650405018405339</x:v>
      </x:c>
      <x:c r="W7" s="58" t="n">
        <x:v>0</x:v>
      </x:c>
      <x:c r="X7" s="58" t="n">
        <x:v>0.08796162096064464</x:v>
      </x:c>
      <x:c r="Y7" s="58" t="n">
        <x:v>0.08796162096064464</x:v>
      </x:c>
      <x:c r="Z7" s="58" t="n">
        <x:v>0.5038794782741217</x:v>
      </x:c>
      <x:c r="AA7" s="58" t="n">
        <x:v>0.028120923656700103</x:v>
      </x:c>
      <x:c r="AB7" s="58" t="n">
        <x:f>IF(C7="SQUAT",0,1)</x:f>
        <x:v>1</x:v>
      </x:c>
      <x:c r="AC7" s="58" t="n">
        <x:f>IF(AND(AB7=1,W7=0),1,0)</x:f>
        <x:v>1</x:v>
      </x:c>
      <x:c r="AD7" s="58" t="n">
        <x:f>IF(AC7=1,X7,"")</x:f>
        <x:v>0.08796162096064464</x:v>
      </x:c>
      <x:c r="AE7" s="58" t="n">
        <x:f>IF(AB7=1,X7,"")</x:f>
        <x:v>0.08796162096064464</x:v>
      </x:c>
      <x:c r="AF7" s="59" t="n">
        <x:f>IF(AB7=1,IF(X7&lt;=2,1,0),"")</x:f>
        <x:v>1</x:v>
      </x:c>
    </x:row>
    <x:row r="8">
      <x:c r="A8" s="57" t="str">
        <x:v>S07_KDM</x:v>
      </x:c>
      <x:c r="B8" s="58" t="str">
        <x:v>S02</x:v>
      </x:c>
      <x:c r="C8" s="58" t="str">
        <x:v>NORMAL</x:v>
      </x:c>
      <x:c r="D8" s="58" t="str"/>
      <x:c r="E8" s="58" t="n">
        <x:v>286.189</x:v>
      </x:c>
      <x:c r="F8" s="58" t="n">
        <x:v>336.189</x:v>
      </x:c>
      <x:c r="G8" s="58" t="n">
        <x:v>50</x:v>
      </x:c>
      <x:c r="H8" s="58" t="n">
        <x:v>15.587172268442544</x:v>
      </x:c>
      <x:c r="I8" s="58" t="n">
        <x:v>16.20164724158091</x:v>
      </x:c>
      <x:c r="J8" s="58" t="n">
        <x:v>14.084959786786701</x:v>
      </x:c>
      <x:c r="K8" s="58" t="n">
        <x:v>16.27212675831719</x:v>
      </x:c>
      <x:c r="L8" s="58" t="n">
        <x:v>16.272526510586474</x:v>
      </x:c>
      <x:c r="M8" s="58" t="n">
        <x:v>14.146642825514505</x:v>
      </x:c>
      <x:c r="N8" s="58" t="n">
        <x:v>16.28030935764356</x:v>
      </x:c>
      <x:c r="O8" s="58" t="n">
        <x:v>3</x:v>
      </x:c>
      <x:c r="P8" s="58" t="n">
        <x:v>16.27212675831719</x:v>
      </x:c>
      <x:c r="Q8" s="58" t="n">
        <x:v>16.20164724158091</x:v>
      </x:c>
      <x:c r="R8" s="58" t="n">
        <x:v>0.0704795167362775</x:v>
      </x:c>
      <x:c r="S8" s="58" t="n">
        <x:v>1</x:v>
      </x:c>
      <x:c r="T8" s="58" t="n">
        <x:v>1</x:v>
      </x:c>
      <x:c r="U8" s="58" t="n">
        <x:v>0.031215165356372532</x:v>
      </x:c>
      <x:c r="V8" s="58" t="str">
        <x:v>0.8547197311618137</x:v>
      </x:c>
      <x:c r="W8" s="58" t="n">
        <x:v>0</x:v>
      </x:c>
      <x:c r="X8" s="58" t="n">
        <x:v>0.6144749731383676</x:v>
      </x:c>
      <x:c r="Y8" s="58" t="n">
        <x:v>0.6144749731383676</x:v>
      </x:c>
      <x:c r="Z8" s="58" t="n">
        <x:v>0.6764105409752806</x:v>
      </x:c>
      <x:c r="AA8" s="58" t="n">
        <x:v>0.030431162667533193</x:v>
      </x:c>
      <x:c r="AB8" s="58" t="n">
        <x:f>IF(C8="SQUAT",0,1)</x:f>
        <x:v>1</x:v>
      </x:c>
      <x:c r="AC8" s="58" t="n">
        <x:f>IF(AND(AB8=1,W8=0),1,0)</x:f>
        <x:v>1</x:v>
      </x:c>
      <x:c r="AD8" s="58" t="n">
        <x:f>IF(AC8=1,X8,"")</x:f>
        <x:v>0.6144749731383676</x:v>
      </x:c>
      <x:c r="AE8" s="58" t="n">
        <x:f>IF(AB8=1,X8,"")</x:f>
        <x:v>0.6144749731383676</x:v>
      </x:c>
      <x:c r="AF8" s="59" t="n">
        <x:f>IF(AB8=1,IF(X8&lt;=2,1,0),"")</x:f>
        <x:v>1</x:v>
      </x:c>
    </x:row>
    <x:row r="9">
      <x:c r="A9" s="57" t="str">
        <x:v>S07_KDM</x:v>
      </x:c>
      <x:c r="B9" s="58" t="str">
        <x:v>S02</x:v>
      </x:c>
      <x:c r="C9" s="58" t="str">
        <x:v>SLOW</x:v>
      </x:c>
      <x:c r="D9" s="58" t="str"/>
      <x:c r="E9" s="58" t="n">
        <x:v>346.189</x:v>
      </x:c>
      <x:c r="F9" s="58" t="n">
        <x:v>396.189</x:v>
      </x:c>
      <x:c r="G9" s="58" t="n">
        <x:v>50</x:v>
      </x:c>
      <x:c r="H9" s="58" t="n">
        <x:v>6.021333441228996</x:v>
      </x:c>
      <x:c r="I9" s="58" t="n">
        <x:v>5.920019549095332</x:v>
      </x:c>
      <x:c r="J9" s="58" t="n">
        <x:v>5.931401741550137</x:v>
      </x:c>
      <x:c r="K9" s="58" t="n">
        <x:v>5.97975524890865</x:v>
      </x:c>
      <x:c r="L9" s="58" t="n">
        <x:v>5.864690632534197</x:v>
      </x:c>
      <x:c r="M9" s="58" t="n">
        <x:v>5.893206706718745</x:v>
      </x:c>
      <x:c r="N9" s="58" t="n">
        <x:v>5.94770767995918</x:v>
      </x:c>
      <x:c r="O9" s="58" t="n">
        <x:v>3</x:v>
      </x:c>
      <x:c r="P9" s="58" t="n">
        <x:v>5.97975524890865</x:v>
      </x:c>
      <x:c r="Q9" s="58" t="n">
        <x:v>5.931401741550137</x:v>
      </x:c>
      <x:c r="R9" s="58" t="n">
        <x:v>0.011382192454805207</x:v>
      </x:c>
      <x:c r="S9" s="58" t="n">
        <x:v>0.8062889079613071</x:v>
      </x:c>
      <x:c r="T9" s="58" t="n">
        <x:v>1</x:v>
      </x:c>
      <x:c r="U9" s="58" t="n">
        <x:v>0.031648521387829864</x:v>
      </x:c>
      <x:c r="V9" s="58" t="str">
        <x:v>0.8165209410220492</x:v>
      </x:c>
      <x:c r="W9" s="58" t="n">
        <x:v>0</x:v>
      </x:c>
      <x:c r="X9" s="58" t="n">
        <x:v>0.08993169967885883</x:v>
      </x:c>
      <x:c r="Y9" s="58" t="n">
        <x:v>0.041578192320345764</x:v>
      </x:c>
      <x:c r="Z9" s="58" t="n">
        <x:v>0.9129117493144928</x:v>
      </x:c>
      <x:c r="AA9" s="58" t="n">
        <x:v>0.02900698139730233</x:v>
      </x:c>
      <x:c r="AB9" s="58" t="n">
        <x:f>IF(C9="SQUAT",0,1)</x:f>
        <x:v>1</x:v>
      </x:c>
      <x:c r="AC9" s="58" t="n">
        <x:f>IF(AND(AB9=1,W9=0),1,0)</x:f>
        <x:v>1</x:v>
      </x:c>
      <x:c r="AD9" s="58" t="n">
        <x:f>IF(AC9=1,X9,"")</x:f>
        <x:v>0.08993169967885883</x:v>
      </x:c>
      <x:c r="AE9" s="58" t="n">
        <x:f>IF(AB9=1,X9,"")</x:f>
        <x:v>0.08993169967885883</x:v>
      </x:c>
      <x:c r="AF9" s="59" t="n">
        <x:f>IF(AB9=1,IF(X9&lt;=2,1,0),"")</x:f>
        <x:v>1</x:v>
      </x:c>
    </x:row>
    <x:row r="10">
      <x:c r="A10" s="57" t="str">
        <x:v>S07_KDM</x:v>
      </x:c>
      <x:c r="B10" s="58" t="str">
        <x:v>S02</x:v>
      </x:c>
      <x:c r="C10" s="58" t="str">
        <x:v>POST_HOLD</x:v>
      </x:c>
      <x:c r="D10" s="58" t="str"/>
      <x:c r="E10" s="58" t="n">
        <x:v>436.189</x:v>
      </x:c>
      <x:c r="F10" s="58" t="n">
        <x:v>486.189</x:v>
      </x:c>
      <x:c r="G10" s="58" t="n">
        <x:v>50</x:v>
      </x:c>
      <x:c r="H10" s="58" t="n">
        <x:v>11.412533409133653</x:v>
      </x:c>
      <x:c r="I10" s="58" t="n">
        <x:v>11.500329015469138</x:v>
      </x:c>
      <x:c r="J10" s="58" t="n">
        <x:v>11.726805311663302</x:v>
      </x:c>
      <x:c r="K10" s="58" t="n">
        <x:v>11.282328587183725</x:v>
      </x:c>
      <x:c r="L10" s="58" t="n">
        <x:v>11.313120685257328</x:v>
      </x:c>
      <x:c r="M10" s="58" t="n">
        <x:v>11.889989374123914</x:v>
      </x:c>
      <x:c r="N10" s="58" t="n">
        <x:v>11.277712532957052</x:v>
      </x:c>
      <x:c r="O10" s="58" t="n">
        <x:v>3</x:v>
      </x:c>
      <x:c r="P10" s="58" t="n">
        <x:v>11.282328587183725</x:v>
      </x:c>
      <x:c r="Q10" s="58" t="n">
        <x:v>11.500329015469138</x:v>
      </x:c>
      <x:c r="R10" s="58" t="n">
        <x:v>0.21800042828541244</x:v>
      </x:c>
      <x:c r="S10" s="58" t="n">
        <x:v>1</x:v>
      </x:c>
      <x:c r="T10" s="58" t="n">
        <x:v>1</x:v>
      </x:c>
      <x:c r="U10" s="58" t="n">
        <x:v>0.032211251813532606</x:v>
      </x:c>
      <x:c r="V10" s="58" t="str">
        <x:v>0.8401850863553603</x:v>
      </x:c>
      <x:c r="W10" s="58" t="n">
        <x:v>0</x:v>
      </x:c>
      <x:c r="X10" s="58" t="n">
        <x:v>0.08779560633548478</x:v>
      </x:c>
      <x:c r="Y10" s="58" t="n">
        <x:v>0.08779560633548478</x:v>
      </x:c>
      <x:c r="Z10" s="58" t="n">
        <x:v>0.7429472507797024</x:v>
      </x:c>
      <x:c r="AA10" s="58" t="n">
        <x:v>0.030958891053784375</x:v>
      </x:c>
      <x:c r="AB10" s="58" t="n">
        <x:f>IF(C10="SQUAT",0,1)</x:f>
        <x:v>1</x:v>
      </x:c>
      <x:c r="AC10" s="58" t="n">
        <x:f>IF(AND(AB10=1,W10=0),1,0)</x:f>
        <x:v>1</x:v>
      </x:c>
      <x:c r="AD10" s="58" t="n">
        <x:f>IF(AC10=1,X10,"")</x:f>
        <x:v>0.08779560633548478</x:v>
      </x:c>
      <x:c r="AE10" s="58" t="n">
        <x:f>IF(AB10=1,X10,"")</x:f>
        <x:v>0.08779560633548478</x:v>
      </x:c>
      <x:c r="AF10" s="59" t="n">
        <x:f>IF(AB10=1,IF(X10&lt;=2,1,0),"")</x:f>
        <x:v>1</x:v>
      </x:c>
    </x:row>
    <x:row r="11">
      <x:c r="A11" s="57" t="str">
        <x:v>S07_KDM</x:v>
      </x:c>
      <x:c r="B11" s="58" t="str">
        <x:v>S02</x:v>
      </x:c>
      <x:c r="C11" s="58" t="str">
        <x:v>SQUAT</x:v>
      </x:c>
      <x:c r="D11" s="58" t="str"/>
      <x:c r="E11" s="58" t="n">
        <x:v>511.189</x:v>
      </x:c>
      <x:c r="F11" s="58" t="n">
        <x:v>561.189</x:v>
      </x:c>
      <x:c r="G11" s="58" t="n">
        <x:v>50</x:v>
      </x:c>
      <x:c r="H11" s="58" t="n">
        <x:v>22.07979489439359</x:v>
      </x:c>
      <x:c r="I11" s="58" t="n">
        <x:v>14.36664769792073</x:v>
      </x:c>
      <x:c r="J11" s="58" t="n">
        <x:v>10.976912000447363</x:v>
      </x:c>
      <x:c r="K11" s="58" t="n">
        <x:v>11.712819884681887</x:v>
      </x:c>
      <x:c r="L11" s="58" t="n">
        <x:v>14.462492169350522</x:v>
      </x:c>
      <x:c r="M11" s="58" t="n">
        <x:v>10.954205421014509</x:v>
      </x:c>
      <x:c r="N11" s="58" t="n">
        <x:v>11.712255959676872</x:v>
      </x:c>
      <x:c r="O11" s="58" t="n">
        <x:v>1</x:v>
      </x:c>
      <x:c r="P11" s="58" t="n">
        <x:v>14.36664769792073</x:v>
      </x:c>
      <x:c r="Q11" s="58" t="n">
        <x:v>11.712819884681887</x:v>
      </x:c>
      <x:c r="R11" s="58" t="n">
        <x:v>0.735907884234523</x:v>
      </x:c>
      <x:c r="S11" s="58" t="n">
        <x:v>1</x:v>
      </x:c>
      <x:c r="T11" s="58" t="n">
        <x:v>0</x:v>
      </x:c>
      <x:c r="U11" s="58" t="n">
        <x:v>0.1556954571955575</x:v>
      </x:c>
      <x:c r="V11" s="58" t="str">
        <x:v>0.6145999783212648</x:v>
      </x:c>
      <x:c r="W11" s="58" t="n">
        <x:v>1</x:v>
      </x:c>
      <x:c r="X11" s="58" t="n">
        <x:v>10.366975009711703</x:v>
      </x:c>
      <x:c r="Y11" s="58" t="n">
        <x:v>7.71314719647286</x:v>
      </x:c>
      <x:c r="Z11" s="58" t="n">
        <x:v>0.29414126524418915</x:v>
      </x:c>
      <x:c r="AA11" s="58" t="n">
        <x:v>0.07957975883356075</x:v>
      </x:c>
      <x:c r="AB11" s="58" t="n">
        <x:f>IF(C11="SQUAT",0,1)</x:f>
        <x:v>0</x:v>
      </x:c>
      <x:c r="AC11" s="58" t="n">
        <x:f>IF(AND(AB11=1,W11=0),1,0)</x:f>
        <x:v>0</x:v>
      </x:c>
      <x:c r="AD11" s="58" t="str">
        <x:f>IF(AC11=1,X11,"")</x:f>
      </x:c>
      <x:c r="AE11" s="58" t="str">
        <x:f>IF(AB11=1,X11,"")</x:f>
      </x:c>
      <x:c r="AF11" s="59" t="str">
        <x:f>IF(AB11=1,IF(X11&lt;=2,1,0),"")</x:f>
      </x:c>
    </x:row>
    <x:row r="12">
      <x:c r="A12" s="57" t="str">
        <x:v>S07_KDM</x:v>
      </x:c>
      <x:c r="B12" s="58" t="str">
        <x:v>S02</x:v>
      </x:c>
      <x:c r="C12" s="58" t="str">
        <x:v>POST_EXERCISE</x:v>
      </x:c>
      <x:c r="D12" s="58" t="str"/>
      <x:c r="E12" s="58" t="n">
        <x:v>586.189</x:v>
      </x:c>
      <x:c r="F12" s="58" t="n">
        <x:v>636.189</x:v>
      </x:c>
      <x:c r="G12" s="58" t="n">
        <x:v>50</x:v>
      </x:c>
      <x:c r="H12" s="58" t="n">
        <x:v>21.91425322479859</x:v>
      </x:c>
      <x:c r="I12" s="58" t="n">
        <x:v>21.865988864566166</x:v>
      </x:c>
      <x:c r="J12" s="58" t="n">
        <x:v>21.816557644302314</x:v>
      </x:c>
      <x:c r="K12" s="58" t="n">
        <x:v>21.824771350105706</x:v>
      </x:c>
      <x:c r="L12" s="58" t="n">
        <x:v>21.761170245241534</x:v>
      </x:c>
      <x:c r="M12" s="58" t="n">
        <x:v>21.821437548902374</x:v>
      </x:c>
      <x:c r="N12" s="58" t="n">
        <x:v>21.843624895986313</x:v>
      </x:c>
      <x:c r="O12" s="58" t="n">
        <x:v>3</x:v>
      </x:c>
      <x:c r="P12" s="58" t="n">
        <x:v>21.824771350105706</x:v>
      </x:c>
      <x:c r="Q12" s="58" t="n">
        <x:v>21.824771350105706</x:v>
      </x:c>
      <x:c r="R12" s="58" t="n">
        <x:v>0.008213705803392202</x:v>
      </x:c>
      <x:c r="S12" s="58" t="n">
        <x:v>1</x:v>
      </x:c>
      <x:c r="T12" s="58" t="n">
        <x:v>1</x:v>
      </x:c>
      <x:c r="U12" s="58" t="n">
        <x:v>0.03223443199016499</x:v>
      </x:c>
      <x:c r="V12" s="58" t="str">
        <x:v>0.8555773150696654</x:v>
      </x:c>
      <x:c r="W12" s="58" t="n">
        <x:v>0</x:v>
      </x:c>
      <x:c r="X12" s="58" t="n">
        <x:v>0.08948187469288271</x:v>
      </x:c>
      <x:c r="Y12" s="58" t="n">
        <x:v>0.04826436023242309</x:v>
      </x:c>
      <x:c r="Z12" s="58" t="n">
        <x:v>0.8274929620048973</x:v>
      </x:c>
      <x:c r="AA12" s="58" t="n">
        <x:v>0.031254719766247926</x:v>
      </x:c>
      <x:c r="AB12" s="58" t="n">
        <x:f>IF(C12="SQUAT",0,1)</x:f>
        <x:v>1</x:v>
      </x:c>
      <x:c r="AC12" s="58" t="n">
        <x:f>IF(AND(AB12=1,W12=0),1,0)</x:f>
        <x:v>1</x:v>
      </x:c>
      <x:c r="AD12" s="58" t="n">
        <x:f>IF(AC12=1,X12,"")</x:f>
        <x:v>0.08948187469288271</x:v>
      </x:c>
      <x:c r="AE12" s="58" t="n">
        <x:f>IF(AB12=1,X12,"")</x:f>
        <x:v>0.08948187469288271</x:v>
      </x:c>
      <x:c r="AF12" s="59" t="n">
        <x:f>IF(AB12=1,IF(X12&lt;=2,1,0),"")</x:f>
        <x:v>1</x:v>
      </x:c>
    </x:row>
    <x:row r="13">
      <x:c r="A13" s="57" t="str">
        <x:v>S08_MDO</x:v>
      </x:c>
      <x:c r="B13" s="58" t="str">
        <x:v>S01</x:v>
      </x:c>
      <x:c r="C13" s="58" t="str">
        <x:v>FACE_R1</x:v>
      </x:c>
      <x:c r="D13" s="58" t="n">
        <x:v>1</x:v>
      </x:c>
      <x:c r="E13" s="58" t="n">
        <x:v>36.98</x:v>
      </x:c>
      <x:c r="F13" s="58" t="n">
        <x:v>85.1</x:v>
      </x:c>
      <x:c r="G13" s="58" t="n">
        <x:v>48.12</x:v>
      </x:c>
      <x:c r="H13" s="58" t="n">
        <x:v>10.29027485935016</x:v>
      </x:c>
      <x:c r="I13" s="58" t="n">
        <x:v>10.316209732783708</x:v>
      </x:c>
      <x:c r="J13" s="58" t="n">
        <x:v>10.460556956398449</x:v>
      </x:c>
      <x:c r="K13" s="58" t="n">
        <x:v>11.033513720191307</x:v>
      </x:c>
      <x:c r="L13" s="58" t="n">
        <x:v>10.300654521063798</x:v>
      </x:c>
      <x:c r="M13" s="58" t="n">
        <x:v>10.540892747581532</x:v>
      </x:c>
      <x:c r="N13" s="58" t="n">
        <x:v>11.128124102304296</x:v>
      </x:c>
      <x:c r="O13" s="58" t="n">
        <x:v>1</x:v>
      </x:c>
      <x:c r="P13" s="58" t="n">
        <x:v>10.316209732783708</x:v>
      </x:c>
      <x:c r="Q13" s="58" t="n">
        <x:v>10.316209732783708</x:v>
      </x:c>
      <x:c r="R13" s="58" t="n">
        <x:v>0.14434722361474073</x:v>
      </x:c>
      <x:c r="S13" s="58" t="n">
        <x:v>0.733758451229301</x:v>
      </x:c>
      <x:c r="T13" s="58" t="n">
        <x:v>1</x:v>
      </x:c>
      <x:c r="U13" s="58" t="n">
        <x:v>0.028124239322730536</x:v>
      </x:c>
      <x:c r="V13" s="58" t="str">
        <x:v>0.8156217252269141</x:v>
      </x:c>
      <x:c r="W13" s="58" t="n">
        <x:v>0</x:v>
      </x:c>
      <x:c r="X13" s="58" t="n">
        <x:v>0.025934873433548944</x:v>
      </x:c>
      <x:c r="Y13" s="58" t="n">
        <x:v>0.025934873433548944</x:v>
      </x:c>
      <x:c r="Z13" s="58" t="n">
        <x:v>0.9450826307831742</x:v>
      </x:c>
      <x:c r="AA13" s="58" t="n">
        <x:v>0.025058694709114798</x:v>
      </x:c>
      <x:c r="AB13" s="58" t="n">
        <x:f>IF(C13="SQUAT",0,1)</x:f>
        <x:v>1</x:v>
      </x:c>
      <x:c r="AC13" s="58" t="n">
        <x:f>IF(AND(AB13=1,W13=0),1,0)</x:f>
        <x:v>1</x:v>
      </x:c>
      <x:c r="AD13" s="58" t="n">
        <x:f>IF(AC13=1,X13,"")</x:f>
        <x:v>0.025934873433548944</x:v>
      </x:c>
      <x:c r="AE13" s="58" t="n">
        <x:f>IF(AB13=1,X13,"")</x:f>
        <x:v>0.025934873433548944</x:v>
      </x:c>
      <x:c r="AF13" s="59" t="n">
        <x:f>IF(AB13=1,IF(X13&lt;=2,1,0),"")</x:f>
        <x:v>1</x:v>
      </x:c>
    </x:row>
    <x:row r="14">
      <x:c r="A14" s="57" t="str">
        <x:v>S08_MDO</x:v>
      </x:c>
      <x:c r="B14" s="58" t="str">
        <x:v>S01</x:v>
      </x:c>
      <x:c r="C14" s="58" t="str">
        <x:v>FACE_R2</x:v>
      </x:c>
      <x:c r="D14" s="58" t="n">
        <x:v>2</x:v>
      </x:c>
      <x:c r="E14" s="58" t="n">
        <x:v>95.1</x:v>
      </x:c>
      <x:c r="F14" s="58" t="n">
        <x:v>146.8</x:v>
      </x:c>
      <x:c r="G14" s="58" t="n">
        <x:v>51.7</x:v>
      </x:c>
      <x:c r="H14" s="58" t="n">
        <x:v>10.43325073219125</x:v>
      </x:c>
      <x:c r="I14" s="58" t="n">
        <x:v>10.48272568931189</x:v>
      </x:c>
      <x:c r="J14" s="58" t="n">
        <x:v>10.381755086219787</x:v>
      </x:c>
      <x:c r="K14" s="58" t="n">
        <x:v>10.251072300200622</x:v>
      </x:c>
      <x:c r="L14" s="58" t="n">
        <x:v>10.614739980322593</x:v>
      </x:c>
      <x:c r="M14" s="58" t="n">
        <x:v>10.381010169211434</x:v>
      </x:c>
      <x:c r="N14" s="58" t="n">
        <x:v>10.243153098644013</x:v>
      </x:c>
      <x:c r="O14" s="58" t="n">
        <x:v>2</x:v>
      </x:c>
      <x:c r="P14" s="58" t="n">
        <x:v>10.381755086219787</x:v>
      </x:c>
      <x:c r="Q14" s="58" t="n">
        <x:v>10.381755086219787</x:v>
      </x:c>
      <x:c r="R14" s="58" t="n">
        <x:v>0.1009706030921027</x:v>
      </x:c>
      <x:c r="S14" s="58" t="n">
        <x:v>0.6576238901006828</x:v>
      </x:c>
      <x:c r="T14" s="58" t="n">
        <x:v>1</x:v>
      </x:c>
      <x:c r="U14" s="58" t="n">
        <x:v>0.035140236897146904</x:v>
      </x:c>
      <x:c r="V14" s="58" t="str">
        <x:v>0.7766231196711205</x:v>
      </x:c>
      <x:c r="W14" s="58" t="n">
        <x:v>0</x:v>
      </x:c>
      <x:c r="X14" s="58" t="n">
        <x:v>0.051495645971463944</x:v>
      </x:c>
      <x:c r="Y14" s="58" t="n">
        <x:v>0.04947495712063876</x:v>
      </x:c>
      <x:c r="Z14" s="58" t="n">
        <x:v>0.9301761502583842</x:v>
      </x:c>
      <x:c r="AA14" s="58" t="n">
        <x:v>0.027306642173599748</x:v>
      </x:c>
      <x:c r="AB14" s="58" t="n">
        <x:f>IF(C14="SQUAT",0,1)</x:f>
        <x:v>1</x:v>
      </x:c>
      <x:c r="AC14" s="58" t="n">
        <x:f>IF(AND(AB14=1,W14=0),1,0)</x:f>
        <x:v>1</x:v>
      </x:c>
      <x:c r="AD14" s="58" t="n">
        <x:f>IF(AC14=1,X14,"")</x:f>
        <x:v>0.051495645971463944</x:v>
      </x:c>
      <x:c r="AE14" s="58" t="n">
        <x:f>IF(AB14=1,X14,"")</x:f>
        <x:v>0.051495645971463944</x:v>
      </x:c>
      <x:c r="AF14" s="59" t="n">
        <x:f>IF(AB14=1,IF(X14&lt;=2,1,0),"")</x:f>
        <x:v>1</x:v>
      </x:c>
    </x:row>
    <x:row r="15">
      <x:c r="A15" s="57" t="str">
        <x:v>S08_MDO</x:v>
      </x:c>
      <x:c r="B15" s="58" t="str">
        <x:v>S01</x:v>
      </x:c>
      <x:c r="C15" s="58" t="str">
        <x:v>FACE_R3</x:v>
      </x:c>
      <x:c r="D15" s="58" t="n">
        <x:v>3</x:v>
      </x:c>
      <x:c r="E15" s="58" t="n">
        <x:v>156.8</x:v>
      </x:c>
      <x:c r="F15" s="58" t="n">
        <x:v>215.164</x:v>
      </x:c>
      <x:c r="G15" s="58" t="n">
        <x:v>58.364</x:v>
      </x:c>
      <x:c r="H15" s="58" t="n">
        <x:v>10.780079135691457</x:v>
      </x:c>
      <x:c r="I15" s="58" t="n">
        <x:v>10.832059389777248</x:v>
      </x:c>
      <x:c r="J15" s="58" t="n">
        <x:v>10.873484896705975</x:v>
      </x:c>
      <x:c r="K15" s="58" t="n">
        <x:v>10.68788727544601</x:v>
      </x:c>
      <x:c r="L15" s="58" t="n">
        <x:v>10.78190175982999</x:v>
      </x:c>
      <x:c r="M15" s="58" t="n">
        <x:v>11.009800618990308</x:v>
      </x:c>
      <x:c r="N15" s="58" t="n">
        <x:v>10.6398868618324</x:v>
      </x:c>
      <x:c r="O15" s="58" t="n">
        <x:v>2</x:v>
      </x:c>
      <x:c r="P15" s="58" t="n">
        <x:v>10.873484896705975</x:v>
      </x:c>
      <x:c r="Q15" s="58" t="n">
        <x:v>10.832059389777248</x:v>
      </x:c>
      <x:c r="R15" s="58" t="n">
        <x:v>0.04142550692872682</x:v>
      </x:c>
      <x:c r="S15" s="58" t="n">
        <x:v>0.848524647538091</x:v>
      </x:c>
      <x:c r="T15" s="58" t="n">
        <x:v>1</x:v>
      </x:c>
      <x:c r="U15" s="58" t="n">
        <x:v>0.030115209105469866</x:v>
      </x:c>
      <x:c r="V15" s="58" t="str">
        <x:v>0.8290116409978617</x:v>
      </x:c>
      <x:c r="W15" s="58" t="n">
        <x:v>0</x:v>
      </x:c>
      <x:c r="X15" s="58" t="n">
        <x:v>0.05198025408579099</x:v>
      </x:c>
      <x:c r="Y15" s="58" t="n">
        <x:v>0.05198025408579099</x:v>
      </x:c>
      <x:c r="Z15" s="58" t="n">
        <x:v>0.8522133915791172</x:v>
      </x:c>
      <x:c r="AA15" s="58" t="n">
        <x:v>0.029680259780802735</x:v>
      </x:c>
      <x:c r="AB15" s="58" t="n">
        <x:f>IF(C15="SQUAT",0,1)</x:f>
        <x:v>1</x:v>
      </x:c>
      <x:c r="AC15" s="58" t="n">
        <x:f>IF(AND(AB15=1,W15=0),1,0)</x:f>
        <x:v>1</x:v>
      </x:c>
      <x:c r="AD15" s="58" t="n">
        <x:f>IF(AC15=1,X15,"")</x:f>
        <x:v>0.05198025408579099</x:v>
      </x:c>
      <x:c r="AE15" s="58" t="n">
        <x:f>IF(AB15=1,X15,"")</x:f>
        <x:v>0.05198025408579099</x:v>
      </x:c>
      <x:c r="AF15" s="59" t="n">
        <x:f>IF(AB15=1,IF(X15&lt;=2,1,0),"")</x:f>
        <x:v>1</x:v>
      </x:c>
    </x:row>
    <x:row r="16">
      <x:c r="A16" s="57" t="str">
        <x:v>S08_MDO</x:v>
      </x:c>
      <x:c r="B16" s="58" t="str">
        <x:v>S02</x:v>
      </x:c>
      <x:c r="C16" s="58" t="str">
        <x:v>NORMAL</x:v>
      </x:c>
      <x:c r="D16" s="58" t="str"/>
      <x:c r="E16" s="58" t="n">
        <x:v>278.17</x:v>
      </x:c>
      <x:c r="F16" s="58" t="n">
        <x:v>328.17</x:v>
      </x:c>
      <x:c r="G16" s="58" t="n">
        <x:v>50</x:v>
      </x:c>
      <x:c r="H16" s="58" t="n">
        <x:v>18.438432477242742</x:v>
      </x:c>
      <x:c r="I16" s="58" t="n">
        <x:v>18.420810447973277</x:v>
      </x:c>
      <x:c r="J16" s="58" t="n">
        <x:v>18.45763828955135</x:v>
      </x:c>
      <x:c r="K16" s="58" t="n">
        <x:v>18.599924721340336</x:v>
      </x:c>
      <x:c r="L16" s="58" t="n">
        <x:v>18.453349786668948</x:v>
      </x:c>
      <x:c r="M16" s="58" t="n">
        <x:v>18.456982594825085</x:v>
      </x:c>
      <x:c r="N16" s="58" t="n">
        <x:v>18.69261852330761</x:v>
      </x:c>
      <x:c r="O16" s="58" t="n">
        <x:v>2</x:v>
      </x:c>
      <x:c r="P16" s="58" t="n">
        <x:v>18.45763828955135</x:v>
      </x:c>
      <x:c r="Q16" s="58" t="n">
        <x:v>18.45763828955135</x:v>
      </x:c>
      <x:c r="R16" s="58" t="n">
        <x:v>0.03682784157807362</x:v>
      </x:c>
      <x:c r="S16" s="58" t="n">
        <x:v>1</x:v>
      </x:c>
      <x:c r="T16" s="58" t="n">
        <x:v>1</x:v>
      </x:c>
      <x:c r="U16" s="58" t="n">
        <x:v>0.031353275359122953</x:v>
      </x:c>
      <x:c r="V16" s="58" t="str">
        <x:v>0.8859697427682197</x:v>
      </x:c>
      <x:c r="W16" s="58" t="n">
        <x:v>0</x:v>
      </x:c>
      <x:c r="X16" s="58" t="n">
        <x:v>0.019205812308609183</x:v>
      </x:c>
      <x:c r="Y16" s="58" t="n">
        <x:v>0.017622029269464434</x:v>
      </x:c>
      <x:c r="Z16" s="58" t="n">
        <x:v>0.8425695193371264</x:v>
      </x:c>
      <x:c r="AA16" s="58" t="n">
        <x:v>0.031204141591562175</x:v>
      </x:c>
      <x:c r="AB16" s="58" t="n">
        <x:f>IF(C16="SQUAT",0,1)</x:f>
        <x:v>1</x:v>
      </x:c>
      <x:c r="AC16" s="58" t="n">
        <x:f>IF(AND(AB16=1,W16=0),1,0)</x:f>
        <x:v>1</x:v>
      </x:c>
      <x:c r="AD16" s="58" t="n">
        <x:f>IF(AC16=1,X16,"")</x:f>
        <x:v>0.019205812308609183</x:v>
      </x:c>
      <x:c r="AE16" s="58" t="n">
        <x:f>IF(AB16=1,X16,"")</x:f>
        <x:v>0.019205812308609183</x:v>
      </x:c>
      <x:c r="AF16" s="59" t="n">
        <x:f>IF(AB16=1,IF(X16&lt;=2,1,0),"")</x:f>
        <x:v>1</x:v>
      </x:c>
    </x:row>
    <x:row r="17">
      <x:c r="A17" s="57" t="str">
        <x:v>S08_MDO</x:v>
      </x:c>
      <x:c r="B17" s="58" t="str">
        <x:v>S02</x:v>
      </x:c>
      <x:c r="C17" s="58" t="str">
        <x:v>SLOW</x:v>
      </x:c>
      <x:c r="D17" s="58" t="str"/>
      <x:c r="E17" s="58" t="n">
        <x:v>338.17</x:v>
      </x:c>
      <x:c r="F17" s="58" t="n">
        <x:v>388.17</x:v>
      </x:c>
      <x:c r="G17" s="58" t="n">
        <x:v>50</x:v>
      </x:c>
      <x:c r="H17" s="58" t="n">
        <x:v>5.965978585691494</x:v>
      </x:c>
      <x:c r="I17" s="58" t="n">
        <x:v>5.957399958198621</x:v>
      </x:c>
      <x:c r="J17" s="58" t="n">
        <x:v>6.061275812579944</x:v>
      </x:c>
      <x:c r="K17" s="58" t="n">
        <x:v>5.965778727445448</x:v>
      </x:c>
      <x:c r="L17" s="58" t="n">
        <x:v>5.932879805107895</x:v>
      </x:c>
      <x:c r="M17" s="58" t="n">
        <x:v>6.085333528767447</x:v>
      </x:c>
      <x:c r="N17" s="58" t="n">
        <x:v>5.899393030896503</x:v>
      </x:c>
      <x:c r="O17" s="58" t="n">
        <x:v>3</x:v>
      </x:c>
      <x:c r="P17" s="58" t="n">
        <x:v>5.965778727445448</x:v>
      </x:c>
      <x:c r="Q17" s="58" t="n">
        <x:v>5.965778727445448</x:v>
      </x:c>
      <x:c r="R17" s="58" t="n">
        <x:v>0.008378769246827567</x:v>
      </x:c>
      <x:c r="S17" s="58" t="n">
        <x:v>0.8251808595751879</x:v>
      </x:c>
      <x:c r="T17" s="58" t="n">
        <x:v>1</x:v>
      </x:c>
      <x:c r="U17" s="58" t="n">
        <x:v>0.028562169925724232</x:v>
      </x:c>
      <x:c r="V17" s="58" t="str">
        <x:v>0.8284844103642932</x:v>
      </x:c>
      <x:c r="W17" s="58" t="n">
        <x:v>0</x:v>
      </x:c>
      <x:c r="X17" s="58" t="n">
        <x:v>0.0001998582460460696</x:v>
      </x:c>
      <x:c r="Y17" s="58" t="n">
        <x:v>0.0001998582460460696</x:v>
      </x:c>
      <x:c r="Z17" s="58" t="n">
        <x:v>0.9123232143940595</x:v>
      </x:c>
      <x:c r="AA17" s="58" t="n">
        <x:v>0.027327518695638674</x:v>
      </x:c>
      <x:c r="AB17" s="58" t="n">
        <x:f>IF(C17="SQUAT",0,1)</x:f>
        <x:v>1</x:v>
      </x:c>
      <x:c r="AC17" s="58" t="n">
        <x:f>IF(AND(AB17=1,W17=0),1,0)</x:f>
        <x:v>1</x:v>
      </x:c>
      <x:c r="AD17" s="58" t="n">
        <x:f>IF(AC17=1,X17,"")</x:f>
        <x:v>0.0001998582460460696</x:v>
      </x:c>
      <x:c r="AE17" s="58" t="n">
        <x:f>IF(AB17=1,X17,"")</x:f>
        <x:v>0.0001998582460460696</x:v>
      </x:c>
      <x:c r="AF17" s="59" t="n">
        <x:f>IF(AB17=1,IF(X17&lt;=2,1,0),"")</x:f>
        <x:v>1</x:v>
      </x:c>
    </x:row>
    <x:row r="18">
      <x:c r="A18" s="57" t="str">
        <x:v>S08_MDO</x:v>
      </x:c>
      <x:c r="B18" s="58" t="str">
        <x:v>S02</x:v>
      </x:c>
      <x:c r="C18" s="58" t="str">
        <x:v>POST_HOLD</x:v>
      </x:c>
      <x:c r="D18" s="58" t="str"/>
      <x:c r="E18" s="58" t="n">
        <x:v>423.17</x:v>
      </x:c>
      <x:c r="F18" s="58" t="n">
        <x:v>478.17</x:v>
      </x:c>
      <x:c r="G18" s="58" t="n">
        <x:v>55</x:v>
      </x:c>
      <x:c r="H18" s="58" t="n">
        <x:v>11.31868496074228</x:v>
      </x:c>
      <x:c r="I18" s="58" t="n">
        <x:v>11.304347948532838</x:v>
      </x:c>
      <x:c r="J18" s="58" t="n">
        <x:v>11.326606335972635</x:v>
      </x:c>
      <x:c r="K18" s="58" t="n">
        <x:v>11.312425880546812</x:v>
      </x:c>
      <x:c r="L18" s="58" t="n">
        <x:v>11.403421278014536</x:v>
      </x:c>
      <x:c r="M18" s="58" t="n">
        <x:v>11.359357690782618</x:v>
      </x:c>
      <x:c r="N18" s="58" t="n">
        <x:v>11.32450550843654</x:v>
      </x:c>
      <x:c r="O18" s="58" t="n">
        <x:v>1</x:v>
      </x:c>
      <x:c r="P18" s="58" t="n">
        <x:v>11.304347948532838</x:v>
      </x:c>
      <x:c r="Q18" s="58" t="n">
        <x:v>11.312425880546812</x:v>
      </x:c>
      <x:c r="R18" s="58" t="n">
        <x:v>0.008077932013973665</x:v>
      </x:c>
      <x:c r="S18" s="58" t="n">
        <x:v>1</x:v>
      </x:c>
      <x:c r="T18" s="58" t="n">
        <x:v>1</x:v>
      </x:c>
      <x:c r="U18" s="58" t="n">
        <x:v>0.03206071553324758</x:v>
      </x:c>
      <x:c r="V18" s="58" t="str">
        <x:v>0.8609750375135842</x:v>
      </x:c>
      <x:c r="W18" s="58" t="n">
        <x:v>0</x:v>
      </x:c>
      <x:c r="X18" s="58" t="n">
        <x:v>0.006259080195468059</x:v>
      </x:c>
      <x:c r="Y18" s="58" t="n">
        <x:v>0.006259080195468059</x:v>
      </x:c>
      <x:c r="Z18" s="58" t="n">
        <x:v>0.7333368001238033</x:v>
      </x:c>
      <x:c r="AA18" s="58" t="n">
        <x:v>0.02820957417543861</x:v>
      </x:c>
      <x:c r="AB18" s="58" t="n">
        <x:f>IF(C18="SQUAT",0,1)</x:f>
        <x:v>1</x:v>
      </x:c>
      <x:c r="AC18" s="58" t="n">
        <x:f>IF(AND(AB18=1,W18=0),1,0)</x:f>
        <x:v>1</x:v>
      </x:c>
      <x:c r="AD18" s="58" t="n">
        <x:f>IF(AC18=1,X18,"")</x:f>
        <x:v>0.006259080195468059</x:v>
      </x:c>
      <x:c r="AE18" s="58" t="n">
        <x:f>IF(AB18=1,X18,"")</x:f>
        <x:v>0.006259080195468059</x:v>
      </x:c>
      <x:c r="AF18" s="59" t="n">
        <x:f>IF(AB18=1,IF(X18&lt;=2,1,0),"")</x:f>
        <x:v>1</x:v>
      </x:c>
    </x:row>
    <x:row r="19">
      <x:c r="A19" s="57" t="str">
        <x:v>S08_MDO</x:v>
      </x:c>
      <x:c r="B19" s="58" t="str">
        <x:v>S02</x:v>
      </x:c>
      <x:c r="C19" s="58" t="str">
        <x:v>SQUAT</x:v>
      </x:c>
      <x:c r="D19" s="58" t="str"/>
      <x:c r="E19" s="58" t="n">
        <x:v>503.17</x:v>
      </x:c>
      <x:c r="F19" s="58" t="n">
        <x:v>553.17</x:v>
      </x:c>
      <x:c r="G19" s="58" t="n">
        <x:v>50</x:v>
      </x:c>
      <x:c r="H19" s="58" t="n">
        <x:v>11.753087734905593</x:v>
      </x:c>
      <x:c r="I19" s="58" t="n">
        <x:v>31.407981053911527</x:v>
      </x:c>
      <x:c r="J19" s="58" t="n">
        <x:v>11.81053063120179</x:v>
      </x:c>
      <x:c r="K19" s="58" t="n">
        <x:v>12.149960091634824</x:v>
      </x:c>
      <x:c r="L19" s="58" t="n">
        <x:v>31.4184028964185</x:v>
      </x:c>
      <x:c r="M19" s="58" t="n">
        <x:v>11.811306256014195</x:v>
      </x:c>
      <x:c r="N19" s="58" t="n">
        <x:v>11.489405460082056</x:v>
      </x:c>
      <x:c r="O19" s="58" t="n">
        <x:v>2</x:v>
      </x:c>
      <x:c r="P19" s="58" t="n">
        <x:v>11.81053063120179</x:v>
      </x:c>
      <x:c r="Q19" s="58" t="n">
        <x:v>11.81053063120179</x:v>
      </x:c>
      <x:c r="R19" s="58" t="n">
        <x:v>0.3394294604330348</x:v>
      </x:c>
      <x:c r="S19" s="58" t="n">
        <x:v>1</x:v>
      </x:c>
      <x:c r="T19" s="58" t="n">
        <x:v>0</x:v>
      </x:c>
      <x:c r="U19" s="58" t="n">
        <x:v>0.11934260381525164</x:v>
      </x:c>
      <x:c r="V19" s="58" t="str">
        <x:v>0.6778446463538326</x:v>
      </x:c>
      <x:c r="W19" s="58" t="n">
        <x:v>1</x:v>
      </x:c>
      <x:c r="X19" s="58" t="n">
        <x:v>0.057442896296196366</x:v>
      </x:c>
      <x:c r="Y19" s="58" t="n">
        <x:v>0.057442896296196366</x:v>
      </x:c>
      <x:c r="Z19" s="58" t="n">
        <x:v>0.4148984352395035</x:v>
      </x:c>
      <x:c r="AA19" s="58" t="n">
        <x:v>0.0933885345805278</x:v>
      </x:c>
      <x:c r="AB19" s="58" t="n">
        <x:f>IF(C19="SQUAT",0,1)</x:f>
        <x:v>0</x:v>
      </x:c>
      <x:c r="AC19" s="58" t="n">
        <x:f>IF(AND(AB19=1,W19=0),1,0)</x:f>
        <x:v>0</x:v>
      </x:c>
      <x:c r="AD19" s="58" t="str">
        <x:f>IF(AC19=1,X19,"")</x:f>
      </x:c>
      <x:c r="AE19" s="58" t="str">
        <x:f>IF(AB19=1,X19,"")</x:f>
      </x:c>
      <x:c r="AF19" s="59" t="str">
        <x:f>IF(AB19=1,IF(X19&lt;=2,1,0),"")</x:f>
      </x:c>
    </x:row>
    <x:row r="20">
      <x:c r="A20" s="57" t="str">
        <x:v>S08_MDO</x:v>
      </x:c>
      <x:c r="B20" s="58" t="str">
        <x:v>S02</x:v>
      </x:c>
      <x:c r="C20" s="58" t="str">
        <x:v>POST_EXERCISE</x:v>
      </x:c>
      <x:c r="D20" s="58" t="str"/>
      <x:c r="E20" s="58" t="n">
        <x:v>578.17</x:v>
      </x:c>
      <x:c r="F20" s="58" t="n">
        <x:v>628.17</x:v>
      </x:c>
      <x:c r="G20" s="58" t="n">
        <x:v>50</x:v>
      </x:c>
      <x:c r="H20" s="58" t="n">
        <x:v>28.269240448874818</x:v>
      </x:c>
      <x:c r="I20" s="58" t="n">
        <x:v>28.333469500756784</x:v>
      </x:c>
      <x:c r="J20" s="58" t="n">
        <x:v>28.265085755721216</x:v>
      </x:c>
      <x:c r="K20" s="58" t="n">
        <x:v>28.2492264641026</x:v>
      </x:c>
      <x:c r="L20" s="58" t="n">
        <x:v>28.37330734837188</x:v>
      </x:c>
      <x:c r="M20" s="58" t="n">
        <x:v>28.236975331353246</x:v>
      </x:c>
      <x:c r="N20" s="58" t="n">
        <x:v>28.21353271113405</x:v>
      </x:c>
      <x:c r="O20" s="58" t="n">
        <x:v>2</x:v>
      </x:c>
      <x:c r="P20" s="58" t="n">
        <x:v>28.265085755721216</x:v>
      </x:c>
      <x:c r="Q20" s="58" t="n">
        <x:v>28.265085755721216</x:v>
      </x:c>
      <x:c r="R20" s="58" t="n">
        <x:v>0.015859291618617988</x:v>
      </x:c>
      <x:c r="S20" s="58" t="n">
        <x:v>1</x:v>
      </x:c>
      <x:c r="T20" s="58" t="n">
        <x:v>1</x:v>
      </x:c>
      <x:c r="U20" s="58" t="n">
        <x:v>0.03365849726771007</x:v>
      </x:c>
      <x:c r="V20" s="58" t="str">
        <x:v>0.8986812715493532</x:v>
      </x:c>
      <x:c r="W20" s="58" t="n">
        <x:v>0</x:v>
      </x:c>
      <x:c r="X20" s="58" t="n">
        <x:v>0.0041546931536018405</x:v>
      </x:c>
      <x:c r="Y20" s="58" t="n">
        <x:v>0.0041546931536018405</x:v>
      </x:c>
      <x:c r="Z20" s="58" t="n">
        <x:v>0.7559456711615573</x:v>
      </x:c>
      <x:c r="AA20" s="58" t="n">
        <x:v>0.029752511604214632</x:v>
      </x:c>
      <x:c r="AB20" s="58" t="n">
        <x:f>IF(C20="SQUAT",0,1)</x:f>
        <x:v>1</x:v>
      </x:c>
      <x:c r="AC20" s="58" t="n">
        <x:f>IF(AND(AB20=1,W20=0),1,0)</x:f>
        <x:v>1</x:v>
      </x:c>
      <x:c r="AD20" s="58" t="n">
        <x:f>IF(AC20=1,X20,"")</x:f>
        <x:v>0.0041546931536018405</x:v>
      </x:c>
      <x:c r="AE20" s="58" t="n">
        <x:f>IF(AB20=1,X20,"")</x:f>
        <x:v>0.0041546931536018405</x:v>
      </x:c>
      <x:c r="AF20" s="59" t="n">
        <x:f>IF(AB20=1,IF(X20&lt;=2,1,0),"")</x:f>
        <x:v>1</x:v>
      </x:c>
    </x:row>
    <x:row r="21">
      <x:c r="A21" s="57" t="str">
        <x:v>S09_HDH</x:v>
      </x:c>
      <x:c r="B21" s="58" t="str">
        <x:v>S01</x:v>
      </x:c>
      <x:c r="C21" s="58" t="str">
        <x:v>FACE_R1</x:v>
      </x:c>
      <x:c r="D21" s="58" t="n">
        <x:v>1</x:v>
      </x:c>
      <x:c r="E21" s="58" t="n">
        <x:v>28.37</x:v>
      </x:c>
      <x:c r="F21" s="58" t="n">
        <x:v>80.9</x:v>
      </x:c>
      <x:c r="G21" s="58" t="n">
        <x:v>52.53</x:v>
      </x:c>
      <x:c r="H21" s="58" t="n">
        <x:v>14.614891895336134</x:v>
      </x:c>
      <x:c r="I21" s="58" t="n">
        <x:v>14.676989020523655</x:v>
      </x:c>
      <x:c r="J21" s="58" t="n">
        <x:v>14.617072873329459</x:v>
      </x:c>
      <x:c r="K21" s="58" t="n">
        <x:v>14.738565718312964</x:v>
      </x:c>
      <x:c r="L21" s="58" t="n">
        <x:v>14.618189050345343</x:v>
      </x:c>
      <x:c r="M21" s="58" t="n">
        <x:v>14.622822022144197</x:v>
      </x:c>
      <x:c r="N21" s="58" t="n">
        <x:v>14.722666455012051</x:v>
      </x:c>
      <x:c r="O21" s="58" t="n">
        <x:v>1</x:v>
      </x:c>
      <x:c r="P21" s="58" t="n">
        <x:v>14.676989020523655</x:v>
      </x:c>
      <x:c r="Q21" s="58" t="n">
        <x:v>14.676989020523655</x:v>
      </x:c>
      <x:c r="R21" s="58" t="n">
        <x:v>0.0599161471941958</x:v>
      </x:c>
      <x:c r="S21" s="58" t="n">
        <x:v>1</x:v>
      </x:c>
      <x:c r="T21" s="58" t="n">
        <x:v>1</x:v>
      </x:c>
      <x:c r="U21" s="58" t="n">
        <x:v>0.034236768523588625</x:v>
      </x:c>
      <x:c r="V21" s="58" t="str">
        <x:v>0.8736485646036783</x:v>
      </x:c>
      <x:c r="W21" s="58" t="n">
        <x:v>0</x:v>
      </x:c>
      <x:c r="X21" s="58" t="n">
        <x:v>0.06209712518752042</x:v>
      </x:c>
      <x:c r="Y21" s="58" t="n">
        <x:v>0.0021809779933246176</x:v>
      </x:c>
      <x:c r="Z21" s="58" t="n">
        <x:v>0.7499402224164318</x:v>
      </x:c>
      <x:c r="AA21" s="58" t="n">
        <x:v>0.03063947911234608</x:v>
      </x:c>
      <x:c r="AB21" s="58" t="n">
        <x:f>IF(C21="SQUAT",0,1)</x:f>
        <x:v>1</x:v>
      </x:c>
      <x:c r="AC21" s="58" t="n">
        <x:f>IF(AND(AB21=1,W21=0),1,0)</x:f>
        <x:v>1</x:v>
      </x:c>
      <x:c r="AD21" s="58" t="n">
        <x:f>IF(AC21=1,X21,"")</x:f>
        <x:v>0.06209712518752042</x:v>
      </x:c>
      <x:c r="AE21" s="58" t="n">
        <x:f>IF(AB21=1,X21,"")</x:f>
        <x:v>0.06209712518752042</x:v>
      </x:c>
      <x:c r="AF21" s="59" t="n">
        <x:f>IF(AB21=1,IF(X21&lt;=2,1,0),"")</x:f>
        <x:v>1</x:v>
      </x:c>
    </x:row>
    <x:row r="22">
      <x:c r="A22" s="57" t="str">
        <x:v>S09_HDH</x:v>
      </x:c>
      <x:c r="B22" s="58" t="str">
        <x:v>S01</x:v>
      </x:c>
      <x:c r="C22" s="58" t="str">
        <x:v>FACE_R2</x:v>
      </x:c>
      <x:c r="D22" s="58" t="n">
        <x:v>2</x:v>
      </x:c>
      <x:c r="E22" s="58" t="n">
        <x:v>90.9</x:v>
      </x:c>
      <x:c r="F22" s="58" t="n">
        <x:v>141.9</x:v>
      </x:c>
      <x:c r="G22" s="58" t="n">
        <x:v>51</x:v>
      </x:c>
      <x:c r="H22" s="58" t="n">
        <x:v>16.80295708097985</x:v>
      </x:c>
      <x:c r="I22" s="58" t="n">
        <x:v>16.761511801111677</x:v>
      </x:c>
      <x:c r="J22" s="58" t="n">
        <x:v>16.59218530378646</x:v>
      </x:c>
      <x:c r="K22" s="58" t="n">
        <x:v>16.532136029193573</x:v>
      </x:c>
      <x:c r="L22" s="58" t="n">
        <x:v>16.929712395436265</x:v>
      </x:c>
      <x:c r="M22" s="58" t="n">
        <x:v>17.165255858630353</x:v>
      </x:c>
      <x:c r="N22" s="58" t="n">
        <x:v>16.601414404600906</x:v>
      </x:c>
      <x:c r="O22" s="58" t="n">
        <x:v>3</x:v>
      </x:c>
      <x:c r="P22" s="58" t="n">
        <x:v>16.532136029193573</x:v>
      </x:c>
      <x:c r="Q22" s="58" t="n">
        <x:v>16.59218530378646</x:v>
      </x:c>
      <x:c r="R22" s="58" t="n">
        <x:v>0.060049274592888224</x:v>
      </x:c>
      <x:c r="S22" s="58" t="n">
        <x:v>1</x:v>
      </x:c>
      <x:c r="T22" s="58" t="n">
        <x:v>1</x:v>
      </x:c>
      <x:c r="U22" s="58" t="n">
        <x:v>0.028333323844759426</x:v>
      </x:c>
      <x:c r="V22" s="58" t="str">
        <x:v>0.8699417531824182</x:v>
      </x:c>
      <x:c r="W22" s="58" t="n">
        <x:v>0</x:v>
      </x:c>
      <x:c r="X22" s="58" t="n">
        <x:v>0.2107717771933899</x:v>
      </x:c>
      <x:c r="Y22" s="58" t="n">
        <x:v>0.04144527986817437</x:v>
      </x:c>
      <x:c r="Z22" s="58" t="n">
        <x:v>0.740343182738645</x:v>
      </x:c>
      <x:c r="AA22" s="58" t="n">
        <x:v>0.027165917403763618</x:v>
      </x:c>
      <x:c r="AB22" s="58" t="n">
        <x:f>IF(C22="SQUAT",0,1)</x:f>
        <x:v>1</x:v>
      </x:c>
      <x:c r="AC22" s="58" t="n">
        <x:f>IF(AND(AB22=1,W22=0),1,0)</x:f>
        <x:v>1</x:v>
      </x:c>
      <x:c r="AD22" s="58" t="n">
        <x:f>IF(AC22=1,X22,"")</x:f>
        <x:v>0.2107717771933899</x:v>
      </x:c>
      <x:c r="AE22" s="58" t="n">
        <x:f>IF(AB22=1,X22,"")</x:f>
        <x:v>0.2107717771933899</x:v>
      </x:c>
      <x:c r="AF22" s="59" t="n">
        <x:f>IF(AB22=1,IF(X22&lt;=2,1,0),"")</x:f>
        <x:v>1</x:v>
      </x:c>
    </x:row>
    <x:row r="23">
      <x:c r="A23" s="57" t="str">
        <x:v>S09_HDH</x:v>
      </x:c>
      <x:c r="B23" s="58" t="str">
        <x:v>S01</x:v>
      </x:c>
      <x:c r="C23" s="58" t="str">
        <x:v>FACE_R3</x:v>
      </x:c>
      <x:c r="D23" s="58" t="n">
        <x:v>3</x:v>
      </x:c>
      <x:c r="E23" s="58" t="n">
        <x:v>151.9</x:v>
      </x:c>
      <x:c r="F23" s="58" t="n">
        <x:v>204.824</x:v>
      </x:c>
      <x:c r="G23" s="58" t="n">
        <x:v>52.924</x:v>
      </x:c>
      <x:c r="H23" s="58" t="n">
        <x:v>18.045672503272286</x:v>
      </x:c>
      <x:c r="I23" s="58" t="n">
        <x:v>18.232616764067096</x:v>
      </x:c>
      <x:c r="J23" s="58" t="n">
        <x:v>18.103930421919458</x:v>
      </x:c>
      <x:c r="K23" s="58" t="n">
        <x:v>17.971573438868457</x:v>
      </x:c>
      <x:c r="L23" s="58" t="n">
        <x:v>18.179114723006606</x:v>
      </x:c>
      <x:c r="M23" s="58" t="n">
        <x:v>18.02487683397302</x:v>
      </x:c>
      <x:c r="N23" s="58" t="n">
        <x:v>17.895893553241436</x:v>
      </x:c>
      <x:c r="O23" s="58" t="n">
        <x:v>3</x:v>
      </x:c>
      <x:c r="P23" s="58" t="n">
        <x:v>17.971573438868457</x:v>
      </x:c>
      <x:c r="Q23" s="58" t="n">
        <x:v>18.103930421919458</x:v>
      </x:c>
      <x:c r="R23" s="58" t="n">
        <x:v>0.1286863421476383</x:v>
      </x:c>
      <x:c r="S23" s="58" t="n">
        <x:v>1</x:v>
      </x:c>
      <x:c r="T23" s="58" t="n">
        <x:v>1</x:v>
      </x:c>
      <x:c r="U23" s="58" t="n">
        <x:v>0.028696222899824646</x:v>
      </x:c>
      <x:c r="V23" s="58" t="str">
        <x:v>0.8366674709634211</x:v>
      </x:c>
      <x:c r="W23" s="58" t="n">
        <x:v>0</x:v>
      </x:c>
      <x:c r="X23" s="58" t="n">
        <x:v>0.05825791864717189</x:v>
      </x:c>
      <x:c r="Y23" s="58" t="n">
        <x:v>0.05825791864717189</x:v>
      </x:c>
      <x:c r="Z23" s="58" t="n">
        <x:v>0.5392338024581526</x:v>
      </x:c>
      <x:c r="AA23" s="58" t="n">
        <x:v>0.025937237773582332</x:v>
      </x:c>
      <x:c r="AB23" s="58" t="n">
        <x:f>IF(C23="SQUAT",0,1)</x:f>
        <x:v>1</x:v>
      </x:c>
      <x:c r="AC23" s="58" t="n">
        <x:f>IF(AND(AB23=1,W23=0),1,0)</x:f>
        <x:v>1</x:v>
      </x:c>
      <x:c r="AD23" s="58" t="n">
        <x:f>IF(AC23=1,X23,"")</x:f>
        <x:v>0.05825791864717189</x:v>
      </x:c>
      <x:c r="AE23" s="58" t="n">
        <x:f>IF(AB23=1,X23,"")</x:f>
        <x:v>0.05825791864717189</x:v>
      </x:c>
      <x:c r="AF23" s="59" t="n">
        <x:f>IF(AB23=1,IF(X23&lt;=2,1,0),"")</x:f>
        <x:v>1</x:v>
      </x:c>
    </x:row>
    <x:row r="24">
      <x:c r="A24" s="57" t="str">
        <x:v>S09_HDH</x:v>
      </x:c>
      <x:c r="B24" s="58" t="str">
        <x:v>S02</x:v>
      </x:c>
      <x:c r="C24" s="58" t="str">
        <x:v>NORMAL</x:v>
      </x:c>
      <x:c r="D24" s="58" t="str"/>
      <x:c r="E24" s="58" t="n">
        <x:v>284.862</x:v>
      </x:c>
      <x:c r="F24" s="58" t="n">
        <x:v>334.862</x:v>
      </x:c>
      <x:c r="G24" s="58" t="n">
        <x:v>50</x:v>
      </x:c>
      <x:c r="H24" s="58" t="n">
        <x:v>16.255141357535816</x:v>
      </x:c>
      <x:c r="I24" s="58" t="n">
        <x:v>16.008600914962155</x:v>
      </x:c>
      <x:c r="J24" s="58" t="n">
        <x:v>16.067042921438542</x:v>
      </x:c>
      <x:c r="K24" s="58" t="n">
        <x:v>16.168286183900477</x:v>
      </x:c>
      <x:c r="L24" s="58" t="n">
        <x:v>16.095194562342694</x:v>
      </x:c>
      <x:c r="M24" s="58" t="n">
        <x:v>16.128092183013838</x:v>
      </x:c>
      <x:c r="N24" s="58" t="n">
        <x:v>16.190135869959555</x:v>
      </x:c>
      <x:c r="O24" s="58" t="n">
        <x:v>1</x:v>
      </x:c>
      <x:c r="P24" s="58" t="n">
        <x:v>16.008600914962155</x:v>
      </x:c>
      <x:c r="Q24" s="58" t="n">
        <x:v>16.067042921438542</x:v>
      </x:c>
      <x:c r="R24" s="58" t="n">
        <x:v>0.058442006476386865</x:v>
      </x:c>
      <x:c r="S24" s="58" t="n">
        <x:v>1</x:v>
      </x:c>
      <x:c r="T24" s="58" t="n">
        <x:v>1</x:v>
      </x:c>
      <x:c r="U24" s="58" t="n">
        <x:v>0.02588152840099387</x:v>
      </x:c>
      <x:c r="V24" s="58" t="str">
        <x:v>0.8663547775883701</x:v>
      </x:c>
      <x:c r="W24" s="58" t="n">
        <x:v>0</x:v>
      </x:c>
      <x:c r="X24" s="58" t="n">
        <x:v>0.18809843609727395</x:v>
      </x:c>
      <x:c r="Y24" s="58" t="n">
        <x:v>0.0868551736353389</x:v>
      </x:c>
      <x:c r="Z24" s="58" t="n">
        <x:v>0.8668956627516622</x:v>
      </x:c>
      <x:c r="AA24" s="58" t="n">
        <x:v>0.02535937581008909</x:v>
      </x:c>
      <x:c r="AB24" s="58" t="n">
        <x:f>IF(C24="SQUAT",0,1)</x:f>
        <x:v>1</x:v>
      </x:c>
      <x:c r="AC24" s="58" t="n">
        <x:f>IF(AND(AB24=1,W24=0),1,0)</x:f>
        <x:v>1</x:v>
      </x:c>
      <x:c r="AD24" s="58" t="n">
        <x:f>IF(AC24=1,X24,"")</x:f>
        <x:v>0.18809843609727395</x:v>
      </x:c>
      <x:c r="AE24" s="58" t="n">
        <x:f>IF(AB24=1,X24,"")</x:f>
        <x:v>0.18809843609727395</x:v>
      </x:c>
      <x:c r="AF24" s="59" t="n">
        <x:f>IF(AB24=1,IF(X24&lt;=2,1,0),"")</x:f>
        <x:v>1</x:v>
      </x:c>
    </x:row>
    <x:row r="25">
      <x:c r="A25" s="57" t="str">
        <x:v>S09_HDH</x:v>
      </x:c>
      <x:c r="B25" s="58" t="str">
        <x:v>S02</x:v>
      </x:c>
      <x:c r="C25" s="58" t="str">
        <x:v>SLOW</x:v>
      </x:c>
      <x:c r="D25" s="58" t="str"/>
      <x:c r="E25" s="58" t="n">
        <x:v>344.862</x:v>
      </x:c>
      <x:c r="F25" s="58" t="n">
        <x:v>394.862</x:v>
      </x:c>
      <x:c r="G25" s="58" t="n">
        <x:v>50</x:v>
      </x:c>
      <x:c r="H25" s="58" t="n">
        <x:v>6.1271073947649475</x:v>
      </x:c>
      <x:c r="I25" s="58" t="n">
        <x:v>6.007542606888881</x:v>
      </x:c>
      <x:c r="J25" s="58" t="n">
        <x:v>5.781016144803104</x:v>
      </x:c>
      <x:c r="K25" s="58" t="n">
        <x:v>6.012381692418402</x:v>
      </x:c>
      <x:c r="L25" s="58" t="n">
        <x:v>5.987316800991805</x:v>
      </x:c>
      <x:c r="M25" s="58" t="n">
        <x:v>5.823198998462338</x:v>
      </x:c>
      <x:c r="N25" s="58" t="n">
        <x:v>6.053437074343189</x:v>
      </x:c>
      <x:c r="O25" s="58" t="n">
        <x:v>3</x:v>
      </x:c>
      <x:c r="P25" s="58" t="n">
        <x:v>6.012381692418402</x:v>
      </x:c>
      <x:c r="Q25" s="58" t="n">
        <x:v>6.007542606888881</x:v>
      </x:c>
      <x:c r="R25" s="58" t="n">
        <x:v>0.004839085529520837</x:v>
      </x:c>
      <x:c r="S25" s="58" t="n">
        <x:v>0.8511032385675259</x:v>
      </x:c>
      <x:c r="T25" s="58" t="n">
        <x:v>1</x:v>
      </x:c>
      <x:c r="U25" s="58" t="n">
        <x:v>0.027751209276713373</x:v>
      </x:c>
      <x:c r="V25" s="58" t="str">
        <x:v>0.8289216748242861</x:v>
      </x:c>
      <x:c r="W25" s="58" t="n">
        <x:v>0</x:v>
      </x:c>
      <x:c r="X25" s="58" t="n">
        <x:v>0.11956478787606617</x:v>
      </x:c>
      <x:c r="Y25" s="58" t="n">
        <x:v>0.11472570234654533</x:v>
      </x:c>
      <x:c r="Z25" s="58" t="n">
        <x:v>0.871950560063168</x:v>
      </x:c>
      <x:c r="AA25" s="58" t="n">
        <x:v>0.026802068797495672</x:v>
      </x:c>
      <x:c r="AB25" s="58" t="n">
        <x:f>IF(C25="SQUAT",0,1)</x:f>
        <x:v>1</x:v>
      </x:c>
      <x:c r="AC25" s="58" t="n">
        <x:f>IF(AND(AB25=1,W25=0),1,0)</x:f>
        <x:v>1</x:v>
      </x:c>
      <x:c r="AD25" s="58" t="n">
        <x:f>IF(AC25=1,X25,"")</x:f>
        <x:v>0.11956478787606617</x:v>
      </x:c>
      <x:c r="AE25" s="58" t="n">
        <x:f>IF(AB25=1,X25,"")</x:f>
        <x:v>0.11956478787606617</x:v>
      </x:c>
      <x:c r="AF25" s="59" t="n">
        <x:f>IF(AB25=1,IF(X25&lt;=2,1,0),"")</x:f>
        <x:v>1</x:v>
      </x:c>
    </x:row>
    <x:row r="26">
      <x:c r="A26" s="57" t="str">
        <x:v>S09_HDH</x:v>
      </x:c>
      <x:c r="B26" s="58" t="str">
        <x:v>S02</x:v>
      </x:c>
      <x:c r="C26" s="58" t="str">
        <x:v>POST_HOLD</x:v>
      </x:c>
      <x:c r="D26" s="58" t="str"/>
      <x:c r="E26" s="58" t="n">
        <x:v>434.862</x:v>
      </x:c>
      <x:c r="F26" s="58" t="n">
        <x:v>484.862</x:v>
      </x:c>
      <x:c r="G26" s="58" t="n">
        <x:v>50</x:v>
      </x:c>
      <x:c r="H26" s="58" t="n">
        <x:v>11.707695644442687</x:v>
      </x:c>
      <x:c r="I26" s="58" t="n">
        <x:v>11.665543334883754</x:v>
      </x:c>
      <x:c r="J26" s="58" t="n">
        <x:v>11.70194291981765</x:v>
      </x:c>
      <x:c r="K26" s="58" t="n">
        <x:v>11.662015641617486</x:v>
      </x:c>
      <x:c r="L26" s="58" t="n">
        <x:v>11.669049323287378</x:v>
      </x:c>
      <x:c r="M26" s="58" t="n">
        <x:v>11.813246783119272</x:v>
      </x:c>
      <x:c r="N26" s="58" t="n">
        <x:v>11.739367172287848</x:v>
      </x:c>
      <x:c r="O26" s="58" t="n">
        <x:v>1</x:v>
      </x:c>
      <x:c r="P26" s="58" t="n">
        <x:v>11.665543334883754</x:v>
      </x:c>
      <x:c r="Q26" s="58" t="n">
        <x:v>11.665543334883754</x:v>
      </x:c>
      <x:c r="R26" s="58" t="n">
        <x:v>0.003527693266267562</x:v>
      </x:c>
      <x:c r="S26" s="58" t="n">
        <x:v>1</x:v>
      </x:c>
      <x:c r="T26" s="58" t="n">
        <x:v>1</x:v>
      </x:c>
      <x:c r="U26" s="58" t="n">
        <x:v>0.028283974406827384</x:v>
      </x:c>
      <x:c r="V26" s="58" t="str">
        <x:v>0.8569580202148969</x:v>
      </x:c>
      <x:c r="W26" s="58" t="n">
        <x:v>0</x:v>
      </x:c>
      <x:c r="X26" s="58" t="n">
        <x:v>0.0421523095589329</x:v>
      </x:c>
      <x:c r="Y26" s="58" t="n">
        <x:v>0.00575272462503662</x:v>
      </x:c>
      <x:c r="Z26" s="58" t="n">
        <x:v>0.727438154405271</x:v>
      </x:c>
      <x:c r="AA26" s="58" t="n">
        <x:v>0.027563429595128537</x:v>
      </x:c>
      <x:c r="AB26" s="58" t="n">
        <x:f>IF(C26="SQUAT",0,1)</x:f>
        <x:v>1</x:v>
      </x:c>
      <x:c r="AC26" s="58" t="n">
        <x:f>IF(AND(AB26=1,W26=0),1,0)</x:f>
        <x:v>1</x:v>
      </x:c>
      <x:c r="AD26" s="58" t="n">
        <x:f>IF(AC26=1,X26,"")</x:f>
        <x:v>0.0421523095589329</x:v>
      </x:c>
      <x:c r="AE26" s="58" t="n">
        <x:f>IF(AB26=1,X26,"")</x:f>
        <x:v>0.0421523095589329</x:v>
      </x:c>
      <x:c r="AF26" s="59" t="n">
        <x:f>IF(AB26=1,IF(X26&lt;=2,1,0),"")</x:f>
        <x:v>1</x:v>
      </x:c>
    </x:row>
    <x:row r="27">
      <x:c r="A27" s="57" t="str">
        <x:v>S09_HDH</x:v>
      </x:c>
      <x:c r="B27" s="58" t="str">
        <x:v>S02</x:v>
      </x:c>
      <x:c r="C27" s="58" t="str">
        <x:v>SQUAT</x:v>
      </x:c>
      <x:c r="D27" s="58" t="str"/>
      <x:c r="E27" s="58" t="n">
        <x:v>509.862</x:v>
      </x:c>
      <x:c r="F27" s="58" t="n">
        <x:v>559.862</x:v>
      </x:c>
      <x:c r="G27" s="58" t="n">
        <x:v>50</x:v>
      </x:c>
      <x:c r="H27" s="58" t="n">
        <x:v>16.489152799504264</x:v>
      </x:c>
      <x:c r="I27" s="58" t="n">
        <x:v>16.648298783765597</x:v>
      </x:c>
      <x:c r="J27" s="58" t="n">
        <x:v>16.914417886259397</x:v>
      </x:c>
      <x:c r="K27" s="58" t="n">
        <x:v>16.78468713918341</x:v>
      </x:c>
      <x:c r="L27" s="58" t="n">
        <x:v>16.602771543963257</x:v>
      </x:c>
      <x:c r="M27" s="58" t="n">
        <x:v>16.875984926528727</x:v>
      </x:c>
      <x:c r="N27" s="58" t="n">
        <x:v>16.736255602229456</x:v>
      </x:c>
      <x:c r="O27" s="58" t="n">
        <x:v>3</x:v>
      </x:c>
      <x:c r="P27" s="58" t="n">
        <x:v>16.78468713918341</x:v>
      </x:c>
      <x:c r="Q27" s="58" t="n">
        <x:v>16.78468713918341</x:v>
      </x:c>
      <x:c r="R27" s="58" t="n">
        <x:v>0.12973074707598542</x:v>
      </x:c>
      <x:c r="S27" s="58" t="n">
        <x:v>1</x:v>
      </x:c>
      <x:c r="T27" s="58" t="n">
        <x:v>0</x:v>
      </x:c>
      <x:c r="U27" s="58" t="n">
        <x:v>0.09625056211906666</x:v>
      </x:c>
      <x:c r="V27" s="58" t="str">
        <x:v>0.7563754464485732</x:v>
      </x:c>
      <x:c r="W27" s="58" t="n">
        <x:v>1</x:v>
      </x:c>
      <x:c r="X27" s="58" t="n">
        <x:v>0.295534339679147</x:v>
      </x:c>
      <x:c r="Y27" s="58" t="n">
        <x:v>0.15914598426133253</x:v>
      </x:c>
      <x:c r="Z27" s="58" t="n">
        <x:v>0.5270385023823733</x:v>
      </x:c>
      <x:c r="AA27" s="58" t="n">
        <x:v>0.08783661927151913</x:v>
      </x:c>
      <x:c r="AB27" s="58" t="n">
        <x:f>IF(C27="SQUAT",0,1)</x:f>
        <x:v>0</x:v>
      </x:c>
      <x:c r="AC27" s="58" t="n">
        <x:f>IF(AND(AB27=1,W27=0),1,0)</x:f>
        <x:v>0</x:v>
      </x:c>
      <x:c r="AD27" s="58" t="str">
        <x:f>IF(AC27=1,X27,"")</x:f>
      </x:c>
      <x:c r="AE27" s="58" t="str">
        <x:f>IF(AB27=1,X27,"")</x:f>
      </x:c>
      <x:c r="AF27" s="59" t="str">
        <x:f>IF(AB27=1,IF(X27&lt;=2,1,0),"")</x:f>
      </x:c>
    </x:row>
    <x:row r="28">
      <x:c r="A28" s="57" t="str">
        <x:v>S09_HDH</x:v>
      </x:c>
      <x:c r="B28" s="58" t="str">
        <x:v>S02</x:v>
      </x:c>
      <x:c r="C28" s="58" t="str">
        <x:v>POST_EXERCISE</x:v>
      </x:c>
      <x:c r="D28" s="58" t="str"/>
      <x:c r="E28" s="58" t="n">
        <x:v>584.862</x:v>
      </x:c>
      <x:c r="F28" s="58" t="n">
        <x:v>634.862</x:v>
      </x:c>
      <x:c r="G28" s="58" t="n">
        <x:v>50</x:v>
      </x:c>
      <x:c r="H28" s="58" t="n">
        <x:v>13.804994148803555</x:v>
      </x:c>
      <x:c r="I28" s="58" t="n">
        <x:v>15.999591013224277</x:v>
      </x:c>
      <x:c r="J28" s="58" t="n">
        <x:v>11.483685257868462</x:v>
      </x:c>
      <x:c r="K28" s="58" t="n">
        <x:v>10.717028259713812</x:v>
      </x:c>
      <x:c r="L28" s="58" t="n">
        <x:v>16.000947896907878</x:v>
      </x:c>
      <x:c r="M28" s="58" t="n">
        <x:v>11.598241691995499</x:v>
      </x:c>
      <x:c r="N28" s="58" t="n">
        <x:v>10.502264442800461</x:v>
      </x:c>
      <x:c r="O28" s="58" t="n">
        <x:v>2</x:v>
      </x:c>
      <x:c r="P28" s="58" t="n">
        <x:v>11.483685257868462</x:v>
      </x:c>
      <x:c r="Q28" s="58" t="n">
        <x:v>11.483685257868462</x:v>
      </x:c>
      <x:c r="R28" s="58" t="n">
        <x:v>0.7666569981546498</x:v>
      </x:c>
      <x:c r="S28" s="58" t="n">
        <x:v>1</x:v>
      </x:c>
      <x:c r="T28" s="58" t="n">
        <x:v>1</x:v>
      </x:c>
      <x:c r="U28" s="58" t="n">
        <x:v>0.034340075778692955</x:v>
      </x:c>
      <x:c r="V28" s="58" t="str">
        <x:v>0.7365092092312489</x:v>
      </x:c>
      <x:c r="W28" s="58" t="n">
        <x:v>0</x:v>
      </x:c>
      <x:c r="X28" s="58" t="n">
        <x:v>2.321308890935093</x:v>
      </x:c>
      <x:c r="Y28" s="58" t="n">
        <x:v>2.1945968644207223</x:v>
      </x:c>
      <x:c r="Z28" s="58" t="n">
        <x:v>0.22611498147196799</x:v>
      </x:c>
      <x:c r="AA28" s="58" t="n">
        <x:v>0.032433695570086504</x:v>
      </x:c>
      <x:c r="AB28" s="58" t="n">
        <x:f>IF(C28="SQUAT",0,1)</x:f>
        <x:v>1</x:v>
      </x:c>
      <x:c r="AC28" s="58" t="n">
        <x:f>IF(AND(AB28=1,W28=0),1,0)</x:f>
        <x:v>1</x:v>
      </x:c>
      <x:c r="AD28" s="58" t="n">
        <x:f>IF(AC28=1,X28,"")</x:f>
        <x:v>2.321308890935093</x:v>
      </x:c>
      <x:c r="AE28" s="58" t="n">
        <x:f>IF(AB28=1,X28,"")</x:f>
        <x:v>2.321308890935093</x:v>
      </x:c>
      <x:c r="AF28" s="59" t="n">
        <x:f>IF(AB28=1,IF(X28&lt;=2,1,0),"")</x:f>
        <x:v>0</x:v>
      </x:c>
    </x:row>
    <x:row r="29">
      <x:c r="A29" s="57" t="str">
        <x:v>S17_RJS</x:v>
      </x:c>
      <x:c r="B29" s="58" t="str">
        <x:v>S01</x:v>
      </x:c>
      <x:c r="C29" s="58" t="str">
        <x:v>FACE_R1</x:v>
      </x:c>
      <x:c r="D29" s="58" t="n">
        <x:v>1</x:v>
      </x:c>
      <x:c r="E29" s="58" t="n">
        <x:v>27.841</x:v>
      </x:c>
      <x:c r="F29" s="58" t="n">
        <x:v>81</x:v>
      </x:c>
      <x:c r="G29" s="58" t="n">
        <x:v>53.159</x:v>
      </x:c>
      <x:c r="H29" s="58" t="n">
        <x:v>14.667130578243356</x:v>
      </x:c>
      <x:c r="I29" s="58" t="n">
        <x:v>14.7794364200071</x:v>
      </x:c>
      <x:c r="J29" s="58" t="n">
        <x:v>14.82174556437248</x:v>
      </x:c>
      <x:c r="K29" s="58" t="n">
        <x:v>15.008802567282611</x:v>
      </x:c>
      <x:c r="L29" s="58" t="n">
        <x:v>14.860628067746651</x:v>
      </x:c>
      <x:c r="M29" s="58" t="n">
        <x:v>14.839186386648885</x:v>
      </x:c>
      <x:c r="N29" s="58" t="n">
        <x:v>14.739426553850844</x:v>
      </x:c>
      <x:c r="O29" s="58" t="n">
        <x:v>2</x:v>
      </x:c>
      <x:c r="P29" s="58" t="n">
        <x:v>14.82174556437248</x:v>
      </x:c>
      <x:c r="Q29" s="58" t="n">
        <x:v>14.82174556437248</x:v>
      </x:c>
      <x:c r="R29" s="58" t="n">
        <x:v>0.04230914436537958</x:v>
      </x:c>
      <x:c r="S29" s="58" t="n">
        <x:v>1</x:v>
      </x:c>
      <x:c r="T29" s="58" t="n">
        <x:v>1</x:v>
      </x:c>
      <x:c r="U29" s="58" t="n">
        <x:v>0.034420622578463546</x:v>
      </x:c>
      <x:c r="V29" s="58" t="str">
        <x:v>0.8720471762001786</x:v>
      </x:c>
      <x:c r="W29" s="58" t="n">
        <x:v>0</x:v>
      </x:c>
      <x:c r="X29" s="58" t="n">
        <x:v>0.15461498612912372</x:v>
      </x:c>
      <x:c r="Y29" s="58" t="n">
        <x:v>0.11230584176374414</x:v>
      </x:c>
      <x:c r="Z29" s="58" t="n">
        <x:v>0.9246542947108932</x:v>
      </x:c>
      <x:c r="AA29" s="58" t="n">
        <x:v>0.02734239795783559</x:v>
      </x:c>
      <x:c r="AB29" s="58" t="n">
        <x:f>IF(C29="SQUAT",0,1)</x:f>
        <x:v>1</x:v>
      </x:c>
      <x:c r="AC29" s="58" t="n">
        <x:f>IF(AND(AB29=1,W29=0),1,0)</x:f>
        <x:v>1</x:v>
      </x:c>
      <x:c r="AD29" s="58" t="n">
        <x:f>IF(AC29=1,X29,"")</x:f>
        <x:v>0.15461498612912372</x:v>
      </x:c>
      <x:c r="AE29" s="58" t="n">
        <x:f>IF(AB29=1,X29,"")</x:f>
        <x:v>0.15461498612912372</x:v>
      </x:c>
      <x:c r="AF29" s="59" t="n">
        <x:f>IF(AB29=1,IF(X29&lt;=2,1,0),"")</x:f>
        <x:v>1</x:v>
      </x:c>
    </x:row>
    <x:row r="30">
      <x:c r="A30" s="57" t="str">
        <x:v>S17_RJS</x:v>
      </x:c>
      <x:c r="B30" s="58" t="str">
        <x:v>S01</x:v>
      </x:c>
      <x:c r="C30" s="58" t="str">
        <x:v>FACE_R2</x:v>
      </x:c>
      <x:c r="D30" s="58" t="n">
        <x:v>2</x:v>
      </x:c>
      <x:c r="E30" s="58" t="n">
        <x:v>91</x:v>
      </x:c>
      <x:c r="F30" s="58" t="n">
        <x:v>143.2</x:v>
      </x:c>
      <x:c r="G30" s="58" t="n">
        <x:v>52.2</x:v>
      </x:c>
      <x:c r="H30" s="58" t="n">
        <x:v>13.30725372016571</x:v>
      </x:c>
      <x:c r="I30" s="58" t="n">
        <x:v>13.48722969407223</x:v>
      </x:c>
      <x:c r="J30" s="58" t="n">
        <x:v>13.428374880382545</x:v>
      </x:c>
      <x:c r="K30" s="58" t="n">
        <x:v>13.71829845028803</x:v>
      </x:c>
      <x:c r="L30" s="58" t="n">
        <x:v>13.4888953988349</x:v>
      </x:c>
      <x:c r="M30" s="58" t="n">
        <x:v>13.511126638475588</x:v>
      </x:c>
      <x:c r="N30" s="58" t="n">
        <x:v>13.822297440407985</x:v>
      </x:c>
      <x:c r="O30" s="58" t="n">
        <x:v>1</x:v>
      </x:c>
      <x:c r="P30" s="58" t="n">
        <x:v>13.48722969407223</x:v>
      </x:c>
      <x:c r="Q30" s="58" t="n">
        <x:v>13.48722969407223</x:v>
      </x:c>
      <x:c r="R30" s="58" t="n">
        <x:v>0.058854813689684704</x:v>
      </x:c>
      <x:c r="S30" s="58" t="n">
        <x:v>1</x:v>
      </x:c>
      <x:c r="T30" s="58" t="n">
        <x:v>1</x:v>
      </x:c>
      <x:c r="U30" s="58" t="n">
        <x:v>0.030158551090406143</x:v>
      </x:c>
      <x:c r="V30" s="58" t="str">
        <x:v>0.8714131183296735</x:v>
      </x:c>
      <x:c r="W30" s="58" t="n">
        <x:v>0</x:v>
      </x:c>
      <x:c r="X30" s="58" t="n">
        <x:v>0.17997597390652054</x:v>
      </x:c>
      <x:c r="Y30" s="58" t="n">
        <x:v>0.12112116021683583</x:v>
      </x:c>
      <x:c r="Z30" s="58" t="n">
        <x:v>0.8631478619055682</x:v>
      </x:c>
      <x:c r="AA30" s="58" t="n">
        <x:v>0.029757094260977186</x:v>
      </x:c>
      <x:c r="AB30" s="58" t="n">
        <x:f>IF(C30="SQUAT",0,1)</x:f>
        <x:v>1</x:v>
      </x:c>
      <x:c r="AC30" s="58" t="n">
        <x:f>IF(AND(AB30=1,W30=0),1,0)</x:f>
        <x:v>1</x:v>
      </x:c>
      <x:c r="AD30" s="58" t="n">
        <x:f>IF(AC30=1,X30,"")</x:f>
        <x:v>0.17997597390652054</x:v>
      </x:c>
      <x:c r="AE30" s="58" t="n">
        <x:f>IF(AB30=1,X30,"")</x:f>
        <x:v>0.17997597390652054</x:v>
      </x:c>
      <x:c r="AF30" s="59" t="n">
        <x:f>IF(AB30=1,IF(X30&lt;=2,1,0),"")</x:f>
        <x:v>1</x:v>
      </x:c>
    </x:row>
    <x:row r="31">
      <x:c r="A31" s="57" t="str">
        <x:v>S17_RJS</x:v>
      </x:c>
      <x:c r="B31" s="58" t="str">
        <x:v>S01</x:v>
      </x:c>
      <x:c r="C31" s="58" t="str">
        <x:v>FACE_R3</x:v>
      </x:c>
      <x:c r="D31" s="58" t="n">
        <x:v>3</x:v>
      </x:c>
      <x:c r="E31" s="58" t="n">
        <x:v>153.2</x:v>
      </x:c>
      <x:c r="F31" s="58" t="n">
        <x:v>204.809</x:v>
      </x:c>
      <x:c r="G31" s="58" t="n">
        <x:v>51.609</x:v>
      </x:c>
      <x:c r="H31" s="58" t="n">
        <x:v>15.62581923061987</x:v>
      </x:c>
      <x:c r="I31" s="58" t="n">
        <x:v>15.38609894100075</x:v>
      </x:c>
      <x:c r="J31" s="58" t="n">
        <x:v>15.582700395344665</x:v>
      </x:c>
      <x:c r="K31" s="58" t="n">
        <x:v>15.599849984519112</x:v>
      </x:c>
      <x:c r="L31" s="58" t="n">
        <x:v>15.435188768827341</x:v>
      </x:c>
      <x:c r="M31" s="58" t="n">
        <x:v>15.606460977072537</x:v>
      </x:c>
      <x:c r="N31" s="58" t="n">
        <x:v>15.63415285068757</x:v>
      </x:c>
      <x:c r="O31" s="58" t="n">
        <x:v>3</x:v>
      </x:c>
      <x:c r="P31" s="58" t="n">
        <x:v>15.599849984519112</x:v>
      </x:c>
      <x:c r="Q31" s="58" t="n">
        <x:v>15.582700395344665</x:v>
      </x:c>
      <x:c r="R31" s="58" t="n">
        <x:v>0.017149589174447755</x:v>
      </x:c>
      <x:c r="S31" s="58" t="n">
        <x:v>1</x:v>
      </x:c>
      <x:c r="T31" s="58" t="n">
        <x:v>1</x:v>
      </x:c>
      <x:c r="U31" s="58" t="n">
        <x:v>0.029265160350350483</x:v>
      </x:c>
      <x:c r="V31" s="58" t="str">
        <x:v>0.8808080309239562</x:v>
      </x:c>
      <x:c r="W31" s="58" t="n">
        <x:v>0</x:v>
      </x:c>
      <x:c r="X31" s="58" t="n">
        <x:v>0.043118835275205214</x:v>
      </x:c>
      <x:c r="Y31" s="58" t="n">
        <x:v>0.02596924610075746</x:v>
      </x:c>
      <x:c r="Z31" s="58" t="n">
        <x:v>0.8720301822457394</x:v>
      </x:c>
      <x:c r="AA31" s="58" t="n">
        <x:v>0.027525935412334016</x:v>
      </x:c>
      <x:c r="AB31" s="58" t="n">
        <x:f>IF(C31="SQUAT",0,1)</x:f>
        <x:v>1</x:v>
      </x:c>
      <x:c r="AC31" s="58" t="n">
        <x:f>IF(AND(AB31=1,W31=0),1,0)</x:f>
        <x:v>1</x:v>
      </x:c>
      <x:c r="AD31" s="58" t="n">
        <x:f>IF(AC31=1,X31,"")</x:f>
        <x:v>0.043118835275205214</x:v>
      </x:c>
      <x:c r="AE31" s="58" t="n">
        <x:f>IF(AB31=1,X31,"")</x:f>
        <x:v>0.043118835275205214</x:v>
      </x:c>
      <x:c r="AF31" s="59" t="n">
        <x:f>IF(AB31=1,IF(X31&lt;=2,1,0),"")</x:f>
        <x:v>1</x:v>
      </x:c>
    </x:row>
    <x:row r="32">
      <x:c r="A32" s="57" t="str">
        <x:v>S17_RJS</x:v>
      </x:c>
      <x:c r="B32" s="58" t="str">
        <x:v>S02</x:v>
      </x:c>
      <x:c r="C32" s="58" t="str">
        <x:v>NORMAL</x:v>
      </x:c>
      <x:c r="D32" s="58" t="str"/>
      <x:c r="E32" s="58" t="n">
        <x:v>243.63</x:v>
      </x:c>
      <x:c r="F32" s="58" t="n">
        <x:v>293.63</x:v>
      </x:c>
      <x:c r="G32" s="58" t="n">
        <x:v>50</x:v>
      </x:c>
      <x:c r="H32" s="58" t="n">
        <x:v>16.900553668324427</x:v>
      </x:c>
      <x:c r="I32" s="58" t="n">
        <x:v>16.930657712380782</x:v>
      </x:c>
      <x:c r="J32" s="58" t="n">
        <x:v>17.382240037561616</x:v>
      </x:c>
      <x:c r="K32" s="58" t="n">
        <x:v>16.492692861138075</x:v>
      </x:c>
      <x:c r="L32" s="58" t="n">
        <x:v>16.809567444030552</x:v>
      </x:c>
      <x:c r="M32" s="58" t="n">
        <x:v>17.55217114602651</x:v>
      </x:c>
      <x:c r="N32" s="58" t="n">
        <x:v>16.460889635544767</x:v>
      </x:c>
      <x:c r="O32" s="58" t="n">
        <x:v>1</x:v>
      </x:c>
      <x:c r="P32" s="58" t="n">
        <x:v>16.930657712380782</x:v>
      </x:c>
      <x:c r="Q32" s="58" t="n">
        <x:v>16.930657712380782</x:v>
      </x:c>
      <x:c r="R32" s="58" t="n">
        <x:v>0.43796485124270745</x:v>
      </x:c>
      <x:c r="S32" s="58" t="n">
        <x:v>1</x:v>
      </x:c>
      <x:c r="T32" s="58" t="n">
        <x:v>1</x:v>
      </x:c>
      <x:c r="U32" s="58" t="n">
        <x:v>0.029149334324580112</x:v>
      </x:c>
      <x:c r="V32" s="58" t="str">
        <x:v>0.7955903211043734</x:v>
      </x:c>
      <x:c r="W32" s="58" t="n">
        <x:v>0</x:v>
      </x:c>
      <x:c r="X32" s="58" t="n">
        <x:v>0.030104044056354695</x:v>
      </x:c>
      <x:c r="Y32" s="58" t="n">
        <x:v>0.030104044056354695</x:v>
      </x:c>
      <x:c r="Z32" s="58" t="n">
        <x:v>0.7820317698408397</x:v>
      </x:c>
      <x:c r="AA32" s="58" t="n">
        <x:v>0.027289061876869587</x:v>
      </x:c>
      <x:c r="AB32" s="58" t="n">
        <x:f>IF(C32="SQUAT",0,1)</x:f>
        <x:v>1</x:v>
      </x:c>
      <x:c r="AC32" s="58" t="n">
        <x:f>IF(AND(AB32=1,W32=0),1,0)</x:f>
        <x:v>1</x:v>
      </x:c>
      <x:c r="AD32" s="58" t="n">
        <x:f>IF(AC32=1,X32,"")</x:f>
        <x:v>0.030104044056354695</x:v>
      </x:c>
      <x:c r="AE32" s="58" t="n">
        <x:f>IF(AB32=1,X32,"")</x:f>
        <x:v>0.030104044056354695</x:v>
      </x:c>
      <x:c r="AF32" s="59" t="n">
        <x:f>IF(AB32=1,IF(X32&lt;=2,1,0),"")</x:f>
        <x:v>1</x:v>
      </x:c>
    </x:row>
    <x:row r="33">
      <x:c r="A33" s="57" t="str">
        <x:v>S17_RJS</x:v>
      </x:c>
      <x:c r="B33" s="58" t="str">
        <x:v>S02</x:v>
      </x:c>
      <x:c r="C33" s="58" t="str">
        <x:v>SLOW</x:v>
      </x:c>
      <x:c r="D33" s="58" t="str"/>
      <x:c r="E33" s="58" t="n">
        <x:v>303.63</x:v>
      </x:c>
      <x:c r="F33" s="58" t="n">
        <x:v>353.63</x:v>
      </x:c>
      <x:c r="G33" s="58" t="n">
        <x:v>50</x:v>
      </x:c>
      <x:c r="H33" s="58" t="n">
        <x:v>5.988312667577404</x:v>
      </x:c>
      <x:c r="I33" s="58" t="n">
        <x:v>5.980151878792473</x:v>
      </x:c>
      <x:c r="J33" s="58" t="n">
        <x:v>5.979428404663684</x:v>
      </x:c>
      <x:c r="K33" s="58" t="n">
        <x:v>5.99804096017776</x:v>
      </x:c>
      <x:c r="L33" s="58" t="n">
        <x:v>6.106628089845067</x:v>
      </x:c>
      <x:c r="M33" s="58" t="n">
        <x:v>5.955241114974384</x:v>
      </x:c>
      <x:c r="N33" s="58" t="n">
        <x:v>5.982154036940794</x:v>
      </x:c>
      <x:c r="O33" s="58" t="n">
        <x:v>1</x:v>
      </x:c>
      <x:c r="P33" s="58" t="n">
        <x:v>5.980151878792473</x:v>
      </x:c>
      <x:c r="Q33" s="58" t="n">
        <x:v>5.980151878792473</x:v>
      </x:c>
      <x:c r="R33" s="58" t="n">
        <x:v>0.0007234741287884816</x:v>
      </x:c>
      <x:c r="S33" s="58" t="n">
        <x:v>0.848644779495616</x:v>
      </x:c>
      <x:c r="T33" s="58" t="n">
        <x:v>1</x:v>
      </x:c>
      <x:c r="U33" s="58" t="n">
        <x:v>0.029808218570862285</x:v>
      </x:c>
      <x:c r="V33" s="58" t="str">
        <x:v>0.8304389347044</x:v>
      </x:c>
      <x:c r="W33" s="58" t="n">
        <x:v>0</x:v>
      </x:c>
      <x:c r="X33" s="58" t="n">
        <x:v>0.008160788784930872</x:v>
      </x:c>
      <x:c r="Y33" s="58" t="n">
        <x:v>0.008160788784930872</x:v>
      </x:c>
      <x:c r="Z33" s="58" t="n">
        <x:v>0.872669063164899</x:v>
      </x:c>
      <x:c r="AA33" s="58" t="n">
        <x:v>0.028198922722325707</x:v>
      </x:c>
      <x:c r="AB33" s="58" t="n">
        <x:f>IF(C33="SQUAT",0,1)</x:f>
        <x:v>1</x:v>
      </x:c>
      <x:c r="AC33" s="58" t="n">
        <x:f>IF(AND(AB33=1,W33=0),1,0)</x:f>
        <x:v>1</x:v>
      </x:c>
      <x:c r="AD33" s="58" t="n">
        <x:f>IF(AC33=1,X33,"")</x:f>
        <x:v>0.008160788784930872</x:v>
      </x:c>
      <x:c r="AE33" s="58" t="n">
        <x:f>IF(AB33=1,X33,"")</x:f>
        <x:v>0.008160788784930872</x:v>
      </x:c>
      <x:c r="AF33" s="59" t="n">
        <x:f>IF(AB33=1,IF(X33&lt;=2,1,0),"")</x:f>
        <x:v>1</x:v>
      </x:c>
    </x:row>
    <x:row r="34">
      <x:c r="A34" s="57" t="str">
        <x:v>S17_RJS</x:v>
      </x:c>
      <x:c r="B34" s="58" t="str">
        <x:v>S02</x:v>
      </x:c>
      <x:c r="C34" s="58" t="str">
        <x:v>POST_HOLD</x:v>
      </x:c>
      <x:c r="D34" s="58" t="str"/>
      <x:c r="E34" s="58" t="n">
        <x:v>393.25</x:v>
      </x:c>
      <x:c r="F34" s="58" t="n">
        <x:v>443.63</x:v>
      </x:c>
      <x:c r="G34" s="58" t="n">
        <x:v>50.38</x:v>
      </x:c>
      <x:c r="H34" s="58" t="n">
        <x:v>15.953071942182167</x:v>
      </x:c>
      <x:c r="I34" s="58" t="n">
        <x:v>12.32207915444225</x:v>
      </x:c>
      <x:c r="J34" s="58" t="n">
        <x:v>12.271599918844977</x:v>
      </x:c>
      <x:c r="K34" s="58" t="n">
        <x:v>12.146666118606456</x:v>
      </x:c>
      <x:c r="L34" s="58" t="n">
        <x:v>12.390901095765411</x:v>
      </x:c>
      <x:c r="M34" s="58" t="n">
        <x:v>12.27813241640137</x:v>
      </x:c>
      <x:c r="N34" s="58" t="n">
        <x:v>11.995747104372168</x:v>
      </x:c>
      <x:c r="O34" s="58" t="n">
        <x:v>3</x:v>
      </x:c>
      <x:c r="P34" s="58" t="n">
        <x:v>12.146666118606456</x:v>
      </x:c>
      <x:c r="Q34" s="58" t="n">
        <x:v>12.271599918844977</x:v>
      </x:c>
      <x:c r="R34" s="58" t="n">
        <x:v>0.05047923559727252</x:v>
      </x:c>
      <x:c r="S34" s="58" t="n">
        <x:v>1</x:v>
      </x:c>
      <x:c r="T34" s="58" t="n">
        <x:v>1</x:v>
      </x:c>
      <x:c r="U34" s="58" t="n">
        <x:v>0.029162789775595138</x:v>
      </x:c>
      <x:c r="V34" s="58" t="str">
        <x:v>0.8606799817446732</x:v>
      </x:c>
      <x:c r="W34" s="58" t="n">
        <x:v>0</x:v>
      </x:c>
      <x:c r="X34" s="58" t="n">
        <x:v>3.6814720233371894</x:v>
      </x:c>
      <x:c r="Y34" s="58" t="n">
        <x:v>3.630992787739917</x:v>
      </x:c>
      <x:c r="Z34" s="58" t="n">
        <x:v>0.5873912840318043</x:v>
      </x:c>
      <x:c r="AA34" s="58" t="n">
        <x:v>0.026706274910946997</x:v>
      </x:c>
      <x:c r="AB34" s="58" t="n">
        <x:f>IF(C34="SQUAT",0,1)</x:f>
        <x:v>1</x:v>
      </x:c>
      <x:c r="AC34" s="58" t="n">
        <x:f>IF(AND(AB34=1,W34=0),1,0)</x:f>
        <x:v>1</x:v>
      </x:c>
      <x:c r="AD34" s="58" t="n">
        <x:f>IF(AC34=1,X34,"")</x:f>
        <x:v>3.6814720233371894</x:v>
      </x:c>
      <x:c r="AE34" s="58" t="n">
        <x:f>IF(AB34=1,X34,"")</x:f>
        <x:v>3.6814720233371894</x:v>
      </x:c>
      <x:c r="AF34" s="59" t="n">
        <x:f>IF(AB34=1,IF(X34&lt;=2,1,0),"")</x:f>
        <x:v>0</x:v>
      </x:c>
    </x:row>
    <x:row r="35">
      <x:c r="A35" s="57" t="str">
        <x:v>S17_RJS</x:v>
      </x:c>
      <x:c r="B35" s="58" t="str">
        <x:v>S02</x:v>
      </x:c>
      <x:c r="C35" s="58" t="str">
        <x:v>SQUAT</x:v>
      </x:c>
      <x:c r="D35" s="58" t="str"/>
      <x:c r="E35" s="58" t="n">
        <x:v>468.63</x:v>
      </x:c>
      <x:c r="F35" s="58" t="n">
        <x:v>518.63</x:v>
      </x:c>
      <x:c r="G35" s="58" t="n">
        <x:v>50</x:v>
      </x:c>
      <x:c r="H35" s="58" t="n">
        <x:v>32.958984375</x:v>
      </x:c>
      <x:c r="I35" s="58" t="n">
        <x:v>10.795096493111219</x:v>
      </x:c>
      <x:c r="J35" s="58" t="n">
        <x:v>30.438557437203176</x:v>
      </x:c>
      <x:c r="K35" s="58" t="n">
        <x:v>30.72386661215406</x:v>
      </x:c>
      <x:c r="L35" s="58" t="n">
        <x:v>10.797465136744249</x:v>
      </x:c>
      <x:c r="M35" s="58" t="n">
        <x:v>30.36631240396118</x:v>
      </x:c>
      <x:c r="N35" s="58" t="n">
        <x:v>30.70125683623046</x:v>
      </x:c>
      <x:c r="O35" s="58" t="n">
        <x:v>3</x:v>
      </x:c>
      <x:c r="P35" s="58" t="n">
        <x:v>30.72386661215406</x:v>
      </x:c>
      <x:c r="Q35" s="58" t="n">
        <x:v>30.72386661215406</x:v>
      </x:c>
      <x:c r="R35" s="58" t="n">
        <x:v>0.28530917495088204</x:v>
      </x:c>
      <x:c r="S35" s="58" t="n">
        <x:v>1</x:v>
      </x:c>
      <x:c r="T35" s="58" t="n">
        <x:v>0</x:v>
      </x:c>
      <x:c r="U35" s="58" t="n">
        <x:v>0.1822403848657225</x:v>
      </x:c>
      <x:c r="V35" s="58" t="str">
        <x:v>0.6965558945421905</x:v>
      </x:c>
      <x:c r="W35" s="58" t="n">
        <x:v>1</x:v>
      </x:c>
      <x:c r="X35" s="58" t="n">
        <x:v>2.2351177628459418</x:v>
      </x:c>
      <x:c r="Y35" s="58" t="n">
        <x:v>2.2351177628459418</x:v>
      </x:c>
      <x:c r="Z35" s="58" t="n">
        <x:v>0.5147156862317007</x:v>
      </x:c>
      <x:c r="AA35" s="58" t="n">
        <x:v>0.11812471417840514</x:v>
      </x:c>
      <x:c r="AB35" s="58" t="n">
        <x:f>IF(C35="SQUAT",0,1)</x:f>
        <x:v>0</x:v>
      </x:c>
      <x:c r="AC35" s="58" t="n">
        <x:f>IF(AND(AB35=1,W35=0),1,0)</x:f>
        <x:v>0</x:v>
      </x:c>
      <x:c r="AD35" s="58" t="str">
        <x:f>IF(AC35=1,X35,"")</x:f>
      </x:c>
      <x:c r="AE35" s="58" t="str">
        <x:f>IF(AB35=1,X35,"")</x:f>
      </x:c>
      <x:c r="AF35" s="59" t="str">
        <x:f>IF(AB35=1,IF(X35&lt;=2,1,0),"")</x:f>
      </x:c>
    </x:row>
    <x:row r="36">
      <x:c r="A36" s="57" t="str">
        <x:v>S17_RJS</x:v>
      </x:c>
      <x:c r="B36" s="58" t="str">
        <x:v>S02</x:v>
      </x:c>
      <x:c r="C36" s="58" t="str">
        <x:v>POST_EXERCISE</x:v>
      </x:c>
      <x:c r="D36" s="58" t="str"/>
      <x:c r="E36" s="58" t="n">
        <x:v>543.63</x:v>
      </x:c>
      <x:c r="F36" s="58" t="n">
        <x:v>593.63</x:v>
      </x:c>
      <x:c r="G36" s="58" t="n">
        <x:v>50</x:v>
      </x:c>
      <x:c r="H36" s="58" t="n">
        <x:v>25.94537086356089</x:v>
      </x:c>
      <x:c r="I36" s="58" t="n">
        <x:v>26.043384062514196</x:v>
      </x:c>
      <x:c r="J36" s="58" t="n">
        <x:v>25.974929032168227</x:v>
      </x:c>
      <x:c r="K36" s="58" t="n">
        <x:v>25.92221964318432</x:v>
      </x:c>
      <x:c r="L36" s="58" t="n">
        <x:v>25.95918909992297</x:v>
      </x:c>
      <x:c r="M36" s="58" t="n">
        <x:v>25.99763964863772</x:v>
      </x:c>
      <x:c r="N36" s="58" t="n">
        <x:v>25.99749989205094</x:v>
      </x:c>
      <x:c r="O36" s="58" t="n">
        <x:v>3</x:v>
      </x:c>
      <x:c r="P36" s="58" t="n">
        <x:v>25.92221964318432</x:v>
      </x:c>
      <x:c r="Q36" s="58" t="n">
        <x:v>25.974929032168227</x:v>
      </x:c>
      <x:c r="R36" s="58" t="n">
        <x:v>0.052709388983906535</x:v>
      </x:c>
      <x:c r="S36" s="58" t="n">
        <x:v>1</x:v>
      </x:c>
      <x:c r="T36" s="58" t="n">
        <x:v>1</x:v>
      </x:c>
      <x:c r="U36" s="58" t="n">
        <x:v>0.03144752288891961</x:v>
      </x:c>
      <x:c r="V36" s="58" t="str">
        <x:v>0.8627498947873974</x:v>
      </x:c>
      <x:c r="W36" s="58" t="n">
        <x:v>0</x:v>
      </x:c>
      <x:c r="X36" s="58" t="n">
        <x:v>0.02955816860733762</x:v>
      </x:c>
      <x:c r="Y36" s="58" t="n">
        <x:v>0.023151220376568915</x:v>
      </x:c>
      <x:c r="Z36" s="58" t="n">
        <x:v>0.5257006913458658</x:v>
      </x:c>
      <x:c r="AA36" s="58" t="n">
        <x:v>0.029704366613865378</x:v>
      </x:c>
      <x:c r="AB36" s="58" t="n">
        <x:f>IF(C36="SQUAT",0,1)</x:f>
        <x:v>1</x:v>
      </x:c>
      <x:c r="AC36" s="58" t="n">
        <x:f>IF(AND(AB36=1,W36=0),1,0)</x:f>
        <x:v>1</x:v>
      </x:c>
      <x:c r="AD36" s="58" t="n">
        <x:f>IF(AC36=1,X36,"")</x:f>
        <x:v>0.02955816860733762</x:v>
      </x:c>
      <x:c r="AE36" s="58" t="n">
        <x:f>IF(AB36=1,X36,"")</x:f>
        <x:v>0.02955816860733762</x:v>
      </x:c>
      <x:c r="AF36" s="59" t="n">
        <x:f>IF(AB36=1,IF(X36&lt;=2,1,0),"")</x:f>
        <x:v>1</x:v>
      </x:c>
    </x:row>
    <x:row r="37">
      <x:c r="A37" s="57" t="str">
        <x:v>S18_LJH</x:v>
      </x:c>
      <x:c r="B37" s="58" t="str">
        <x:v>S01</x:v>
      </x:c>
      <x:c r="C37" s="58" t="str">
        <x:v>FACE_R1</x:v>
      </x:c>
      <x:c r="D37" s="58" t="n">
        <x:v>1</x:v>
      </x:c>
      <x:c r="E37" s="58" t="n">
        <x:v>28.488</x:v>
      </x:c>
      <x:c r="F37" s="58" t="n">
        <x:v>78</x:v>
      </x:c>
      <x:c r="G37" s="58" t="n">
        <x:v>49.512</x:v>
      </x:c>
      <x:c r="H37" s="58" t="n">
        <x:v>16.37375957159053</x:v>
      </x:c>
      <x:c r="I37" s="58" t="n">
        <x:v>16.345897573387493</x:v>
      </x:c>
      <x:c r="J37" s="58" t="n">
        <x:v>16.38973966454355</x:v>
      </x:c>
      <x:c r="K37" s="58" t="n">
        <x:v>16.091247564663977</x:v>
      </x:c>
      <x:c r="L37" s="58" t="n">
        <x:v>16.34919044507376</x:v>
      </x:c>
      <x:c r="M37" s="58" t="n">
        <x:v>16.31160390000713</x:v>
      </x:c>
      <x:c r="N37" s="58" t="n">
        <x:v>15.885103423386308</x:v>
      </x:c>
      <x:c r="O37" s="58" t="n">
        <x:v>1</x:v>
      </x:c>
      <x:c r="P37" s="58" t="n">
        <x:v>16.345897573387493</x:v>
      </x:c>
      <x:c r="Q37" s="58" t="n">
        <x:v>16.345897573387493</x:v>
      </x:c>
      <x:c r="R37" s="58" t="n">
        <x:v>0.043842091156058416</x:v>
      </x:c>
      <x:c r="S37" s="58" t="n">
        <x:v>1</x:v>
      </x:c>
      <x:c r="T37" s="58" t="n">
        <x:v>1</x:v>
      </x:c>
      <x:c r="U37" s="58" t="n">
        <x:v>0.031334668927641036</x:v>
      </x:c>
      <x:c r="V37" s="58" t="str">
        <x:v>0.8749900585550267</x:v>
      </x:c>
      <x:c r="W37" s="58" t="n">
        <x:v>0</x:v>
      </x:c>
      <x:c r="X37" s="58" t="n">
        <x:v>0.027861998203036364</x:v>
      </x:c>
      <x:c r="Y37" s="58" t="n">
        <x:v>0.01598009295302205</x:v>
      </x:c>
      <x:c r="Z37" s="58" t="n">
        <x:v>0.9430336721039567</x:v>
      </x:c>
      <x:c r="AA37" s="58" t="n">
        <x:v>0.02543069901611758</x:v>
      </x:c>
      <x:c r="AB37" s="58" t="n">
        <x:f>IF(C37="SQUAT",0,1)</x:f>
        <x:v>1</x:v>
      </x:c>
      <x:c r="AC37" s="58" t="n">
        <x:f>IF(AND(AB37=1,W37=0),1,0)</x:f>
        <x:v>1</x:v>
      </x:c>
      <x:c r="AD37" s="58" t="n">
        <x:f>IF(AC37=1,X37,"")</x:f>
        <x:v>0.027861998203036364</x:v>
      </x:c>
      <x:c r="AE37" s="58" t="n">
        <x:f>IF(AB37=1,X37,"")</x:f>
        <x:v>0.027861998203036364</x:v>
      </x:c>
      <x:c r="AF37" s="59" t="n">
        <x:f>IF(AB37=1,IF(X37&lt;=2,1,0),"")</x:f>
        <x:v>1</x:v>
      </x:c>
    </x:row>
    <x:row r="38">
      <x:c r="A38" s="57" t="str">
        <x:v>S18_LJH</x:v>
      </x:c>
      <x:c r="B38" s="58" t="str">
        <x:v>S01</x:v>
      </x:c>
      <x:c r="C38" s="58" t="str">
        <x:v>FACE_R2</x:v>
      </x:c>
      <x:c r="D38" s="58" t="n">
        <x:v>2</x:v>
      </x:c>
      <x:c r="E38" s="58" t="n">
        <x:v>88</x:v>
      </x:c>
      <x:c r="F38" s="58" t="n">
        <x:v>139.9</x:v>
      </x:c>
      <x:c r="G38" s="58" t="n">
        <x:v>51.9</x:v>
      </x:c>
      <x:c r="H38" s="58" t="n">
        <x:v>17.116628714455533</x:v>
      </x:c>
      <x:c r="I38" s="58" t="n">
        <x:v>17.098856834386606</x:v>
      </x:c>
      <x:c r="J38" s="58" t="n">
        <x:v>17.123670391205323</x:v>
      </x:c>
      <x:c r="K38" s="58" t="n">
        <x:v>17.09579063239462</x:v>
      </x:c>
      <x:c r="L38" s="58" t="n">
        <x:v>17.10568132504556</x:v>
      </x:c>
      <x:c r="M38" s="58" t="n">
        <x:v>17.12492030721135</x:v>
      </x:c>
      <x:c r="N38" s="58" t="n">
        <x:v>17.074163719327036</x:v>
      </x:c>
      <x:c r="O38" s="58" t="n">
        <x:v>2</x:v>
      </x:c>
      <x:c r="P38" s="58" t="n">
        <x:v>17.123670391205323</x:v>
      </x:c>
      <x:c r="Q38" s="58" t="n">
        <x:v>17.098856834386606</x:v>
      </x:c>
      <x:c r="R38" s="58" t="n">
        <x:v>0.003066201991984485</x:v>
      </x:c>
      <x:c r="S38" s="58" t="n">
        <x:v>1</x:v>
      </x:c>
      <x:c r="T38" s="58" t="n">
        <x:v>1</x:v>
      </x:c>
      <x:c r="U38" s="58" t="n">
        <x:v>0.03185062525766785</x:v>
      </x:c>
      <x:c r="V38" s="58" t="str">
        <x:v>0.8699928192842975</x:v>
      </x:c>
      <x:c r="W38" s="58" t="n">
        <x:v>0</x:v>
      </x:c>
      <x:c r="X38" s="58" t="n">
        <x:v>0.017771880068927715</x:v>
      </x:c>
      <x:c r="Y38" s="58" t="n">
        <x:v>0.007041676749789616</x:v>
      </x:c>
      <x:c r="Z38" s="58" t="n">
        <x:v>0.9253185026428293</x:v>
      </x:c>
      <x:c r="AA38" s="58" t="n">
        <x:v>0.030447776882153617</x:v>
      </x:c>
      <x:c r="AB38" s="58" t="n">
        <x:f>IF(C38="SQUAT",0,1)</x:f>
        <x:v>1</x:v>
      </x:c>
      <x:c r="AC38" s="58" t="n">
        <x:f>IF(AND(AB38=1,W38=0),1,0)</x:f>
        <x:v>1</x:v>
      </x:c>
      <x:c r="AD38" s="58" t="n">
        <x:f>IF(AC38=1,X38,"")</x:f>
        <x:v>0.017771880068927715</x:v>
      </x:c>
      <x:c r="AE38" s="58" t="n">
        <x:f>IF(AB38=1,X38,"")</x:f>
        <x:v>0.017771880068927715</x:v>
      </x:c>
      <x:c r="AF38" s="59" t="n">
        <x:f>IF(AB38=1,IF(X38&lt;=2,1,0),"")</x:f>
        <x:v>1</x:v>
      </x:c>
    </x:row>
    <x:row r="39">
      <x:c r="A39" s="57" t="str">
        <x:v>S18_LJH</x:v>
      </x:c>
      <x:c r="B39" s="58" t="str">
        <x:v>S01</x:v>
      </x:c>
      <x:c r="C39" s="58" t="str">
        <x:v>FACE_R3</x:v>
      </x:c>
      <x:c r="D39" s="58" t="n">
        <x:v>3</x:v>
      </x:c>
      <x:c r="E39" s="58" t="n">
        <x:v>149.9</x:v>
      </x:c>
      <x:c r="F39" s="58" t="n">
        <x:v>206.68</x:v>
      </x:c>
      <x:c r="G39" s="58" t="n">
        <x:v>56.78</x:v>
      </x:c>
      <x:c r="H39" s="58" t="n">
        <x:v>14.818154883718202</x:v>
      </x:c>
      <x:c r="I39" s="58" t="n">
        <x:v>14.768888237196556</x:v>
      </x:c>
      <x:c r="J39" s="58" t="n">
        <x:v>14.754533672305925</x:v>
      </x:c>
      <x:c r="K39" s="58" t="n">
        <x:v>14.724435036962097</x:v>
      </x:c>
      <x:c r="L39" s="58" t="n">
        <x:v>14.754848682859176</x:v>
      </x:c>
      <x:c r="M39" s="58" t="n">
        <x:v>14.758106420008945</x:v>
      </x:c>
      <x:c r="N39" s="58" t="n">
        <x:v>14.702653699146675</x:v>
      </x:c>
      <x:c r="O39" s="58" t="n">
        <x:v>3</x:v>
      </x:c>
      <x:c r="P39" s="58" t="n">
        <x:v>14.724435036962097</x:v>
      </x:c>
      <x:c r="Q39" s="58" t="n">
        <x:v>14.754533672305925</x:v>
      </x:c>
      <x:c r="R39" s="58" t="n">
        <x:v>0.014354564890631138</x:v>
      </x:c>
      <x:c r="S39" s="58" t="n">
        <x:v>1</x:v>
      </x:c>
      <x:c r="T39" s="58" t="n">
        <x:v>1</x:v>
      </x:c>
      <x:c r="U39" s="58" t="n">
        <x:v>0.03001560117830074</x:v>
      </x:c>
      <x:c r="V39" s="58" t="str">
        <x:v>0.8770091258078391</x:v>
      </x:c>
      <x:c r="W39" s="58" t="n">
        <x:v>0</x:v>
      </x:c>
      <x:c r="X39" s="58" t="n">
        <x:v>0.06362121141227739</x:v>
      </x:c>
      <x:c r="Y39" s="58" t="n">
        <x:v>0.04926664652164625</x:v>
      </x:c>
      <x:c r="Z39" s="58" t="n">
        <x:v>0.9253926262009928</x:v>
      </x:c>
      <x:c r="AA39" s="58" t="n">
        <x:v>0.025810634298736177</x:v>
      </x:c>
      <x:c r="AB39" s="58" t="n">
        <x:f>IF(C39="SQUAT",0,1)</x:f>
        <x:v>1</x:v>
      </x:c>
      <x:c r="AC39" s="58" t="n">
        <x:f>IF(AND(AB39=1,W39=0),1,0)</x:f>
        <x:v>1</x:v>
      </x:c>
      <x:c r="AD39" s="58" t="n">
        <x:f>IF(AC39=1,X39,"")</x:f>
        <x:v>0.06362121141227739</x:v>
      </x:c>
      <x:c r="AE39" s="58" t="n">
        <x:f>IF(AB39=1,X39,"")</x:f>
        <x:v>0.06362121141227739</x:v>
      </x:c>
      <x:c r="AF39" s="59" t="n">
        <x:f>IF(AB39=1,IF(X39&lt;=2,1,0),"")</x:f>
        <x:v>1</x:v>
      </x:c>
    </x:row>
    <x:row r="40">
      <x:c r="A40" s="57" t="str">
        <x:v>S18_LJH</x:v>
      </x:c>
      <x:c r="B40" s="58" t="str">
        <x:v>S02</x:v>
      </x:c>
      <x:c r="C40" s="58" t="str">
        <x:v>NORMAL</x:v>
      </x:c>
      <x:c r="D40" s="58" t="str"/>
      <x:c r="E40" s="58" t="n">
        <x:v>242.434</x:v>
      </x:c>
      <x:c r="F40" s="58" t="n">
        <x:v>292.434</x:v>
      </x:c>
      <x:c r="G40" s="58" t="n">
        <x:v>50</x:v>
      </x:c>
      <x:c r="H40" s="58" t="n">
        <x:v>17.881074466433297</x:v>
      </x:c>
      <x:c r="I40" s="58" t="n">
        <x:v>18.007338590028866</x:v>
      </x:c>
      <x:c r="J40" s="58" t="n">
        <x:v>17.7979817671742</x:v>
      </x:c>
      <x:c r="K40" s="58" t="n">
        <x:v>17.626722935227793</x:v>
      </x:c>
      <x:c r="L40" s="58" t="n">
        <x:v>17.961397424149094</x:v>
      </x:c>
      <x:c r="M40" s="58" t="n">
        <x:v>17.843363594733923</x:v>
      </x:c>
      <x:c r="N40" s="58" t="n">
        <x:v>17.598952598621917</x:v>
      </x:c>
      <x:c r="O40" s="58" t="n">
        <x:v>2</x:v>
      </x:c>
      <x:c r="P40" s="58" t="n">
        <x:v>17.7979817671742</x:v>
      </x:c>
      <x:c r="Q40" s="58" t="n">
        <x:v>17.7979817671742</x:v>
      </x:c>
      <x:c r="R40" s="58" t="n">
        <x:v>0.1712588319464068</x:v>
      </x:c>
      <x:c r="S40" s="58" t="n">
        <x:v>1</x:v>
      </x:c>
      <x:c r="T40" s="58" t="n">
        <x:v>1</x:v>
      </x:c>
      <x:c r="U40" s="58" t="n">
        <x:v>0.03246458063146836</x:v>
      </x:c>
      <x:c r="V40" s="58" t="str">
        <x:v>0.8282147605008036</x:v>
      </x:c>
      <x:c r="W40" s="58" t="n">
        <x:v>0</x:v>
      </x:c>
      <x:c r="X40" s="58" t="n">
        <x:v>0.08309269925909746</x:v>
      </x:c>
      <x:c r="Y40" s="58" t="n">
        <x:v>0.08309269925909746</x:v>
      </x:c>
      <x:c r="Z40" s="58" t="n">
        <x:v>0.7644542010762396</x:v>
      </x:c>
      <x:c r="AA40" s="58" t="n">
        <x:v>0.030864732031993816</x:v>
      </x:c>
      <x:c r="AB40" s="58" t="n">
        <x:f>IF(C40="SQUAT",0,1)</x:f>
        <x:v>1</x:v>
      </x:c>
      <x:c r="AC40" s="58" t="n">
        <x:f>IF(AND(AB40=1,W40=0),1,0)</x:f>
        <x:v>1</x:v>
      </x:c>
      <x:c r="AD40" s="58" t="n">
        <x:f>IF(AC40=1,X40,"")</x:f>
        <x:v>0.08309269925909746</x:v>
      </x:c>
      <x:c r="AE40" s="58" t="n">
        <x:f>IF(AB40=1,X40,"")</x:f>
        <x:v>0.08309269925909746</x:v>
      </x:c>
      <x:c r="AF40" s="59" t="n">
        <x:f>IF(AB40=1,IF(X40&lt;=2,1,0),"")</x:f>
        <x:v>1</x:v>
      </x:c>
    </x:row>
    <x:row r="41">
      <x:c r="A41" s="57" t="str">
        <x:v>S18_LJH</x:v>
      </x:c>
      <x:c r="B41" s="58" t="str">
        <x:v>S02</x:v>
      </x:c>
      <x:c r="C41" s="58" t="str">
        <x:v>SLOW</x:v>
      </x:c>
      <x:c r="D41" s="58" t="str"/>
      <x:c r="E41" s="58" t="n">
        <x:v>302.434</x:v>
      </x:c>
      <x:c r="F41" s="58" t="n">
        <x:v>352.434</x:v>
      </x:c>
      <x:c r="G41" s="58" t="n">
        <x:v>50</x:v>
      </x:c>
      <x:c r="H41" s="58" t="n">
        <x:v>6.025287617438391</x:v>
      </x:c>
      <x:c r="I41" s="58" t="n">
        <x:v>6.023764350017574</x:v>
      </x:c>
      <x:c r="J41" s="58" t="n">
        <x:v>6.042223369852989</x:v>
      </x:c>
      <x:c r="K41" s="58" t="n">
        <x:v>6.07395447541914</x:v>
      </x:c>
      <x:c r="L41" s="58" t="n">
        <x:v>6.127924567423937</x:v>
      </x:c>
      <x:c r="M41" s="58" t="n">
        <x:v>6.006993807905386</x:v>
      </x:c>
      <x:c r="N41" s="58" t="n">
        <x:v>6.118631713382634</x:v>
      </x:c>
      <x:c r="O41" s="58" t="n">
        <x:v>2</x:v>
      </x:c>
      <x:c r="P41" s="58" t="n">
        <x:v>6.042223369852989</x:v>
      </x:c>
      <x:c r="Q41" s="58" t="n">
        <x:v>6.042223369852989</x:v>
      </x:c>
      <x:c r="R41" s="58" t="n">
        <x:v>0.01845901983541509</x:v>
      </x:c>
      <x:c r="S41" s="58" t="n">
        <x:v>0.9136341492298253</x:v>
      </x:c>
      <x:c r="T41" s="58" t="n">
        <x:v>1</x:v>
      </x:c>
      <x:c r="U41" s="58" t="n">
        <x:v>0.03207304772772626</x:v>
      </x:c>
      <x:c r="V41" s="58" t="str">
        <x:v>0.8534994357328064</x:v>
      </x:c>
      <x:c r="W41" s="58" t="n">
        <x:v>0</x:v>
      </x:c>
      <x:c r="X41" s="58" t="n">
        <x:v>0.016935752414598326</x:v>
      </x:c>
      <x:c r="Y41" s="58" t="n">
        <x:v>0.0015232674208167651</x:v>
      </x:c>
      <x:c r="Z41" s="58" t="n">
        <x:v>0.965179569084783</x:v>
      </x:c>
      <x:c r="AA41" s="58" t="n">
        <x:v>0.029945292490902643</x:v>
      </x:c>
      <x:c r="AB41" s="58" t="n">
        <x:f>IF(C41="SQUAT",0,1)</x:f>
        <x:v>1</x:v>
      </x:c>
      <x:c r="AC41" s="58" t="n">
        <x:f>IF(AND(AB41=1,W41=0),1,0)</x:f>
        <x:v>1</x:v>
      </x:c>
      <x:c r="AD41" s="58" t="n">
        <x:f>IF(AC41=1,X41,"")</x:f>
        <x:v>0.016935752414598326</x:v>
      </x:c>
      <x:c r="AE41" s="58" t="n">
        <x:f>IF(AB41=1,X41,"")</x:f>
        <x:v>0.016935752414598326</x:v>
      </x:c>
      <x:c r="AF41" s="59" t="n">
        <x:f>IF(AB41=1,IF(X41&lt;=2,1,0),"")</x:f>
        <x:v>1</x:v>
      </x:c>
    </x:row>
    <x:row r="42">
      <x:c r="A42" s="57" t="str">
        <x:v>S18_LJH</x:v>
      </x:c>
      <x:c r="B42" s="58" t="str">
        <x:v>S02</x:v>
      </x:c>
      <x:c r="C42" s="58" t="str">
        <x:v>POST_HOLD</x:v>
      </x:c>
      <x:c r="D42" s="58" t="str"/>
      <x:c r="E42" s="58" t="n">
        <x:v>392.434</x:v>
      </x:c>
      <x:c r="F42" s="58" t="n">
        <x:v>442.434</x:v>
      </x:c>
      <x:c r="G42" s="58" t="n">
        <x:v>50</x:v>
      </x:c>
      <x:c r="H42" s="58" t="n">
        <x:v>14.469767103656892</x:v>
      </x:c>
      <x:c r="I42" s="58" t="n">
        <x:v>14.50279740190554</x:v>
      </x:c>
      <x:c r="J42" s="58" t="n">
        <x:v>14.69620115117832</x:v>
      </x:c>
      <x:c r="K42" s="58" t="n">
        <x:v>14.351374787486924</x:v>
      </x:c>
      <x:c r="L42" s="58" t="n">
        <x:v>14.518540581395845</x:v>
      </x:c>
      <x:c r="M42" s="58" t="n">
        <x:v>14.7718296692682</x:v>
      </x:c>
      <x:c r="N42" s="58" t="n">
        <x:v>14.401010032235027</x:v>
      </x:c>
      <x:c r="O42" s="58" t="n">
        <x:v>3</x:v>
      </x:c>
      <x:c r="P42" s="58" t="n">
        <x:v>14.351374787486924</x:v>
      </x:c>
      <x:c r="Q42" s="58" t="n">
        <x:v>14.50279740190554</x:v>
      </x:c>
      <x:c r="R42" s="58" t="n">
        <x:v>0.1514226144186157</x:v>
      </x:c>
      <x:c r="S42" s="58" t="n">
        <x:v>1</x:v>
      </x:c>
      <x:c r="T42" s="58" t="n">
        <x:v>1</x:v>
      </x:c>
      <x:c r="U42" s="58" t="n">
        <x:v>0.03069685024936097</x:v>
      </x:c>
      <x:c r="V42" s="58" t="str">
        <x:v>0.8445589480238122</x:v>
      </x:c>
      <x:c r="W42" s="58" t="n">
        <x:v>0</x:v>
      </x:c>
      <x:c r="X42" s="58" t="n">
        <x:v>0.03303029824864723</x:v>
      </x:c>
      <x:c r="Y42" s="58" t="n">
        <x:v>0.03303029824864723</x:v>
      </x:c>
      <x:c r="Z42" s="58" t="n">
        <x:v>0.8361450468845482</x:v>
      </x:c>
      <x:c r="AA42" s="58" t="n">
        <x:v>0.030602030695301125</x:v>
      </x:c>
      <x:c r="AB42" s="58" t="n">
        <x:f>IF(C42="SQUAT",0,1)</x:f>
        <x:v>1</x:v>
      </x:c>
      <x:c r="AC42" s="58" t="n">
        <x:f>IF(AND(AB42=1,W42=0),1,0)</x:f>
        <x:v>1</x:v>
      </x:c>
      <x:c r="AD42" s="58" t="n">
        <x:f>IF(AC42=1,X42,"")</x:f>
        <x:v>0.03303029824864723</x:v>
      </x:c>
      <x:c r="AE42" s="58" t="n">
        <x:f>IF(AB42=1,X42,"")</x:f>
        <x:v>0.03303029824864723</x:v>
      </x:c>
      <x:c r="AF42" s="59" t="n">
        <x:f>IF(AB42=1,IF(X42&lt;=2,1,0),"")</x:f>
        <x:v>1</x:v>
      </x:c>
    </x:row>
    <x:row r="43">
      <x:c r="A43" s="57" t="str">
        <x:v>S18_LJH</x:v>
      </x:c>
      <x:c r="B43" s="58" t="str">
        <x:v>S02</x:v>
      </x:c>
      <x:c r="C43" s="58" t="str">
        <x:v>SQUAT</x:v>
      </x:c>
      <x:c r="D43" s="58" t="str"/>
      <x:c r="E43" s="58" t="n">
        <x:v>467.434</x:v>
      </x:c>
      <x:c r="F43" s="58" t="n">
        <x:v>517.434</x:v>
      </x:c>
      <x:c r="G43" s="58" t="n">
        <x:v>50</x:v>
      </x:c>
      <x:c r="H43" s="58" t="n">
        <x:v>12.571252571843711</x:v>
      </x:c>
      <x:c r="I43" s="58" t="n">
        <x:v>11.334810848469695</x:v>
      </x:c>
      <x:c r="J43" s="58" t="n">
        <x:v>9.08203125</x:v>
      </x:c>
      <x:c r="K43" s="58" t="n">
        <x:v>32.8125</x:v>
      </x:c>
      <x:c r="L43" s="58" t="n">
        <x:v>11.516549070459273</x:v>
      </x:c>
      <x:c r="M43" s="58" t="n">
        <x:v>9.08203125</x:v>
      </x:c>
      <x:c r="N43" s="58" t="n">
        <x:v>32.8125</x:v>
      </x:c>
      <x:c r="O43" s="58" t="n">
        <x:v>3</x:v>
      </x:c>
      <x:c r="P43" s="58" t="n">
        <x:v>32.8125</x:v>
      </x:c>
      <x:c r="Q43" s="58" t="n">
        <x:v>11.334810848469695</x:v>
      </x:c>
      <x:c r="R43" s="58" t="n">
        <x:v>2.2527795984696954</x:v>
      </x:c>
      <x:c r="S43" s="58" t="n">
        <x:v>1</x:v>
      </x:c>
      <x:c r="T43" s="58" t="n">
        <x:v>1</x:v>
      </x:c>
      <x:c r="U43" s="58" t="n">
        <x:v>0.035468888449656316</x:v>
      </x:c>
      <x:c r="V43" s="58" t="str">
        <x:v>0.662595545128734</x:v>
      </x:c>
      <x:c r="W43" s="58" t="n">
        <x:v>0</x:v>
      </x:c>
      <x:c r="X43" s="58" t="n">
        <x:v>1.236441723374016</x:v>
      </x:c>
      <x:c r="Y43" s="58" t="n">
        <x:v>1.236441723374016</x:v>
      </x:c>
      <x:c r="Z43" s="58" t="n">
        <x:v>0.2521423178122592</x:v>
      </x:c>
      <x:c r="AA43" s="58" t="n">
        <x:v>0.027738904680003833</x:v>
      </x:c>
      <x:c r="AB43" s="58" t="n">
        <x:f>IF(C43="SQUAT",0,1)</x:f>
        <x:v>0</x:v>
      </x:c>
      <x:c r="AC43" s="58" t="n">
        <x:f>IF(AND(AB43=1,W43=0),1,0)</x:f>
        <x:v>0</x:v>
      </x:c>
      <x:c r="AD43" s="58" t="str">
        <x:f>IF(AC43=1,X43,"")</x:f>
      </x:c>
      <x:c r="AE43" s="58" t="str">
        <x:f>IF(AB43=1,X43,"")</x:f>
      </x:c>
      <x:c r="AF43" s="59" t="str">
        <x:f>IF(AB43=1,IF(X43&lt;=2,1,0),"")</x:f>
      </x:c>
    </x:row>
    <x:row r="44">
      <x:c r="A44" s="57" t="str">
        <x:v>S18_LJH</x:v>
      </x:c>
      <x:c r="B44" s="58" t="str">
        <x:v>S02</x:v>
      </x:c>
      <x:c r="C44" s="58" t="str">
        <x:v>POST_EXERCISE</x:v>
      </x:c>
      <x:c r="D44" s="58" t="str"/>
      <x:c r="E44" s="58" t="n">
        <x:v>542.434</x:v>
      </x:c>
      <x:c r="F44" s="58" t="n">
        <x:v>592.434</x:v>
      </x:c>
      <x:c r="G44" s="58" t="n">
        <x:v>50</x:v>
      </x:c>
      <x:c r="H44" s="58" t="n">
        <x:v>16.282321635681996</x:v>
      </x:c>
      <x:c r="I44" s="58" t="n">
        <x:v>16.264287101992803</x:v>
      </x:c>
      <x:c r="J44" s="58" t="n">
        <x:v>16.249438692130266</x:v>
      </x:c>
      <x:c r="K44" s="58" t="n">
        <x:v>16.340313578997126</x:v>
      </x:c>
      <x:c r="L44" s="58" t="n">
        <x:v>16.193458271039564</x:v>
      </x:c>
      <x:c r="M44" s="58" t="n">
        <x:v>16.281505328573527</x:v>
      </x:c>
      <x:c r="N44" s="58" t="n">
        <x:v>16.26544629372228</x:v>
      </x:c>
      <x:c r="O44" s="58" t="n">
        <x:v>2</x:v>
      </x:c>
      <x:c r="P44" s="58" t="n">
        <x:v>16.249438692130266</x:v>
      </x:c>
      <x:c r="Q44" s="58" t="n">
        <x:v>16.264287101992803</x:v>
      </x:c>
      <x:c r="R44" s="58" t="n">
        <x:v>0.014848409862537437</x:v>
      </x:c>
      <x:c r="S44" s="58" t="n">
        <x:v>1</x:v>
      </x:c>
      <x:c r="T44" s="58" t="n">
        <x:v>1</x:v>
      </x:c>
      <x:c r="U44" s="58" t="n">
        <x:v>0.03157219675483283</x:v>
      </x:c>
      <x:c r="V44" s="58" t="str">
        <x:v>0.8602228675624154</x:v>
      </x:c>
      <x:c r="W44" s="58" t="n">
        <x:v>0</x:v>
      </x:c>
      <x:c r="X44" s="58" t="n">
        <x:v>0.0180345336891925</x:v>
      </x:c>
      <x:c r="Y44" s="58" t="n">
        <x:v>0.0180345336891925</x:v>
      </x:c>
      <x:c r="Z44" s="58" t="n">
        <x:v>0.9534535562476231</x:v>
      </x:c>
      <x:c r="AA44" s="58" t="n">
        <x:v>0.029495146932051377</x:v>
      </x:c>
      <x:c r="AB44" s="58" t="n">
        <x:f>IF(C44="SQUAT",0,1)</x:f>
        <x:v>1</x:v>
      </x:c>
      <x:c r="AC44" s="58" t="n">
        <x:f>IF(AND(AB44=1,W44=0),1,0)</x:f>
        <x:v>1</x:v>
      </x:c>
      <x:c r="AD44" s="58" t="n">
        <x:f>IF(AC44=1,X44,"")</x:f>
        <x:v>0.0180345336891925</x:v>
      </x:c>
      <x:c r="AE44" s="58" t="n">
        <x:f>IF(AB44=1,X44,"")</x:f>
        <x:v>0.0180345336891925</x:v>
      </x:c>
      <x:c r="AF44" s="59" t="n">
        <x:f>IF(AB44=1,IF(X44&lt;=2,1,0),"")</x:f>
        <x:v>1</x:v>
      </x:c>
    </x:row>
    <x:row r="45">
      <x:c r="A45" s="57" t="str">
        <x:v>S19_CHW</x:v>
      </x:c>
      <x:c r="B45" s="58" t="str">
        <x:v>S01</x:v>
      </x:c>
      <x:c r="C45" s="58" t="str">
        <x:v>FACE_R1</x:v>
      </x:c>
      <x:c r="D45" s="58" t="n">
        <x:v>1</x:v>
      </x:c>
      <x:c r="E45" s="58" t="n">
        <x:v>32.864</x:v>
      </x:c>
      <x:c r="F45" s="58" t="n">
        <x:v>79</x:v>
      </x:c>
      <x:c r="G45" s="58" t="n">
        <x:v>46.136</x:v>
      </x:c>
      <x:c r="H45" s="58" t="n">
        <x:v>10.667517765136159</x:v>
      </x:c>
      <x:c r="I45" s="58" t="n">
        <x:v>10.636012764533273</x:v>
      </x:c>
      <x:c r="J45" s="58" t="n">
        <x:v>10.713137142202921</x:v>
      </x:c>
      <x:c r="K45" s="58" t="n">
        <x:v>10.705528376774302</x:v>
      </x:c>
      <x:c r="L45" s="58" t="n">
        <x:v>10.639511427017359</x:v>
      </x:c>
      <x:c r="M45" s="58" t="n">
        <x:v>10.711158730733022</x:v>
      </x:c>
      <x:c r="N45" s="58" t="n">
        <x:v>10.66614819275699</x:v>
      </x:c>
      <x:c r="O45" s="58" t="n">
        <x:v>1</x:v>
      </x:c>
      <x:c r="P45" s="58" t="n">
        <x:v>10.636012764533273</x:v>
      </x:c>
      <x:c r="Q45" s="58" t="n">
        <x:v>10.705528376774302</x:v>
      </x:c>
      <x:c r="R45" s="58" t="n">
        <x:v>0.007608765428619435</x:v>
      </x:c>
      <x:c r="S45" s="58" t="n">
        <x:v>0.7934039013128525</x:v>
      </x:c>
      <x:c r="T45" s="58" t="n">
        <x:v>1</x:v>
      </x:c>
      <x:c r="U45" s="58" t="n">
        <x:v>0.03609831379016309</x:v>
      </x:c>
      <x:c r="V45" s="58" t="str">
        <x:v>0.8213213547828938</x:v>
      </x:c>
      <x:c r="W45" s="58" t="n">
        <x:v>0</x:v>
      </x:c>
      <x:c r="X45" s="58" t="n">
        <x:v>0.03801061163814268</x:v>
      </x:c>
      <x:c r="Y45" s="58" t="n">
        <x:v>0.03150500060288586</x:v>
      </x:c>
      <x:c r="Z45" s="58" t="n">
        <x:v>0.8972496549973032</x:v>
      </x:c>
      <x:c r="AA45" s="58" t="n">
        <x:v>0.03527192334962189</x:v>
      </x:c>
      <x:c r="AB45" s="58" t="n">
        <x:f>IF(C45="SQUAT",0,1)</x:f>
        <x:v>1</x:v>
      </x:c>
      <x:c r="AC45" s="58" t="n">
        <x:f>IF(AND(AB45=1,W45=0),1,0)</x:f>
        <x:v>1</x:v>
      </x:c>
      <x:c r="AD45" s="58" t="n">
        <x:f>IF(AC45=1,X45,"")</x:f>
        <x:v>0.03801061163814268</x:v>
      </x:c>
      <x:c r="AE45" s="58" t="n">
        <x:f>IF(AB45=1,X45,"")</x:f>
        <x:v>0.03801061163814268</x:v>
      </x:c>
      <x:c r="AF45" s="59" t="n">
        <x:f>IF(AB45=1,IF(X45&lt;=2,1,0),"")</x:f>
        <x:v>1</x:v>
      </x:c>
    </x:row>
    <x:row r="46">
      <x:c r="A46" s="57" t="str">
        <x:v>S19_CHW</x:v>
      </x:c>
      <x:c r="B46" s="58" t="str">
        <x:v>S01</x:v>
      </x:c>
      <x:c r="C46" s="58" t="str">
        <x:v>FACE_R2</x:v>
      </x:c>
      <x:c r="D46" s="58" t="n">
        <x:v>2</x:v>
      </x:c>
      <x:c r="E46" s="58" t="n">
        <x:v>89</x:v>
      </x:c>
      <x:c r="F46" s="58" t="n">
        <x:v>140.8</x:v>
      </x:c>
      <x:c r="G46" s="58" t="n">
        <x:v>51.8</x:v>
      </x:c>
      <x:c r="H46" s="58" t="n">
        <x:v>11.27854868911133</x:v>
      </x:c>
      <x:c r="I46" s="58" t="n">
        <x:v>11.318195583072956</x:v>
      </x:c>
      <x:c r="J46" s="58" t="n">
        <x:v>11.161713774958208</x:v>
      </x:c>
      <x:c r="K46" s="58" t="n">
        <x:v>11.326862129437405</x:v>
      </x:c>
      <x:c r="L46" s="58" t="n">
        <x:v>11.366374341483919</x:v>
      </x:c>
      <x:c r="M46" s="58" t="n">
        <x:v>11.199776788145531</x:v>
      </x:c>
      <x:c r="N46" s="58" t="n">
        <x:v>11.456194137149536</x:v>
      </x:c>
      <x:c r="O46" s="58" t="n">
        <x:v>1</x:v>
      </x:c>
      <x:c r="P46" s="58" t="n">
        <x:v>11.318195583072956</x:v>
      </x:c>
      <x:c r="Q46" s="58" t="n">
        <x:v>11.318195583072956</x:v>
      </x:c>
      <x:c r="R46" s="58" t="n">
        <x:v>0.008666546364448635</x:v>
      </x:c>
      <x:c r="S46" s="58" t="n">
        <x:v>1</x:v>
      </x:c>
      <x:c r="T46" s="58" t="n">
        <x:v>1</x:v>
      </x:c>
      <x:c r="U46" s="58" t="n">
        <x:v>0.03520593636167449</x:v>
      </x:c>
      <x:c r="V46" s="58" t="str">
        <x:v>0.8695092490746722</x:v>
      </x:c>
      <x:c r="W46" s="58" t="n">
        <x:v>0</x:v>
      </x:c>
      <x:c r="X46" s="58" t="n">
        <x:v>0.039646893961625906</x:v>
      </x:c>
      <x:c r="Y46" s="58" t="n">
        <x:v>0.039646893961625906</x:v>
      </x:c>
      <x:c r="Z46" s="58" t="n">
        <x:v>0.8321961482712072</x:v>
      </x:c>
      <x:c r="AA46" s="58" t="n">
        <x:v>0.030926216556387085</x:v>
      </x:c>
      <x:c r="AB46" s="58" t="n">
        <x:f>IF(C46="SQUAT",0,1)</x:f>
        <x:v>1</x:v>
      </x:c>
      <x:c r="AC46" s="58" t="n">
        <x:f>IF(AND(AB46=1,W46=0),1,0)</x:f>
        <x:v>1</x:v>
      </x:c>
      <x:c r="AD46" s="58" t="n">
        <x:f>IF(AC46=1,X46,"")</x:f>
        <x:v>0.039646893961625906</x:v>
      </x:c>
      <x:c r="AE46" s="58" t="n">
        <x:f>IF(AB46=1,X46,"")</x:f>
        <x:v>0.039646893961625906</x:v>
      </x:c>
      <x:c r="AF46" s="59" t="n">
        <x:f>IF(AB46=1,IF(X46&lt;=2,1,0),"")</x:f>
        <x:v>1</x:v>
      </x:c>
    </x:row>
    <x:row r="47">
      <x:c r="A47" s="57" t="str">
        <x:v>S19_CHW</x:v>
      </x:c>
      <x:c r="B47" s="58" t="str">
        <x:v>S01</x:v>
      </x:c>
      <x:c r="C47" s="58" t="str">
        <x:v>FACE_R3</x:v>
      </x:c>
      <x:c r="D47" s="58" t="n">
        <x:v>3</x:v>
      </x:c>
      <x:c r="E47" s="58" t="n">
        <x:v>150.8</x:v>
      </x:c>
      <x:c r="F47" s="58" t="n">
        <x:v>210.9</x:v>
      </x:c>
      <x:c r="G47" s="58" t="n">
        <x:v>60.1</x:v>
      </x:c>
      <x:c r="H47" s="58" t="n">
        <x:v>9.754023193337467</x:v>
      </x:c>
      <x:c r="I47" s="58" t="n">
        <x:v>9.752251339443413</x:v>
      </x:c>
      <x:c r="J47" s="58" t="n">
        <x:v>9.622388645455011</x:v>
      </x:c>
      <x:c r="K47" s="58" t="n">
        <x:v>9.525516218139398</x:v>
      </x:c>
      <x:c r="L47" s="58" t="n">
        <x:v>9.68457924832787</x:v>
      </x:c>
      <x:c r="M47" s="58" t="n">
        <x:v>9.836066515854492</x:v>
      </x:c>
      <x:c r="N47" s="58" t="n">
        <x:v>9.52992201989248</x:v>
      </x:c>
      <x:c r="O47" s="58" t="n">
        <x:v>3</x:v>
      </x:c>
      <x:c r="P47" s="58" t="n">
        <x:v>9.525516218139398</x:v>
      </x:c>
      <x:c r="Q47" s="58" t="n">
        <x:v>9.622388645455011</x:v>
      </x:c>
      <x:c r="R47" s="58" t="n">
        <x:v>0.09687242731561341</x:v>
      </x:c>
      <x:c r="S47" s="58" t="n">
        <x:v>0.3259901182513664</x:v>
      </x:c>
      <x:c r="T47" s="58" t="n">
        <x:v>1</x:v>
      </x:c>
      <x:c r="U47" s="58" t="n">
        <x:v>0.0357119567262401</x:v>
      </x:c>
      <x:c r="V47" s="58" t="str">
        <x:v>0.727715101008677</x:v>
      </x:c>
      <x:c r="W47" s="58" t="n">
        <x:v>0</x:v>
      </x:c>
      <x:c r="X47" s="58" t="n">
        <x:v>0.13163454788245588</x:v>
      </x:c>
      <x:c r="Y47" s="58" t="n">
        <x:v>0.0017718538940538764</x:v>
      </x:c>
      <x:c r="Z47" s="58" t="n">
        <x:v>0.5443436065073733</x:v>
      </x:c>
      <x:c r="AA47" s="58" t="n">
        <x:v>0.03218990171098117</x:v>
      </x:c>
      <x:c r="AB47" s="58" t="n">
        <x:f>IF(C47="SQUAT",0,1)</x:f>
        <x:v>1</x:v>
      </x:c>
      <x:c r="AC47" s="58" t="n">
        <x:f>IF(AND(AB47=1,W47=0),1,0)</x:f>
        <x:v>1</x:v>
      </x:c>
      <x:c r="AD47" s="58" t="n">
        <x:f>IF(AC47=1,X47,"")</x:f>
        <x:v>0.13163454788245588</x:v>
      </x:c>
      <x:c r="AE47" s="58" t="n">
        <x:f>IF(AB47=1,X47,"")</x:f>
        <x:v>0.13163454788245588</x:v>
      </x:c>
      <x:c r="AF47" s="59" t="n">
        <x:f>IF(AB47=1,IF(X47&lt;=2,1,0),"")</x:f>
        <x:v>1</x:v>
      </x:c>
    </x:row>
    <x:row r="48">
      <x:c r="A48" s="57" t="str">
        <x:v>S19_CHW</x:v>
      </x:c>
      <x:c r="B48" s="58" t="str">
        <x:v>S02</x:v>
      </x:c>
      <x:c r="C48" s="58" t="str">
        <x:v>NORMAL</x:v>
      </x:c>
      <x:c r="D48" s="58" t="str"/>
      <x:c r="E48" s="58" t="n">
        <x:v>292.062</x:v>
      </x:c>
      <x:c r="F48" s="58" t="n">
        <x:v>342.062</x:v>
      </x:c>
      <x:c r="G48" s="58" t="n">
        <x:v>50</x:v>
      </x:c>
      <x:c r="H48" s="58" t="n">
        <x:v>13.088037933142667</x:v>
      </x:c>
      <x:c r="I48" s="58" t="n">
        <x:v>13.113290121854646</x:v>
      </x:c>
      <x:c r="J48" s="58" t="n">
        <x:v>13.193036504868148</x:v>
      </x:c>
      <x:c r="K48" s="58" t="n">
        <x:v>13.1017851961756</x:v>
      </x:c>
      <x:c r="L48" s="58" t="n">
        <x:v>13.140851314894268</x:v>
      </x:c>
      <x:c r="M48" s="58" t="n">
        <x:v>13.204578224424026</x:v>
      </x:c>
      <x:c r="N48" s="58" t="n">
        <x:v>13.069683336251659</x:v>
      </x:c>
      <x:c r="O48" s="58" t="n">
        <x:v>2</x:v>
      </x:c>
      <x:c r="P48" s="58" t="n">
        <x:v>13.193036504868148</x:v>
      </x:c>
      <x:c r="Q48" s="58" t="n">
        <x:v>13.113290121854646</x:v>
      </x:c>
      <x:c r="R48" s="58" t="n">
        <x:v>0.011504925679046707</x:v>
      </x:c>
      <x:c r="S48" s="58" t="n">
        <x:v>1</x:v>
      </x:c>
      <x:c r="T48" s="58" t="n">
        <x:v>1</x:v>
      </x:c>
      <x:c r="U48" s="58" t="n">
        <x:v>0.034820019138334844</x:v>
      </x:c>
      <x:c r="V48" s="58" t="str">
        <x:v>0.8651590951285989</x:v>
      </x:c>
      <x:c r="W48" s="58" t="n">
        <x:v>0</x:v>
      </x:c>
      <x:c r="X48" s="58" t="n">
        <x:v>0.02525218871197943</x:v>
      </x:c>
      <x:c r="Y48" s="58" t="n">
        <x:v>0.013747263032932722</x:v>
      </x:c>
      <x:c r="Z48" s="58" t="n">
        <x:v>0.43275197448376235</x:v>
      </x:c>
      <x:c r="AA48" s="58" t="n">
        <x:v>0.03413462552245406</x:v>
      </x:c>
      <x:c r="AB48" s="58" t="n">
        <x:f>IF(C48="SQUAT",0,1)</x:f>
        <x:v>1</x:v>
      </x:c>
      <x:c r="AC48" s="58" t="n">
        <x:f>IF(AND(AB48=1,W48=0),1,0)</x:f>
        <x:v>1</x:v>
      </x:c>
      <x:c r="AD48" s="58" t="n">
        <x:f>IF(AC48=1,X48,"")</x:f>
        <x:v>0.02525218871197943</x:v>
      </x:c>
      <x:c r="AE48" s="58" t="n">
        <x:f>IF(AB48=1,X48,"")</x:f>
        <x:v>0.02525218871197943</x:v>
      </x:c>
      <x:c r="AF48" s="59" t="n">
        <x:f>IF(AB48=1,IF(X48&lt;=2,1,0),"")</x:f>
        <x:v>1</x:v>
      </x:c>
    </x:row>
    <x:row r="49">
      <x:c r="A49" s="57" t="str">
        <x:v>S19_CHW</x:v>
      </x:c>
      <x:c r="B49" s="58" t="str">
        <x:v>S02</x:v>
      </x:c>
      <x:c r="C49" s="58" t="str">
        <x:v>SLOW</x:v>
      </x:c>
      <x:c r="D49" s="58" t="str"/>
      <x:c r="E49" s="58" t="n">
        <x:v>352.062</x:v>
      </x:c>
      <x:c r="F49" s="58" t="n">
        <x:v>402.062</x:v>
      </x:c>
      <x:c r="G49" s="58" t="n">
        <x:v>50</x:v>
      </x:c>
      <x:c r="H49" s="58" t="n">
        <x:v>6.062806866525779</x:v>
      </x:c>
      <x:c r="I49" s="58" t="n">
        <x:v>6.066890900497909</x:v>
      </x:c>
      <x:c r="J49" s="58" t="n">
        <x:v>5.902644207609734</x:v>
      </x:c>
      <x:c r="K49" s="58" t="n">
        <x:v>6.083158708534972</x:v>
      </x:c>
      <x:c r="L49" s="58" t="n">
        <x:v>6.120417014511261</x:v>
      </x:c>
      <x:c r="M49" s="58" t="n">
        <x:v>5.8044529768008495</x:v>
      </x:c>
      <x:c r="N49" s="58" t="n">
        <x:v>5.993868186703564</x:v>
      </x:c>
      <x:c r="O49" s="58" t="n">
        <x:v>3</x:v>
      </x:c>
      <x:c r="P49" s="58" t="n">
        <x:v>6.083158708534972</x:v>
      </x:c>
      <x:c r="Q49" s="58" t="n">
        <x:v>6.066890900497909</x:v>
      </x:c>
      <x:c r="R49" s="58" t="n">
        <x:v>0.01626780803706307</x:v>
      </x:c>
      <x:c r="S49" s="58" t="n">
        <x:v>0.8542229460493159</x:v>
      </x:c>
      <x:c r="T49" s="58" t="n">
        <x:v>1</x:v>
      </x:c>
      <x:c r="U49" s="58" t="n">
        <x:v>0.0330981494363926</x:v>
      </x:c>
      <x:c r="V49" s="58" t="str">
        <x:v>0.826380650699191</x:v>
      </x:c>
      <x:c r="W49" s="58" t="n">
        <x:v>0</x:v>
      </x:c>
      <x:c r="X49" s="58" t="n">
        <x:v>0.0040840339721297525</x:v>
      </x:c>
      <x:c r="Y49" s="58" t="n">
        <x:v>0.0040840339721297525</x:v>
      </x:c>
      <x:c r="Z49" s="58" t="n">
        <x:v>0.7128234564728276</x:v>
      </x:c>
      <x:c r="AA49" s="58" t="n">
        <x:v>0.03295803897085371</x:v>
      </x:c>
      <x:c r="AB49" s="58" t="n">
        <x:f>IF(C49="SQUAT",0,1)</x:f>
        <x:v>1</x:v>
      </x:c>
      <x:c r="AC49" s="58" t="n">
        <x:f>IF(AND(AB49=1,W49=0),1,0)</x:f>
        <x:v>1</x:v>
      </x:c>
      <x:c r="AD49" s="58" t="n">
        <x:f>IF(AC49=1,X49,"")</x:f>
        <x:v>0.0040840339721297525</x:v>
      </x:c>
      <x:c r="AE49" s="58" t="n">
        <x:f>IF(AB49=1,X49,"")</x:f>
        <x:v>0.0040840339721297525</x:v>
      </x:c>
      <x:c r="AF49" s="59" t="n">
        <x:f>IF(AB49=1,IF(X49&lt;=2,1,0),"")</x:f>
        <x:v>1</x:v>
      </x:c>
    </x:row>
    <x:row r="50">
      <x:c r="A50" s="57" t="str">
        <x:v>S19_CHW</x:v>
      </x:c>
      <x:c r="B50" s="58" t="str">
        <x:v>S02</x:v>
      </x:c>
      <x:c r="C50" s="58" t="str">
        <x:v>POST_HOLD</x:v>
      </x:c>
      <x:c r="D50" s="58" t="str"/>
      <x:c r="E50" s="58" t="n">
        <x:v>441.2</x:v>
      </x:c>
      <x:c r="F50" s="58" t="n">
        <x:v>492.062</x:v>
      </x:c>
      <x:c r="G50" s="58" t="n">
        <x:v>50.862</x:v>
      </x:c>
      <x:c r="H50" s="58" t="n">
        <x:v>24.475079462521027</x:v>
      </x:c>
      <x:c r="I50" s="58" t="n">
        <x:v>24.60969678810197</x:v>
      </x:c>
      <x:c r="J50" s="58" t="n">
        <x:v>24.50552650367993</x:v>
      </x:c>
      <x:c r="K50" s="58" t="n">
        <x:v>24.414516768596865</x:v>
      </x:c>
      <x:c r="L50" s="58" t="n">
        <x:v>24.640356620105994</x:v>
      </x:c>
      <x:c r="M50" s="58" t="n">
        <x:v>24.55496507192576</x:v>
      </x:c>
      <x:c r="N50" s="58" t="n">
        <x:v>24.453184591716116</x:v>
      </x:c>
      <x:c r="O50" s="58" t="n">
        <x:v>1</x:v>
      </x:c>
      <x:c r="P50" s="58" t="n">
        <x:v>24.60969678810197</x:v>
      </x:c>
      <x:c r="Q50" s="58" t="n">
        <x:v>24.50552650367993</x:v>
      </x:c>
      <x:c r="R50" s="58" t="n">
        <x:v>0.09100973508306609</x:v>
      </x:c>
      <x:c r="S50" s="58" t="n">
        <x:v>1</x:v>
      </x:c>
      <x:c r="T50" s="58" t="n">
        <x:v>1</x:v>
      </x:c>
      <x:c r="U50" s="58" t="n">
        <x:v>0.03298233103256178</x:v>
      </x:c>
      <x:c r="V50" s="58" t="str">
        <x:v>0.8540284137349606</x:v>
      </x:c>
      <x:c r="W50" s="58" t="n">
        <x:v>0</x:v>
      </x:c>
      <x:c r="X50" s="58" t="n">
        <x:v>0.030447041158904398</x:v>
      </x:c>
      <x:c r="Y50" s="58" t="n">
        <x:v>0.030447041158904398</x:v>
      </x:c>
      <x:c r="Z50" s="58" t="n">
        <x:v>0.8408169203268334</x:v>
      </x:c>
      <x:c r="AA50" s="58" t="n">
        <x:v>0.03180976525129395</x:v>
      </x:c>
      <x:c r="AB50" s="58" t="n">
        <x:f>IF(C50="SQUAT",0,1)</x:f>
        <x:v>1</x:v>
      </x:c>
      <x:c r="AC50" s="58" t="n">
        <x:f>IF(AND(AB50=1,W50=0),1,0)</x:f>
        <x:v>1</x:v>
      </x:c>
      <x:c r="AD50" s="58" t="n">
        <x:f>IF(AC50=1,X50,"")</x:f>
        <x:v>0.030447041158904398</x:v>
      </x:c>
      <x:c r="AE50" s="58" t="n">
        <x:f>IF(AB50=1,X50,"")</x:f>
        <x:v>0.030447041158904398</x:v>
      </x:c>
      <x:c r="AF50" s="59" t="n">
        <x:f>IF(AB50=1,IF(X50&lt;=2,1,0),"")</x:f>
        <x:v>1</x:v>
      </x:c>
    </x:row>
    <x:row r="51">
      <x:c r="A51" s="57" t="str">
        <x:v>S19_CHW</x:v>
      </x:c>
      <x:c r="B51" s="58" t="str">
        <x:v>S02</x:v>
      </x:c>
      <x:c r="C51" s="58" t="str">
        <x:v>SQUAT</x:v>
      </x:c>
      <x:c r="D51" s="58" t="str"/>
      <x:c r="E51" s="58" t="n">
        <x:v>517.062</x:v>
      </x:c>
      <x:c r="F51" s="58" t="n">
        <x:v>567.062</x:v>
      </x:c>
      <x:c r="G51" s="58" t="n">
        <x:v>50</x:v>
      </x:c>
      <x:c r="H51" s="58" t="n">
        <x:v>30.109573327758355</x:v>
      </x:c>
      <x:c r="I51" s="58" t="n">
        <x:v>32.8125</x:v>
      </x:c>
      <x:c r="J51" s="58" t="n">
        <x:v>9.08203125</x:v>
      </x:c>
      <x:c r="K51" s="58" t="n">
        <x:v>9.08203125</x:v>
      </x:c>
      <x:c r="L51" s="58" t="n">
        <x:v>32.8125</x:v>
      </x:c>
      <x:c r="M51" s="58" t="n">
        <x:v>9.08203125</x:v>
      </x:c>
      <x:c r="N51" s="58" t="n">
        <x:v>9.08203125</x:v>
      </x:c>
      <x:c r="O51" s="58" t="n">
        <x:v>1</x:v>
      </x:c>
      <x:c r="P51" s="58" t="n">
        <x:v>32.8125</x:v>
      </x:c>
      <x:c r="Q51" s="58" t="n">
        <x:v>9.08203125</x:v>
      </x:c>
      <x:c r="R51" s="58" t="n">
        <x:v>0</x:v>
      </x:c>
      <x:c r="S51" s="58" t="n">
        <x:v>0.03906250000000015</x:v>
      </x:c>
      <x:c r="T51" s="58" t="n">
        <x:v>0</x:v>
      </x:c>
      <x:c r="U51" s="58" t="n">
        <x:v>0.10294349607214373</x:v>
      </x:c>
      <x:c r="V51" s="58" t="str">
        <x:v>0.5696087193980233</x:v>
      </x:c>
      <x:c r="W51" s="58" t="n">
        <x:v>1</x:v>
      </x:c>
      <x:c r="X51" s="58" t="n">
        <x:v>21.027542077758355</x:v>
      </x:c>
      <x:c r="Y51" s="58" t="n">
        <x:v>2.702926672241645</x:v>
      </x:c>
      <x:c r="Z51" s="58" t="n">
        <x:v>0.49725246890455554</x:v>
      </x:c>
      <x:c r="AA51" s="58" t="n">
        <x:v>0.08907435623735072</x:v>
      </x:c>
      <x:c r="AB51" s="58" t="n">
        <x:f>IF(C51="SQUAT",0,1)</x:f>
        <x:v>0</x:v>
      </x:c>
      <x:c r="AC51" s="58" t="n">
        <x:f>IF(AND(AB51=1,W51=0),1,0)</x:f>
        <x:v>0</x:v>
      </x:c>
      <x:c r="AD51" s="58" t="str">
        <x:f>IF(AC51=1,X51,"")</x:f>
      </x:c>
      <x:c r="AE51" s="58" t="str">
        <x:f>IF(AB51=1,X51,"")</x:f>
      </x:c>
      <x:c r="AF51" s="59" t="str">
        <x:f>IF(AB51=1,IF(X51&lt;=2,1,0),"")</x:f>
      </x:c>
    </x:row>
    <x:row r="52">
      <x:c r="A52" s="57" t="str">
        <x:v>S19_CHW</x:v>
      </x:c>
      <x:c r="B52" s="58" t="str">
        <x:v>S02</x:v>
      </x:c>
      <x:c r="C52" s="58" t="str">
        <x:v>POST_EXERCISE</x:v>
      </x:c>
      <x:c r="D52" s="58" t="str"/>
      <x:c r="E52" s="58" t="n">
        <x:v>592.062</x:v>
      </x:c>
      <x:c r="F52" s="58" t="n">
        <x:v>642.062</x:v>
      </x:c>
      <x:c r="G52" s="58" t="n">
        <x:v>50</x:v>
      </x:c>
      <x:c r="H52" s="58" t="n">
        <x:v>30.554584324450676</x:v>
      </x:c>
      <x:c r="I52" s="58" t="n">
        <x:v>30.557466671820652</x:v>
      </x:c>
      <x:c r="J52" s="58" t="n">
        <x:v>30.57533069467109</x:v>
      </x:c>
      <x:c r="K52" s="58" t="n">
        <x:v>30.519077786502976</x:v>
      </x:c>
      <x:c r="L52" s="58" t="n">
        <x:v>30.56033616386078</x:v>
      </x:c>
      <x:c r="M52" s="58" t="n">
        <x:v>30.636755983595336</x:v>
      </x:c>
      <x:c r="N52" s="58" t="n">
        <x:v>30.532751833510616</x:v>
      </x:c>
      <x:c r="O52" s="58" t="n">
        <x:v>3</x:v>
      </x:c>
      <x:c r="P52" s="58" t="n">
        <x:v>30.519077786502976</x:v>
      </x:c>
      <x:c r="Q52" s="58" t="n">
        <x:v>30.557466671820652</x:v>
      </x:c>
      <x:c r="R52" s="58" t="n">
        <x:v>0.0178640228504392</x:v>
      </x:c>
      <x:c r="S52" s="58" t="n">
        <x:v>1</x:v>
      </x:c>
      <x:c r="T52" s="58" t="n">
        <x:v>1</x:v>
      </x:c>
      <x:c r="U52" s="58" t="n">
        <x:v>0.03348575782849665</x:v>
      </x:c>
      <x:c r="V52" s="58" t="str">
        <x:v>0.8546920933572278</x:v>
      </x:c>
      <x:c r="W52" s="58" t="n">
        <x:v>0</x:v>
      </x:c>
      <x:c r="X52" s="58" t="n">
        <x:v>0.002882347369975946</x:v>
      </x:c>
      <x:c r="Y52" s="58" t="n">
        <x:v>0.002882347369975946</x:v>
      </x:c>
      <x:c r="Z52" s="58" t="n">
        <x:v>0.6920650233728043</x:v>
      </x:c>
      <x:c r="AA52" s="58" t="n">
        <x:v>0.032693886029942235</x:v>
      </x:c>
      <x:c r="AB52" s="58" t="n">
        <x:f>IF(C52="SQUAT",0,1)</x:f>
        <x:v>1</x:v>
      </x:c>
      <x:c r="AC52" s="58" t="n">
        <x:f>IF(AND(AB52=1,W52=0),1,0)</x:f>
        <x:v>1</x:v>
      </x:c>
      <x:c r="AD52" s="58" t="n">
        <x:f>IF(AC52=1,X52,"")</x:f>
        <x:v>0.002882347369975946</x:v>
      </x:c>
      <x:c r="AE52" s="58" t="n">
        <x:f>IF(AB52=1,X52,"")</x:f>
        <x:v>0.002882347369975946</x:v>
      </x:c>
      <x:c r="AF52" s="59" t="n">
        <x:f>IF(AB52=1,IF(X52&lt;=2,1,0),"")</x:f>
        <x:v>1</x:v>
      </x:c>
    </x:row>
    <x:row r="53">
      <x:c r="A53" s="57" t="str">
        <x:v>S21_PSJ</x:v>
      </x:c>
      <x:c r="B53" s="58" t="str">
        <x:v>S01</x:v>
      </x:c>
      <x:c r="C53" s="58" t="str">
        <x:v>FACE_R1</x:v>
      </x:c>
      <x:c r="D53" s="58" t="n">
        <x:v>1</x:v>
      </x:c>
      <x:c r="E53" s="58" t="n">
        <x:v>32.006</x:v>
      </x:c>
      <x:c r="F53" s="58" t="n">
        <x:v>76.4</x:v>
      </x:c>
      <x:c r="G53" s="58" t="n">
        <x:v>44.394</x:v>
      </x:c>
      <x:c r="H53" s="58" t="n">
        <x:v>14.191438393720052</x:v>
      </x:c>
      <x:c r="I53" s="58" t="n">
        <x:v>14.171157614905972</x:v>
      </x:c>
      <x:c r="J53" s="58" t="n">
        <x:v>14.15826162204925</x:v>
      </x:c>
      <x:c r="K53" s="58" t="n">
        <x:v>10.7383855075085</x:v>
      </x:c>
      <x:c r="L53" s="58" t="n">
        <x:v>14.170598757674448</x:v>
      </x:c>
      <x:c r="M53" s="58" t="n">
        <x:v>14.129607425597367</x:v>
      </x:c>
      <x:c r="N53" s="58" t="n">
        <x:v>10.831964105074846</x:v>
      </x:c>
      <x:c r="O53" s="58" t="n">
        <x:v>1</x:v>
      </x:c>
      <x:c r="P53" s="58" t="n">
        <x:v>14.171157614905972</x:v>
      </x:c>
      <x:c r="Q53" s="58" t="n">
        <x:v>14.171157614905972</x:v>
      </x:c>
      <x:c r="R53" s="58" t="n">
        <x:v>0.012895992856721605</x:v>
      </x:c>
      <x:c r="S53" s="58" t="n">
        <x:v>1</x:v>
      </x:c>
      <x:c r="T53" s="58" t="n">
        <x:v>1</x:v>
      </x:c>
      <x:c r="U53" s="58" t="n">
        <x:v>0.03166569913531206</x:v>
      </x:c>
      <x:c r="V53" s="58" t="str">
        <x:v>0.9375285981379488</x:v>
      </x:c>
      <x:c r="W53" s="58" t="n">
        <x:v>0</x:v>
      </x:c>
      <x:c r="X53" s="58" t="n">
        <x:v>0.020280778814079525</x:v>
      </x:c>
      <x:c r="Y53" s="58" t="n">
        <x:v>0.020280778814079525</x:v>
      </x:c>
      <x:c r="Z53" s="58" t="n">
        <x:v>0.9715417587505906</x:v>
      </x:c>
      <x:c r="AA53" s="58" t="n">
        <x:v>0.029698246151272686</x:v>
      </x:c>
      <x:c r="AB53" s="58" t="n">
        <x:f>IF(C53="SQUAT",0,1)</x:f>
        <x:v>1</x:v>
      </x:c>
      <x:c r="AC53" s="58" t="n">
        <x:f>IF(AND(AB53=1,W53=0),1,0)</x:f>
        <x:v>1</x:v>
      </x:c>
      <x:c r="AD53" s="58" t="n">
        <x:f>IF(AC53=1,X53,"")</x:f>
        <x:v>0.020280778814079525</x:v>
      </x:c>
      <x:c r="AE53" s="58" t="n">
        <x:f>IF(AB53=1,X53,"")</x:f>
        <x:v>0.020280778814079525</x:v>
      </x:c>
      <x:c r="AF53" s="59" t="n">
        <x:f>IF(AB53=1,IF(X53&lt;=2,1,0),"")</x:f>
        <x:v>1</x:v>
      </x:c>
    </x:row>
    <x:row r="54">
      <x:c r="A54" s="57" t="str">
        <x:v>S21_PSJ</x:v>
      </x:c>
      <x:c r="B54" s="58" t="str">
        <x:v>S01</x:v>
      </x:c>
      <x:c r="C54" s="58" t="str">
        <x:v>FACE_R2</x:v>
      </x:c>
      <x:c r="D54" s="58" t="n">
        <x:v>2</x:v>
      </x:c>
      <x:c r="E54" s="58" t="n">
        <x:v>86.4</x:v>
      </x:c>
      <x:c r="F54" s="58" t="n">
        <x:v>138.4</x:v>
      </x:c>
      <x:c r="G54" s="58" t="n">
        <x:v>52</x:v>
      </x:c>
      <x:c r="H54" s="58" t="n">
        <x:v>11.079927420085959</x:v>
      </x:c>
      <x:c r="I54" s="58" t="n">
        <x:v>11.486133530631054</x:v>
      </x:c>
      <x:c r="J54" s="58" t="n">
        <x:v>11.475879684748612</x:v>
      </x:c>
      <x:c r="K54" s="58" t="n">
        <x:v>10.977337870239364</x:v>
      </x:c>
      <x:c r="L54" s="58" t="n">
        <x:v>11.300147560009325</x:v>
      </x:c>
      <x:c r="M54" s="58" t="n">
        <x:v>11.335646183733402</x:v>
      </x:c>
      <x:c r="N54" s="58" t="n">
        <x:v>11.043783505657572</x:v>
      </x:c>
      <x:c r="O54" s="58" t="n">
        <x:v>2</x:v>
      </x:c>
      <x:c r="P54" s="58" t="n">
        <x:v>11.475879684748612</x:v>
      </x:c>
      <x:c r="Q54" s="58" t="n">
        <x:v>11.475879684748612</x:v>
      </x:c>
      <x:c r="R54" s="58" t="n">
        <x:v>0.010253845882441937</x:v>
      </x:c>
      <x:c r="S54" s="58" t="n">
        <x:v>1</x:v>
      </x:c>
      <x:c r="T54" s="58" t="n">
        <x:v>1</x:v>
      </x:c>
      <x:c r="U54" s="58" t="n">
        <x:v>0.033169637596053014</x:v>
      </x:c>
      <x:c r="V54" s="58" t="str">
        <x:v>0.8681669703629916</x:v>
      </x:c>
      <x:c r="W54" s="58" t="n">
        <x:v>0</x:v>
      </x:c>
      <x:c r="X54" s="58" t="n">
        <x:v>0.3959522646626539</x:v>
      </x:c>
      <x:c r="Y54" s="58" t="n">
        <x:v>0.10258954984659496</x:v>
      </x:c>
      <x:c r="Z54" s="58" t="n">
        <x:v>0.7332382898033057</x:v>
      </x:c>
      <x:c r="AA54" s="58" t="n">
        <x:v>0.02760142870048505</x:v>
      </x:c>
      <x:c r="AB54" s="58" t="n">
        <x:f>IF(C54="SQUAT",0,1)</x:f>
        <x:v>1</x:v>
      </x:c>
      <x:c r="AC54" s="58" t="n">
        <x:f>IF(AND(AB54=1,W54=0),1,0)</x:f>
        <x:v>1</x:v>
      </x:c>
      <x:c r="AD54" s="58" t="n">
        <x:f>IF(AC54=1,X54,"")</x:f>
        <x:v>0.3959522646626539</x:v>
      </x:c>
      <x:c r="AE54" s="58" t="n">
        <x:f>IF(AB54=1,X54,"")</x:f>
        <x:v>0.3959522646626539</x:v>
      </x:c>
      <x:c r="AF54" s="59" t="n">
        <x:f>IF(AB54=1,IF(X54&lt;=2,1,0),"")</x:f>
        <x:v>1</x:v>
      </x:c>
    </x:row>
    <x:row r="55">
      <x:c r="A55" s="57" t="str">
        <x:v>S21_PSJ</x:v>
      </x:c>
      <x:c r="B55" s="58" t="str">
        <x:v>S01</x:v>
      </x:c>
      <x:c r="C55" s="58" t="str">
        <x:v>FACE_R3</x:v>
      </x:c>
      <x:c r="D55" s="58" t="n">
        <x:v>3</x:v>
      </x:c>
      <x:c r="E55" s="58" t="n">
        <x:v>148.4</x:v>
      </x:c>
      <x:c r="F55" s="58" t="n">
        <x:v>209.06</x:v>
      </x:c>
      <x:c r="G55" s="58" t="n">
        <x:v>60.66</x:v>
      </x:c>
      <x:c r="H55" s="58" t="n">
        <x:v>11.818160691842705</x:v>
      </x:c>
      <x:c r="I55" s="58" t="n">
        <x:v>26.953125</x:v>
      </x:c>
      <x:c r="J55" s="58" t="n">
        <x:v>11.906584167078078</x:v>
      </x:c>
      <x:c r="K55" s="58" t="n">
        <x:v>11.80373435117487</x:v>
      </x:c>
      <x:c r="L55" s="58" t="n">
        <x:v>26.953125</x:v>
      </x:c>
      <x:c r="M55" s="58" t="n">
        <x:v>11.898050635113126</x:v>
      </x:c>
      <x:c r="N55" s="58" t="n">
        <x:v>11.846039544563723</x:v>
      </x:c>
      <x:c r="O55" s="58" t="n">
        <x:v>1</x:v>
      </x:c>
      <x:c r="P55" s="58" t="n">
        <x:v>26.953125</x:v>
      </x:c>
      <x:c r="Q55" s="58" t="n">
        <x:v>11.80373435117487</x:v>
      </x:c>
      <x:c r="R55" s="58" t="n">
        <x:v>0.10284981590320896</x:v>
      </x:c>
      <x:c r="S55" s="58" t="n">
        <x:v>1</x:v>
      </x:c>
      <x:c r="T55" s="58" t="n">
        <x:v>1</x:v>
      </x:c>
      <x:c r="U55" s="58" t="n">
        <x:v>0.03167901746679268</x:v>
      </x:c>
      <x:c r="V55" s="58" t="str">
        <x:v>0.8501103869895773</x:v>
      </x:c>
      <x:c r="W55" s="58" t="n">
        <x:v>0</x:v>
      </x:c>
      <x:c r="X55" s="58" t="n">
        <x:v>0.014426340667835547</x:v>
      </x:c>
      <x:c r="Y55" s="58" t="n">
        <x:v>0.014426340667835547</x:v>
      </x:c>
      <x:c r="Z55" s="58" t="n">
        <x:v>0.19279095312560277</x:v>
      </x:c>
      <x:c r="AA55" s="58" t="n">
        <x:v>0.02816595681145717</x:v>
      </x:c>
      <x:c r="AB55" s="58" t="n">
        <x:f>IF(C55="SQUAT",0,1)</x:f>
        <x:v>1</x:v>
      </x:c>
      <x:c r="AC55" s="58" t="n">
        <x:f>IF(AND(AB55=1,W55=0),1,0)</x:f>
        <x:v>1</x:v>
      </x:c>
      <x:c r="AD55" s="58" t="n">
        <x:f>IF(AC55=1,X55,"")</x:f>
        <x:v>0.014426340667835547</x:v>
      </x:c>
      <x:c r="AE55" s="58" t="n">
        <x:f>IF(AB55=1,X55,"")</x:f>
        <x:v>0.014426340667835547</x:v>
      </x:c>
      <x:c r="AF55" s="59" t="n">
        <x:f>IF(AB55=1,IF(X55&lt;=2,1,0),"")</x:f>
        <x:v>1</x:v>
      </x:c>
    </x:row>
    <x:row r="56">
      <x:c r="A56" s="57" t="str">
        <x:v>S21_PSJ</x:v>
      </x:c>
      <x:c r="B56" s="58" t="str">
        <x:v>S02</x:v>
      </x:c>
      <x:c r="C56" s="58" t="str">
        <x:v>NORMAL</x:v>
      </x:c>
      <x:c r="D56" s="58" t="str"/>
      <x:c r="E56" s="58" t="n">
        <x:v>248.808</x:v>
      </x:c>
      <x:c r="F56" s="58" t="n">
        <x:v>298.808</x:v>
      </x:c>
      <x:c r="G56" s="58" t="n">
        <x:v>50</x:v>
      </x:c>
      <x:c r="H56" s="58" t="n">
        <x:v>10.656989527764612</x:v>
      </x:c>
      <x:c r="I56" s="58" t="n">
        <x:v>10.771067656133056</x:v>
      </x:c>
      <x:c r="J56" s="58" t="n">
        <x:v>11.027897141227863</x:v>
      </x:c>
      <x:c r="K56" s="58" t="n">
        <x:v>10.655988335161396</x:v>
      </x:c>
      <x:c r="L56" s="58" t="n">
        <x:v>10.818282159779981</x:v>
      </x:c>
      <x:c r="M56" s="58" t="n">
        <x:v>11.049958748469395</x:v>
      </x:c>
      <x:c r="N56" s="58" t="n">
        <x:v>10.689466945658994</x:v>
      </x:c>
      <x:c r="O56" s="58" t="n">
        <x:v>2</x:v>
      </x:c>
      <x:c r="P56" s="58" t="n">
        <x:v>11.027897141227863</x:v>
      </x:c>
      <x:c r="Q56" s="58" t="n">
        <x:v>10.771067656133056</x:v>
      </x:c>
      <x:c r="R56" s="58" t="n">
        <x:v>0.11507932097165963</x:v>
      </x:c>
      <x:c r="S56" s="58" t="n">
        <x:v>0.865848647514277</x:v>
      </x:c>
      <x:c r="T56" s="58" t="n">
        <x:v>1</x:v>
      </x:c>
      <x:c r="U56" s="58" t="n">
        <x:v>0.03309252242957668</x:v>
      </x:c>
      <x:c r="V56" s="58" t="str">
        <x:v>0.8119613554450423</x:v>
      </x:c>
      <x:c r="W56" s="58" t="n">
        <x:v>0</x:v>
      </x:c>
      <x:c r="X56" s="58" t="n">
        <x:v>0.114078128368444</x:v>
      </x:c>
      <x:c r="Y56" s="58" t="n">
        <x:v>0.0010011926032156282</x:v>
      </x:c>
      <x:c r="Z56" s="58" t="n">
        <x:v>0.5269526427275454</x:v>
      </x:c>
      <x:c r="AA56" s="58" t="n">
        <x:v>0.02970696620787429</x:v>
      </x:c>
      <x:c r="AB56" s="58" t="n">
        <x:f>IF(C56="SQUAT",0,1)</x:f>
        <x:v>1</x:v>
      </x:c>
      <x:c r="AC56" s="58" t="n">
        <x:f>IF(AND(AB56=1,W56=0),1,0)</x:f>
        <x:v>1</x:v>
      </x:c>
      <x:c r="AD56" s="58" t="n">
        <x:f>IF(AC56=1,X56,"")</x:f>
        <x:v>0.114078128368444</x:v>
      </x:c>
      <x:c r="AE56" s="58" t="n">
        <x:f>IF(AB56=1,X56,"")</x:f>
        <x:v>0.114078128368444</x:v>
      </x:c>
      <x:c r="AF56" s="59" t="n">
        <x:f>IF(AB56=1,IF(X56&lt;=2,1,0),"")</x:f>
        <x:v>1</x:v>
      </x:c>
    </x:row>
    <x:row r="57">
      <x:c r="A57" s="57" t="str">
        <x:v>S21_PSJ</x:v>
      </x:c>
      <x:c r="B57" s="58" t="str">
        <x:v>S02</x:v>
      </x:c>
      <x:c r="C57" s="58" t="str">
        <x:v>SLOW</x:v>
      </x:c>
      <x:c r="D57" s="58" t="str"/>
      <x:c r="E57" s="58" t="n">
        <x:v>308.808</x:v>
      </x:c>
      <x:c r="F57" s="58" t="n">
        <x:v>358.808</x:v>
      </x:c>
      <x:c r="G57" s="58" t="n">
        <x:v>50</x:v>
      </x:c>
      <x:c r="H57" s="58" t="n">
        <x:v>6.064573010224743</x:v>
      </x:c>
      <x:c r="I57" s="58" t="n">
        <x:v>6.15380434982274</x:v>
      </x:c>
      <x:c r="J57" s="58" t="n">
        <x:v>6.09374744148939</x:v>
      </x:c>
      <x:c r="K57" s="58" t="n">
        <x:v>5.969683382868439</x:v>
      </x:c>
      <x:c r="L57" s="58" t="n">
        <x:v>6.292160011262137</x:v>
      </x:c>
      <x:c r="M57" s="58" t="n">
        <x:v>6.049342032265327</x:v>
      </x:c>
      <x:c r="N57" s="58" t="n">
        <x:v>6.018939720910611</x:v>
      </x:c>
      <x:c r="O57" s="58" t="n">
        <x:v>1</x:v>
      </x:c>
      <x:c r="P57" s="58" t="n">
        <x:v>6.15380434982274</x:v>
      </x:c>
      <x:c r="Q57" s="58" t="n">
        <x:v>6.09374744148939</x:v>
      </x:c>
      <x:c r="R57" s="58" t="n">
        <x:v>0.06005690833334931</x:v>
      </x:c>
      <x:c r="S57" s="58" t="n">
        <x:v>0.8806390629834887</x:v>
      </x:c>
      <x:c r="T57" s="58" t="n">
        <x:v>1</x:v>
      </x:c>
      <x:c r="U57" s="58" t="n">
        <x:v>0.03120345047834236</x:v>
      </x:c>
      <x:c r="V57" s="58" t="str">
        <x:v>0.8224734538853697</x:v>
      </x:c>
      <x:c r="W57" s="58" t="n">
        <x:v>0</x:v>
      </x:c>
      <x:c r="X57" s="58" t="n">
        <x:v>0.02917443126464736</x:v>
      </x:c>
      <x:c r="Y57" s="58" t="n">
        <x:v>0.02917443126464736</x:v>
      </x:c>
      <x:c r="Z57" s="58" t="n">
        <x:v>0.8275859048904095</x:v>
      </x:c>
      <x:c r="AA57" s="58" t="n">
        <x:v>0.029696129020074687</x:v>
      </x:c>
      <x:c r="AB57" s="58" t="n">
        <x:f>IF(C57="SQUAT",0,1)</x:f>
        <x:v>1</x:v>
      </x:c>
      <x:c r="AC57" s="58" t="n">
        <x:f>IF(AND(AB57=1,W57=0),1,0)</x:f>
        <x:v>1</x:v>
      </x:c>
      <x:c r="AD57" s="58" t="n">
        <x:f>IF(AC57=1,X57,"")</x:f>
        <x:v>0.02917443126464736</x:v>
      </x:c>
      <x:c r="AE57" s="58" t="n">
        <x:f>IF(AB57=1,X57,"")</x:f>
        <x:v>0.02917443126464736</x:v>
      </x:c>
      <x:c r="AF57" s="59" t="n">
        <x:f>IF(AB57=1,IF(X57&lt;=2,1,0),"")</x:f>
        <x:v>1</x:v>
      </x:c>
    </x:row>
    <x:row r="58">
      <x:c r="A58" s="57" t="str">
        <x:v>S21_PSJ</x:v>
      </x:c>
      <x:c r="B58" s="58" t="str">
        <x:v>S02</x:v>
      </x:c>
      <x:c r="C58" s="58" t="str">
        <x:v>POST_HOLD</x:v>
      </x:c>
      <x:c r="D58" s="58" t="str"/>
      <x:c r="E58" s="58" t="n">
        <x:v>396.05</x:v>
      </x:c>
      <x:c r="F58" s="58" t="n">
        <x:v>448.808</x:v>
      </x:c>
      <x:c r="G58" s="58" t="n">
        <x:v>52.758</x:v>
      </x:c>
      <x:c r="H58" s="58" t="n">
        <x:v>12.651225910362735</x:v>
      </x:c>
      <x:c r="I58" s="58" t="n">
        <x:v>12.616214175432605</x:v>
      </x:c>
      <x:c r="J58" s="58" t="n">
        <x:v>12.592406631416381</x:v>
      </x:c>
      <x:c r="K58" s="58" t="n">
        <x:v>12.567137680497657</x:v>
      </x:c>
      <x:c r="L58" s="58" t="n">
        <x:v>12.615051450144929</x:v>
      </x:c>
      <x:c r="M58" s="58" t="n">
        <x:v>12.550627778776853</x:v>
      </x:c>
      <x:c r="N58" s="58" t="n">
        <x:v>12.509000840304305</x:v>
      </x:c>
      <x:c r="O58" s="58" t="n">
        <x:v>3</x:v>
      </x:c>
      <x:c r="P58" s="58" t="n">
        <x:v>12.567137680497657</x:v>
      </x:c>
      <x:c r="Q58" s="58" t="n">
        <x:v>12.592406631416381</x:v>
      </x:c>
      <x:c r="R58" s="58" t="n">
        <x:v>0.02380754401622376</x:v>
      </x:c>
      <x:c r="S58" s="58" t="n">
        <x:v>1</x:v>
      </x:c>
      <x:c r="T58" s="58" t="n">
        <x:v>1</x:v>
      </x:c>
      <x:c r="U58" s="58" t="n">
        <x:v>0.03274868449721002</x:v>
      </x:c>
      <x:c r="V58" s="58" t="str">
        <x:v>0.8681249265858045</x:v>
      </x:c>
      <x:c r="W58" s="58" t="n">
        <x:v>0</x:v>
      </x:c>
      <x:c r="X58" s="58" t="n">
        <x:v>0.05881927894635375</x:v>
      </x:c>
      <x:c r="Y58" s="58" t="n">
        <x:v>0.03501173493012999</x:v>
      </x:c>
      <x:c r="Z58" s="58" t="n">
        <x:v>0.6948813053515652</x:v>
      </x:c>
      <x:c r="AA58" s="58" t="n">
        <x:v>0.027773091787440772</x:v>
      </x:c>
      <x:c r="AB58" s="58" t="n">
        <x:f>IF(C58="SQUAT",0,1)</x:f>
        <x:v>1</x:v>
      </x:c>
      <x:c r="AC58" s="58" t="n">
        <x:f>IF(AND(AB58=1,W58=0),1,0)</x:f>
        <x:v>1</x:v>
      </x:c>
      <x:c r="AD58" s="58" t="n">
        <x:f>IF(AC58=1,X58,"")</x:f>
        <x:v>0.05881927894635375</x:v>
      </x:c>
      <x:c r="AE58" s="58" t="n">
        <x:f>IF(AB58=1,X58,"")</x:f>
        <x:v>0.05881927894635375</x:v>
      </x:c>
      <x:c r="AF58" s="59" t="n">
        <x:f>IF(AB58=1,IF(X58&lt;=2,1,0),"")</x:f>
        <x:v>1</x:v>
      </x:c>
    </x:row>
    <x:row r="59">
      <x:c r="A59" s="57" t="str">
        <x:v>S21_PSJ</x:v>
      </x:c>
      <x:c r="B59" s="58" t="str">
        <x:v>S02</x:v>
      </x:c>
      <x:c r="C59" s="58" t="str">
        <x:v>SQUAT</x:v>
      </x:c>
      <x:c r="D59" s="58" t="str"/>
      <x:c r="E59" s="58" t="n">
        <x:v>473.808</x:v>
      </x:c>
      <x:c r="F59" s="58" t="n">
        <x:v>523.808</x:v>
      </x:c>
      <x:c r="G59" s="58" t="n">
        <x:v>50</x:v>
      </x:c>
      <x:c r="H59" s="58" t="n">
        <x:v>21.892487359305964</x:v>
      </x:c>
      <x:c r="I59" s="58" t="n">
        <x:v>12.734148867236648</x:v>
      </x:c>
      <x:c r="J59" s="58" t="n">
        <x:v>20.220228793171326</x:v>
      </x:c>
      <x:c r="K59" s="58" t="n">
        <x:v>13.352467163481373</x:v>
      </x:c>
      <x:c r="L59" s="58" t="n">
        <x:v>12.733533961841852</x:v>
      </x:c>
      <x:c r="M59" s="58" t="n">
        <x:v>20.33391965228401</x:v>
      </x:c>
      <x:c r="N59" s="58" t="n">
        <x:v>13.449350378252086</x:v>
      </x:c>
      <x:c r="O59" s="58" t="n">
        <x:v>3</x:v>
      </x:c>
      <x:c r="P59" s="58" t="n">
        <x:v>13.352467163481373</x:v>
      </x:c>
      <x:c r="Q59" s="58" t="n">
        <x:v>13.352467163481373</x:v>
      </x:c>
      <x:c r="R59" s="58" t="n">
        <x:v>0.6183182962447251</x:v>
      </x:c>
      <x:c r="S59" s="58" t="n">
        <x:v>1</x:v>
      </x:c>
      <x:c r="T59" s="58" t="n">
        <x:v>0</x:v>
      </x:c>
      <x:c r="U59" s="58" t="n">
        <x:v>0.11584096149284714</x:v>
      </x:c>
      <x:c r="V59" s="58" t="str">
        <x:v>0.6775257829701484</x:v>
      </x:c>
      <x:c r="W59" s="58" t="n">
        <x:v>1</x:v>
      </x:c>
      <x:c r="X59" s="58" t="n">
        <x:v>8.54002019582459</x:v>
      </x:c>
      <x:c r="Y59" s="58" t="n">
        <x:v>1.6722585661346372</x:v>
      </x:c>
      <x:c r="Z59" s="58" t="n">
        <x:v>0.3747396879453749</x:v>
      </x:c>
      <x:c r="AA59" s="58" t="n">
        <x:v>0.08849703840881162</x:v>
      </x:c>
      <x:c r="AB59" s="58" t="n">
        <x:f>IF(C59="SQUAT",0,1)</x:f>
        <x:v>0</x:v>
      </x:c>
      <x:c r="AC59" s="58" t="n">
        <x:f>IF(AND(AB59=1,W59=0),1,0)</x:f>
        <x:v>0</x:v>
      </x:c>
      <x:c r="AD59" s="58" t="str">
        <x:f>IF(AC59=1,X59,"")</x:f>
      </x:c>
      <x:c r="AE59" s="58" t="str">
        <x:f>IF(AB59=1,X59,"")</x:f>
      </x:c>
      <x:c r="AF59" s="59" t="str">
        <x:f>IF(AB59=1,IF(X59&lt;=2,1,0),"")</x:f>
      </x:c>
    </x:row>
    <x:row r="60">
      <x:c r="A60" s="57" t="str">
        <x:v>S21_PSJ</x:v>
      </x:c>
      <x:c r="B60" s="58" t="str">
        <x:v>S02</x:v>
      </x:c>
      <x:c r="C60" s="58" t="str">
        <x:v>POST_EXERCISE</x:v>
      </x:c>
      <x:c r="D60" s="58" t="str"/>
      <x:c r="E60" s="58" t="n">
        <x:v>548.808</x:v>
      </x:c>
      <x:c r="F60" s="58" t="n">
        <x:v>598.808</x:v>
      </x:c>
      <x:c r="G60" s="58" t="n">
        <x:v>50</x:v>
      </x:c>
      <x:c r="H60" s="58" t="n">
        <x:v>27.324089713857973</x:v>
      </x:c>
      <x:c r="I60" s="58" t="n">
        <x:v>27.757629749467277</x:v>
      </x:c>
      <x:c r="J60" s="58" t="n">
        <x:v>27.515833204995296</x:v>
      </x:c>
      <x:c r="K60" s="58" t="n">
        <x:v>27.671730580376547</x:v>
      </x:c>
      <x:c r="L60" s="58" t="n">
        <x:v>27.722172873800524</x:v>
      </x:c>
      <x:c r="M60" s="58" t="n">
        <x:v>27.556164348723847</x:v>
      </x:c>
      <x:c r="N60" s="58" t="n">
        <x:v>27.68362938190361</x:v>
      </x:c>
      <x:c r="O60" s="58" t="n">
        <x:v>3</x:v>
      </x:c>
      <x:c r="P60" s="58" t="n">
        <x:v>27.671730580376547</x:v>
      </x:c>
      <x:c r="Q60" s="58" t="n">
        <x:v>27.671730580376547</x:v>
      </x:c>
      <x:c r="R60" s="58" t="n">
        <x:v>0.08589916909073025</x:v>
      </x:c>
      <x:c r="S60" s="58" t="n">
        <x:v>1</x:v>
      </x:c>
      <x:c r="T60" s="58" t="n">
        <x:v>1</x:v>
      </x:c>
      <x:c r="U60" s="58" t="n">
        <x:v>0.03197165161701903</x:v>
      </x:c>
      <x:c r="V60" s="58" t="str">
        <x:v>0.8866767068315965</x:v>
      </x:c>
      <x:c r="W60" s="58" t="n">
        <x:v>0</x:v>
      </x:c>
      <x:c r="X60" s="58" t="n">
        <x:v>0.3476408665185744</x:v>
      </x:c>
      <x:c r="Y60" s="58" t="n">
        <x:v>0.19174349113732347</x:v>
      </x:c>
      <x:c r="Z60" s="58" t="n">
        <x:v>0.9439289515523863</x:v>
      </x:c>
      <x:c r="AA60" s="58" t="n">
        <x:v>0.03187660352662712</x:v>
      </x:c>
      <x:c r="AB60" s="58" t="n">
        <x:f>IF(C60="SQUAT",0,1)</x:f>
        <x:v>1</x:v>
      </x:c>
      <x:c r="AC60" s="58" t="n">
        <x:f>IF(AND(AB60=1,W60=0),1,0)</x:f>
        <x:v>1</x:v>
      </x:c>
      <x:c r="AD60" s="58" t="n">
        <x:f>IF(AC60=1,X60,"")</x:f>
        <x:v>0.3476408665185744</x:v>
      </x:c>
      <x:c r="AE60" s="58" t="n">
        <x:f>IF(AB60=1,X60,"")</x:f>
        <x:v>0.3476408665185744</x:v>
      </x:c>
      <x:c r="AF60" s="59" t="n">
        <x:f>IF(AB60=1,IF(X60&lt;=2,1,0),"")</x:f>
        <x:v>1</x:v>
      </x:c>
    </x:row>
    <x:row r="61">
      <x:c r="A61" s="57" t="str">
        <x:v>S23_KDM</x:v>
      </x:c>
      <x:c r="B61" s="58" t="str">
        <x:v>S01</x:v>
      </x:c>
      <x:c r="C61" s="58" t="str">
        <x:v>FACE_R1</x:v>
      </x:c>
      <x:c r="D61" s="58" t="n">
        <x:v>1</x:v>
      </x:c>
      <x:c r="E61" s="58" t="n">
        <x:v>29.916</x:v>
      </x:c>
      <x:c r="F61" s="58" t="n">
        <x:v>72.5</x:v>
      </x:c>
      <x:c r="G61" s="58" t="n">
        <x:v>42.584</x:v>
      </x:c>
      <x:c r="H61" s="58" t="n">
        <x:v>15.86420486520299</x:v>
      </x:c>
      <x:c r="I61" s="58" t="n">
        <x:v>15.774280803924693</x:v>
      </x:c>
      <x:c r="J61" s="58" t="n">
        <x:v>15.799803596376908</x:v>
      </x:c>
      <x:c r="K61" s="58" t="n">
        <x:v>15.781648990301527</x:v>
      </x:c>
      <x:c r="L61" s="58" t="n">
        <x:v>15.855730672999538</x:v>
      </x:c>
      <x:c r="M61" s="58" t="n">
        <x:v>15.798000412218284</x:v>
      </x:c>
      <x:c r="N61" s="58" t="n">
        <x:v>15.796840059372057</x:v>
      </x:c>
      <x:c r="O61" s="58" t="n">
        <x:v>1</x:v>
      </x:c>
      <x:c r="P61" s="58" t="n">
        <x:v>15.774280803924693</x:v>
      </x:c>
      <x:c r="Q61" s="58" t="n">
        <x:v>15.781648990301527</x:v>
      </x:c>
      <x:c r="R61" s="58" t="n">
        <x:v>0.007368186376833563</x:v>
      </x:c>
      <x:c r="S61" s="58" t="n">
        <x:v>1</x:v>
      </x:c>
      <x:c r="T61" s="58" t="n">
        <x:v>1</x:v>
      </x:c>
      <x:c r="U61" s="58" t="n">
        <x:v>0.029172759130161874</x:v>
      </x:c>
      <x:c r="V61" s="58" t="str">
        <x:v>0.8636506166947618</x:v>
      </x:c>
      <x:c r="W61" s="58" t="n">
        <x:v>0</x:v>
      </x:c>
      <x:c r="X61" s="58" t="n">
        <x:v>0.08255587490146254</x:v>
      </x:c>
      <x:c r="Y61" s="58" t="n">
        <x:v>0.06440126882608155</x:v>
      </x:c>
      <x:c r="Z61" s="58" t="n">
        <x:v>0.8733496830221679</x:v>
      </x:c>
      <x:c r="AA61" s="58" t="n">
        <x:v>0.026429520477071568</x:v>
      </x:c>
      <x:c r="AB61" s="58" t="n">
        <x:f>IF(C61="SQUAT",0,1)</x:f>
        <x:v>1</x:v>
      </x:c>
      <x:c r="AC61" s="58" t="n">
        <x:f>IF(AND(AB61=1,W61=0),1,0)</x:f>
        <x:v>1</x:v>
      </x:c>
      <x:c r="AD61" s="58" t="n">
        <x:f>IF(AC61=1,X61,"")</x:f>
        <x:v>0.08255587490146254</x:v>
      </x:c>
      <x:c r="AE61" s="58" t="n">
        <x:f>IF(AB61=1,X61,"")</x:f>
        <x:v>0.08255587490146254</x:v>
      </x:c>
      <x:c r="AF61" s="59" t="n">
        <x:f>IF(AB61=1,IF(X61&lt;=2,1,0),"")</x:f>
        <x:v>1</x:v>
      </x:c>
    </x:row>
    <x:row r="62">
      <x:c r="A62" s="57" t="str">
        <x:v>S23_KDM</x:v>
      </x:c>
      <x:c r="B62" s="58" t="str">
        <x:v>S01</x:v>
      </x:c>
      <x:c r="C62" s="58" t="str">
        <x:v>FACE_R2</x:v>
      </x:c>
      <x:c r="D62" s="58" t="n">
        <x:v>2</x:v>
      </x:c>
      <x:c r="E62" s="58" t="n">
        <x:v>82.5</x:v>
      </x:c>
      <x:c r="F62" s="58" t="n">
        <x:v>134.7</x:v>
      </x:c>
      <x:c r="G62" s="58" t="n">
        <x:v>52.2</x:v>
      </x:c>
      <x:c r="H62" s="58" t="n">
        <x:v>12.367003512586832</x:v>
      </x:c>
      <x:c r="I62" s="58" t="n">
        <x:v>11.856507535952048</x:v>
      </x:c>
      <x:c r="J62" s="58" t="n">
        <x:v>11.873550960722692</x:v>
      </x:c>
      <x:c r="K62" s="58" t="n">
        <x:v>11.831706663225967</x:v>
      </x:c>
      <x:c r="L62" s="58" t="n">
        <x:v>11.920245013251687</x:v>
      </x:c>
      <x:c r="M62" s="58" t="n">
        <x:v>11.895547257390211</x:v>
      </x:c>
      <x:c r="N62" s="58" t="n">
        <x:v>11.819984674491243</x:v>
      </x:c>
      <x:c r="O62" s="58" t="n">
        <x:v>3</x:v>
      </x:c>
      <x:c r="P62" s="58" t="n">
        <x:v>11.831706663225967</x:v>
      </x:c>
      <x:c r="Q62" s="58" t="n">
        <x:v>11.856507535952048</x:v>
      </x:c>
      <x:c r="R62" s="58" t="n">
        <x:v>0.017043424770644577</x:v>
      </x:c>
      <x:c r="S62" s="58" t="n">
        <x:v>1</x:v>
      </x:c>
      <x:c r="T62" s="58" t="n">
        <x:v>1</x:v>
      </x:c>
      <x:c r="U62" s="58" t="n">
        <x:v>0.028441037545774095</x:v>
      </x:c>
      <x:c r="V62" s="58" t="str">
        <x:v>0.860650830913897</x:v>
      </x:c>
      <x:c r="W62" s="58" t="n">
        <x:v>0</x:v>
      </x:c>
      <x:c r="X62" s="58" t="n">
        <x:v>0.5104959766347843</x:v>
      </x:c>
      <x:c r="Y62" s="58" t="n">
        <x:v>0.4934525518641397</x:v>
      </x:c>
      <x:c r="Z62" s="58" t="n">
        <x:v>0.7187306710697517</x:v>
      </x:c>
      <x:c r="AA62" s="58" t="n">
        <x:v>0.027401737646689607</x:v>
      </x:c>
      <x:c r="AB62" s="58" t="n">
        <x:f>IF(C62="SQUAT",0,1)</x:f>
        <x:v>1</x:v>
      </x:c>
      <x:c r="AC62" s="58" t="n">
        <x:f>IF(AND(AB62=1,W62=0),1,0)</x:f>
        <x:v>1</x:v>
      </x:c>
      <x:c r="AD62" s="58" t="n">
        <x:f>IF(AC62=1,X62,"")</x:f>
        <x:v>0.5104959766347843</x:v>
      </x:c>
      <x:c r="AE62" s="58" t="n">
        <x:f>IF(AB62=1,X62,"")</x:f>
        <x:v>0.5104959766347843</x:v>
      </x:c>
      <x:c r="AF62" s="59" t="n">
        <x:f>IF(AB62=1,IF(X62&lt;=2,1,0),"")</x:f>
        <x:v>1</x:v>
      </x:c>
    </x:row>
    <x:row r="63">
      <x:c r="A63" s="57" t="str">
        <x:v>S23_KDM</x:v>
      </x:c>
      <x:c r="B63" s="58" t="str">
        <x:v>S01</x:v>
      </x:c>
      <x:c r="C63" s="58" t="str">
        <x:v>FACE_R3</x:v>
      </x:c>
      <x:c r="D63" s="58" t="n">
        <x:v>3</x:v>
      </x:c>
      <x:c r="E63" s="58" t="n">
        <x:v>144.7</x:v>
      </x:c>
      <x:c r="F63" s="58" t="n">
        <x:v>207.8</x:v>
      </x:c>
      <x:c r="G63" s="58" t="n">
        <x:v>63.1</x:v>
      </x:c>
      <x:c r="H63" s="58" t="n">
        <x:v>10.79733977521659</x:v>
      </x:c>
      <x:c r="I63" s="58" t="n">
        <x:v>10.899355599361748</x:v>
      </x:c>
      <x:c r="J63" s="58" t="n">
        <x:v>11.005978881591124</x:v>
      </x:c>
      <x:c r="K63" s="58" t="n">
        <x:v>11.15271784113259</x:v>
      </x:c>
      <x:c r="L63" s="58" t="n">
        <x:v>10.910502390037665</x:v>
      </x:c>
      <x:c r="M63" s="58" t="n">
        <x:v>10.935518558303533</x:v>
      </x:c>
      <x:c r="N63" s="58" t="n">
        <x:v>11.227133561020347</x:v>
      </x:c>
      <x:c r="O63" s="58" t="n">
        <x:v>3</x:v>
      </x:c>
      <x:c r="P63" s="58" t="n">
        <x:v>11.15271784113259</x:v>
      </x:c>
      <x:c r="Q63" s="58" t="n">
        <x:v>11.15271784113259</x:v>
      </x:c>
      <x:c r="R63" s="58" t="n">
        <x:v>0.10662328222937667</x:v>
      </x:c>
      <x:c r="S63" s="58" t="n">
        <x:v>0.9216755039540637</x:v>
      </x:c>
      <x:c r="T63" s="58" t="n">
        <x:v>1</x:v>
      </x:c>
      <x:c r="U63" s="58" t="n">
        <x:v>0.03306580411326561</x:v>
      </x:c>
      <x:c r="V63" s="58" t="str">
        <x:v>0.8579866493187642</x:v>
      </x:c>
      <x:c r="W63" s="58" t="n">
        <x:v>0</x:v>
      </x:c>
      <x:c r="X63" s="58" t="n">
        <x:v>0.35537806591599974</x:v>
      </x:c>
      <x:c r="Y63" s="58" t="n">
        <x:v>0.1020158241451572</x:v>
      </x:c>
      <x:c r="Z63" s="58" t="n">
        <x:v>0.529853211688789</x:v>
      </x:c>
      <x:c r="AA63" s="58" t="n">
        <x:v>0.029165901137452908</x:v>
      </x:c>
      <x:c r="AB63" s="58" t="n">
        <x:f>IF(C63="SQUAT",0,1)</x:f>
        <x:v>1</x:v>
      </x:c>
      <x:c r="AC63" s="58" t="n">
        <x:f>IF(AND(AB63=1,W63=0),1,0)</x:f>
        <x:v>1</x:v>
      </x:c>
      <x:c r="AD63" s="58" t="n">
        <x:f>IF(AC63=1,X63,"")</x:f>
        <x:v>0.35537806591599974</x:v>
      </x:c>
      <x:c r="AE63" s="58" t="n">
        <x:f>IF(AB63=1,X63,"")</x:f>
        <x:v>0.35537806591599974</x:v>
      </x:c>
      <x:c r="AF63" s="59" t="n">
        <x:f>IF(AB63=1,IF(X63&lt;=2,1,0),"")</x:f>
        <x:v>1</x:v>
      </x:c>
    </x:row>
    <x:row r="64">
      <x:c r="A64" s="57" t="str">
        <x:v>S23_KDM</x:v>
      </x:c>
      <x:c r="B64" s="58" t="str">
        <x:v>S02</x:v>
      </x:c>
      <x:c r="C64" s="58" t="str">
        <x:v>NORMAL</x:v>
      </x:c>
      <x:c r="D64" s="58" t="str"/>
      <x:c r="E64" s="58" t="n">
        <x:v>241.608</x:v>
      </x:c>
      <x:c r="F64" s="58" t="n">
        <x:v>291.608</x:v>
      </x:c>
      <x:c r="G64" s="58" t="n">
        <x:v>50</x:v>
      </x:c>
      <x:c r="H64" s="58" t="n">
        <x:v>13.897556619884309</x:v>
      </x:c>
      <x:c r="I64" s="58" t="n">
        <x:v>14.087348608930402</x:v>
      </x:c>
      <x:c r="J64" s="58" t="n">
        <x:v>13.921883939388339</x:v>
      </x:c>
      <x:c r="K64" s="58" t="n">
        <x:v>14.28389664572016</x:v>
      </x:c>
      <x:c r="L64" s="58" t="n">
        <x:v>14.170054061221332</x:v>
      </x:c>
      <x:c r="M64" s="58" t="n">
        <x:v>14.176144334406269</x:v>
      </x:c>
      <x:c r="N64" s="58" t="n">
        <x:v>14.237546621485185</x:v>
      </x:c>
      <x:c r="O64" s="58" t="n">
        <x:v>3</x:v>
      </x:c>
      <x:c r="P64" s="58" t="n">
        <x:v>14.28389664572016</x:v>
      </x:c>
      <x:c r="Q64" s="58" t="n">
        <x:v>14.087348608930402</x:v>
      </x:c>
      <x:c r="R64" s="58" t="n">
        <x:v>0.16546466954206274</x:v>
      </x:c>
      <x:c r="S64" s="58" t="n">
        <x:v>1</x:v>
      </x:c>
      <x:c r="T64" s="58" t="n">
        <x:v>1</x:v>
      </x:c>
      <x:c r="U64" s="58" t="n">
        <x:v>0.030481978988966117</x:v>
      </x:c>
      <x:c r="V64" s="58" t="str">
        <x:v>0.843792829823668</x:v>
      </x:c>
      <x:c r="W64" s="58" t="n">
        <x:v>0</x:v>
      </x:c>
      <x:c r="X64" s="58" t="n">
        <x:v>0.18979198904609262</x:v>
      </x:c>
      <x:c r="Y64" s="58" t="n">
        <x:v>0.024327319504029887</x:v>
      </x:c>
      <x:c r="Z64" s="58" t="n">
        <x:v>0.4845207069290942</x:v>
      </x:c>
      <x:c r="AA64" s="58" t="n">
        <x:v>0.02742226761183133</x:v>
      </x:c>
      <x:c r="AB64" s="58" t="n">
        <x:f>IF(C64="SQUAT",0,1)</x:f>
        <x:v>1</x:v>
      </x:c>
      <x:c r="AC64" s="58" t="n">
        <x:f>IF(AND(AB64=1,W64=0),1,0)</x:f>
        <x:v>1</x:v>
      </x:c>
      <x:c r="AD64" s="58" t="n">
        <x:f>IF(AC64=1,X64,"")</x:f>
        <x:v>0.18979198904609262</x:v>
      </x:c>
      <x:c r="AE64" s="58" t="n">
        <x:f>IF(AB64=1,X64,"")</x:f>
        <x:v>0.18979198904609262</x:v>
      </x:c>
      <x:c r="AF64" s="59" t="n">
        <x:f>IF(AB64=1,IF(X64&lt;=2,1,0),"")</x:f>
        <x:v>1</x:v>
      </x:c>
    </x:row>
    <x:row r="65">
      <x:c r="A65" s="57" t="str">
        <x:v>S23_KDM</x:v>
      </x:c>
      <x:c r="B65" s="58" t="str">
        <x:v>S02</x:v>
      </x:c>
      <x:c r="C65" s="58" t="str">
        <x:v>SLOW</x:v>
      </x:c>
      <x:c r="D65" s="58" t="str"/>
      <x:c r="E65" s="58" t="n">
        <x:v>301.608</x:v>
      </x:c>
      <x:c r="F65" s="58" t="n">
        <x:v>351.608</x:v>
      </x:c>
      <x:c r="G65" s="58" t="n">
        <x:v>50</x:v>
      </x:c>
      <x:c r="H65" s="58" t="n">
        <x:v>6.028471845847771</x:v>
      </x:c>
      <x:c r="I65" s="58" t="n">
        <x:v>6.094559934106908</x:v>
      </x:c>
      <x:c r="J65" s="58" t="n">
        <x:v>5.818549317347762</x:v>
      </x:c>
      <x:c r="K65" s="58" t="n">
        <x:v>5.901006685447757</x:v>
      </x:c>
      <x:c r="L65" s="58" t="n">
        <x:v>6.177185159082016</x:v>
      </x:c>
      <x:c r="M65" s="58" t="n">
        <x:v>5.862980465911451</x:v>
      </x:c>
      <x:c r="N65" s="58" t="n">
        <x:v>6.0630835872165205</x:v>
      </x:c>
      <x:c r="O65" s="58" t="n">
        <x:v>3</x:v>
      </x:c>
      <x:c r="P65" s="58" t="n">
        <x:v>5.901006685447757</x:v>
      </x:c>
      <x:c r="Q65" s="58" t="n">
        <x:v>5.901006685447757</x:v>
      </x:c>
      <x:c r="R65" s="58" t="n">
        <x:v>0.08245736809999471</x:v>
      </x:c>
      <x:c r="S65" s="58" t="n">
        <x:v>0.8871826605792954</x:v>
      </x:c>
      <x:c r="T65" s="58" t="n">
        <x:v>1</x:v>
      </x:c>
      <x:c r="U65" s="58" t="n">
        <x:v>0.030931097749741766</x:v>
      </x:c>
      <x:c r="V65" s="58" t="str">
        <x:v>0.814649445633003</x:v>
      </x:c>
      <x:c r="W65" s="58" t="n">
        <x:v>0</x:v>
      </x:c>
      <x:c r="X65" s="58" t="n">
        <x:v>0.1274651604000141</x:v>
      </x:c>
      <x:c r="Y65" s="58" t="n">
        <x:v>0.06608808825913659</x:v>
      </x:c>
      <x:c r="Z65" s="58" t="n">
        <x:v>0.8405526285166449</x:v>
      </x:c>
      <x:c r="AA65" s="58" t="n">
        <x:v>0.027024965897127502</x:v>
      </x:c>
      <x:c r="AB65" s="58" t="n">
        <x:f>IF(C65="SQUAT",0,1)</x:f>
        <x:v>1</x:v>
      </x:c>
      <x:c r="AC65" s="58" t="n">
        <x:f>IF(AND(AB65=1,W65=0),1,0)</x:f>
        <x:v>1</x:v>
      </x:c>
      <x:c r="AD65" s="58" t="n">
        <x:f>IF(AC65=1,X65,"")</x:f>
        <x:v>0.1274651604000141</x:v>
      </x:c>
      <x:c r="AE65" s="58" t="n">
        <x:f>IF(AB65=1,X65,"")</x:f>
        <x:v>0.1274651604000141</x:v>
      </x:c>
      <x:c r="AF65" s="59" t="n">
        <x:f>IF(AB65=1,IF(X65&lt;=2,1,0),"")</x:f>
        <x:v>1</x:v>
      </x:c>
    </x:row>
    <x:row r="66">
      <x:c r="A66" s="57" t="str">
        <x:v>S23_KDM</x:v>
      </x:c>
      <x:c r="B66" s="58" t="str">
        <x:v>S02</x:v>
      </x:c>
      <x:c r="C66" s="58" t="str">
        <x:v>POST_HOLD</x:v>
      </x:c>
      <x:c r="D66" s="58" t="str"/>
      <x:c r="E66" s="58" t="n">
        <x:v>391.608</x:v>
      </x:c>
      <x:c r="F66" s="58" t="n">
        <x:v>441.608</x:v>
      </x:c>
      <x:c r="G66" s="58" t="n">
        <x:v>50</x:v>
      </x:c>
      <x:c r="H66" s="58" t="n">
        <x:v>14.954700994447135</x:v>
      </x:c>
      <x:c r="I66" s="58" t="n">
        <x:v>10.72854540871266</x:v>
      </x:c>
      <x:c r="J66" s="58" t="n">
        <x:v>11.227225542508695</x:v>
      </x:c>
      <x:c r="K66" s="58" t="n">
        <x:v>11.67130138939899</x:v>
      </x:c>
      <x:c r="L66" s="58" t="n">
        <x:v>10.727306873883308</x:v>
      </x:c>
      <x:c r="M66" s="58" t="n">
        <x:v>11.001104537855738</x:v>
      </x:c>
      <x:c r="N66" s="58" t="n">
        <x:v>11.678135708901134</x:v>
      </x:c>
      <x:c r="O66" s="58" t="n">
        <x:v>3</x:v>
      </x:c>
      <x:c r="P66" s="58" t="n">
        <x:v>11.67130138939899</x:v>
      </x:c>
      <x:c r="Q66" s="58" t="n">
        <x:v>11.227225542508695</x:v>
      </x:c>
      <x:c r="R66" s="58" t="n">
        <x:v>0.44407584689029456</x:v>
      </x:c>
      <x:c r="S66" s="58" t="n">
        <x:v>0.9529069227884474</x:v>
      </x:c>
      <x:c r="T66" s="58" t="n">
        <x:v>1</x:v>
      </x:c>
      <x:c r="U66" s="58" t="n">
        <x:v>0.028216892413201473</x:v>
      </x:c>
      <x:c r="V66" s="58" t="str">
        <x:v>0.7761328421837292</x:v>
      </x:c>
      <x:c r="W66" s="58" t="n">
        <x:v>0</x:v>
      </x:c>
      <x:c r="X66" s="58" t="n">
        <x:v>3.7274754519384405</x:v>
      </x:c>
      <x:c r="Y66" s="58" t="n">
        <x:v>3.283399605048146</x:v>
      </x:c>
      <x:c r="Z66" s="58" t="n">
        <x:v>0.3812530092755226</x:v>
      </x:c>
      <x:c r="AA66" s="58" t="n">
        <x:v>0.02610277101759094</x:v>
      </x:c>
      <x:c r="AB66" s="58" t="n">
        <x:f>IF(C66="SQUAT",0,1)</x:f>
        <x:v>1</x:v>
      </x:c>
      <x:c r="AC66" s="58" t="n">
        <x:f>IF(AND(AB66=1,W66=0),1,0)</x:f>
        <x:v>1</x:v>
      </x:c>
      <x:c r="AD66" s="58" t="n">
        <x:f>IF(AC66=1,X66,"")</x:f>
        <x:v>3.7274754519384405</x:v>
      </x:c>
      <x:c r="AE66" s="58" t="n">
        <x:f>IF(AB66=1,X66,"")</x:f>
        <x:v>3.7274754519384405</x:v>
      </x:c>
      <x:c r="AF66" s="59" t="n">
        <x:f>IF(AB66=1,IF(X66&lt;=2,1,0),"")</x:f>
        <x:v>0</x:v>
      </x:c>
    </x:row>
    <x:row r="67">
      <x:c r="A67" s="57" t="str">
        <x:v>S23_KDM</x:v>
      </x:c>
      <x:c r="B67" s="58" t="str">
        <x:v>S02</x:v>
      </x:c>
      <x:c r="C67" s="58" t="str">
        <x:v>SQUAT</x:v>
      </x:c>
      <x:c r="D67" s="58" t="str"/>
      <x:c r="E67" s="58" t="n">
        <x:v>466.608</x:v>
      </x:c>
      <x:c r="F67" s="58" t="n">
        <x:v>516.608</x:v>
      </x:c>
      <x:c r="G67" s="58" t="n">
        <x:v>50</x:v>
      </x:c>
      <x:c r="H67" s="58" t="n">
        <x:v>23.389144095717086</x:v>
      </x:c>
      <x:c r="I67" s="58" t="n">
        <x:v>22.940515972035726</x:v>
      </x:c>
      <x:c r="J67" s="58" t="n">
        <x:v>23.17596956770184</x:v>
      </x:c>
      <x:c r="K67" s="58" t="n">
        <x:v>23.22793701907356</x:v>
      </x:c>
      <x:c r="L67" s="58" t="n">
        <x:v>22.8642085675639</x:v>
      </x:c>
      <x:c r="M67" s="58" t="n">
        <x:v>23.147972953858677</x:v>
      </x:c>
      <x:c r="N67" s="58" t="n">
        <x:v>23.2418351861447</x:v>
      </x:c>
      <x:c r="O67" s="58" t="n">
        <x:v>2</x:v>
      </x:c>
      <x:c r="P67" s="58" t="n">
        <x:v>23.17596956770184</x:v>
      </x:c>
      <x:c r="Q67" s="58" t="n">
        <x:v>23.17596956770184</x:v>
      </x:c>
      <x:c r="R67" s="58" t="n">
        <x:v>0.051967451371719875</x:v>
      </x:c>
      <x:c r="S67" s="58" t="n">
        <x:v>1</x:v>
      </x:c>
      <x:c r="T67" s="58" t="n">
        <x:v>0</x:v>
      </x:c>
      <x:c r="U67" s="58" t="n">
        <x:v>0.11244518275903802</x:v>
      </x:c>
      <x:c r="V67" s="58" t="str">
        <x:v>0.7793293032437429</x:v>
      </x:c>
      <x:c r="W67" s="58" t="n">
        <x:v>1</x:v>
      </x:c>
      <x:c r="X67" s="58" t="n">
        <x:v>0.2131745280152444</x:v>
      </x:c>
      <x:c r="Y67" s="58" t="n">
        <x:v>0.16120707664352452</x:v>
      </x:c>
      <x:c r="Z67" s="58" t="n">
        <x:v>0.5502740395921544</x:v>
      </x:c>
      <x:c r="AA67" s="58" t="n">
        <x:v>0.10964286915583263</x:v>
      </x:c>
      <x:c r="AB67" s="58" t="n">
        <x:f>IF(C67="SQUAT",0,1)</x:f>
        <x:v>0</x:v>
      </x:c>
      <x:c r="AC67" s="58" t="n">
        <x:f>IF(AND(AB67=1,W67=0),1,0)</x:f>
        <x:v>0</x:v>
      </x:c>
      <x:c r="AD67" s="58" t="str">
        <x:f>IF(AC67=1,X67,"")</x:f>
      </x:c>
      <x:c r="AE67" s="58" t="str">
        <x:f>IF(AB67=1,X67,"")</x:f>
      </x:c>
      <x:c r="AF67" s="59" t="str">
        <x:f>IF(AB67=1,IF(X67&lt;=2,1,0),"")</x:f>
      </x:c>
    </x:row>
    <x:row r="68">
      <x:c r="A68" s="57" t="str">
        <x:v>S23_KDM</x:v>
      </x:c>
      <x:c r="B68" s="58" t="str">
        <x:v>S02</x:v>
      </x:c>
      <x:c r="C68" s="58" t="str">
        <x:v>POST_EXERCISE</x:v>
      </x:c>
      <x:c r="D68" s="58" t="str"/>
      <x:c r="E68" s="58" t="n">
        <x:v>541.608</x:v>
      </x:c>
      <x:c r="F68" s="58" t="n">
        <x:v>591.608</x:v>
      </x:c>
      <x:c r="G68" s="58" t="n">
        <x:v>50</x:v>
      </x:c>
      <x:c r="H68" s="58" t="n">
        <x:v>38.4521484375</x:v>
      </x:c>
      <x:c r="I68" s="58" t="n">
        <x:v>37.41243919566688</x:v>
      </x:c>
      <x:c r="J68" s="58" t="n">
        <x:v>37.12949834047062</x:v>
      </x:c>
      <x:c r="K68" s="58" t="n">
        <x:v>10.840062769538322</x:v>
      </x:c>
      <x:c r="L68" s="58" t="n">
        <x:v>37.45832570488838</x:v>
      </x:c>
      <x:c r="M68" s="58" t="n">
        <x:v>37.21307075253521</x:v>
      </x:c>
      <x:c r="N68" s="58" t="n">
        <x:v>10.838904756324379</x:v>
      </x:c>
      <x:c r="O68" s="58" t="n">
        <x:v>2</x:v>
      </x:c>
      <x:c r="P68" s="58" t="n">
        <x:v>37.12949834047062</x:v>
      </x:c>
      <x:c r="Q68" s="58" t="n">
        <x:v>37.12949834047062</x:v>
      </x:c>
      <x:c r="R68" s="58" t="n">
        <x:v>0.28294085519625867</x:v>
      </x:c>
      <x:c r="S68" s="58" t="n">
        <x:v>1</x:v>
      </x:c>
      <x:c r="T68" s="58" t="n">
        <x:v>1</x:v>
      </x:c>
      <x:c r="U68" s="58" t="n">
        <x:v>0.032253724197940925</x:v>
      </x:c>
      <x:c r="V68" s="58" t="str">
        <x:v>0.8200233397538171</x:v>
      </x:c>
      <x:c r="W68" s="58" t="n">
        <x:v>0</x:v>
      </x:c>
      <x:c r="X68" s="58" t="n">
        <x:v>1.3226500970293813</x:v>
      </x:c>
      <x:c r="Y68" s="58" t="n">
        <x:v>1.0397092418331226</x:v>
      </x:c>
      <x:c r="Z68" s="58" t="n">
        <x:v>0.2604050903854685</x:v>
      </x:c>
      <x:c r="AA68" s="58" t="n">
        <x:v>0.03215665084121764</x:v>
      </x:c>
      <x:c r="AB68" s="58" t="n">
        <x:f>IF(C68="SQUAT",0,1)</x:f>
        <x:v>1</x:v>
      </x:c>
      <x:c r="AC68" s="58" t="n">
        <x:f>IF(AND(AB68=1,W68=0),1,0)</x:f>
        <x:v>1</x:v>
      </x:c>
      <x:c r="AD68" s="58" t="n">
        <x:f>IF(AC68=1,X68,"")</x:f>
        <x:v>1.3226500970293813</x:v>
      </x:c>
      <x:c r="AE68" s="58" t="n">
        <x:f>IF(AB68=1,X68,"")</x:f>
        <x:v>1.3226500970293813</x:v>
      </x:c>
      <x:c r="AF68" s="59" t="n">
        <x:f>IF(AB68=1,IF(X68&lt;=2,1,0),"")</x:f>
        <x:v>1</x:v>
      </x:c>
    </x:row>
    <x:row r="69">
      <x:c r="A69" s="57" t="str">
        <x:v>S26_LDW</x:v>
      </x:c>
      <x:c r="B69" s="58" t="str">
        <x:v>S01</x:v>
      </x:c>
      <x:c r="C69" s="58" t="str">
        <x:v>FACE_R1</x:v>
      </x:c>
      <x:c r="D69" s="58" t="n">
        <x:v>1</x:v>
      </x:c>
      <x:c r="E69" s="58" t="n">
        <x:v>24.716</x:v>
      </x:c>
      <x:c r="F69" s="58" t="n">
        <x:v>75.4</x:v>
      </x:c>
      <x:c r="G69" s="58" t="n">
        <x:v>50.684</x:v>
      </x:c>
      <x:c r="H69" s="58" t="n">
        <x:v>25.774623936147602</x:v>
      </x:c>
      <x:c r="I69" s="58" t="n">
        <x:v>24.062546781402702</x:v>
      </x:c>
      <x:c r="J69" s="58" t="n">
        <x:v>26.62496556326612</x:v>
      </x:c>
      <x:c r="K69" s="58" t="n">
        <x:v>11.159691873889631</x:v>
      </x:c>
      <x:c r="L69" s="58" t="n">
        <x:v>24.059088999595723</x:v>
      </x:c>
      <x:c r="M69" s="58" t="n">
        <x:v>26.573397892925364</x:v>
      </x:c>
      <x:c r="N69" s="58" t="n">
        <x:v>11.660496860743542</x:v>
      </x:c>
      <x:c r="O69" s="58" t="n">
        <x:v>1</x:v>
      </x:c>
      <x:c r="P69" s="58" t="n">
        <x:v>24.062546781402702</x:v>
      </x:c>
      <x:c r="Q69" s="58" t="n">
        <x:v>24.062546781402702</x:v>
      </x:c>
      <x:c r="R69" s="58" t="n">
        <x:v>2.5624187818634176</x:v>
      </x:c>
      <x:c r="S69" s="58" t="n">
        <x:v>1</x:v>
      </x:c>
      <x:c r="T69" s="58" t="n">
        <x:v>1</x:v>
      </x:c>
      <x:c r="U69" s="58" t="n">
        <x:v>0.030048665066515247</x:v>
      </x:c>
      <x:c r="V69" s="58" t="str">
        <x:v>0.6273739154457766</x:v>
      </x:c>
      <x:c r="W69" s="58" t="n">
        <x:v>0</x:v>
      </x:c>
      <x:c r="X69" s="58" t="n">
        <x:v>1.7120771547449003</x:v>
      </x:c>
      <x:c r="Y69" s="58" t="n">
        <x:v>0.8503416271185174</x:v>
      </x:c>
      <x:c r="Z69" s="58" t="n">
        <x:v>0.5457736911395376</x:v>
      </x:c>
      <x:c r="AA69" s="58" t="n">
        <x:v>0.025856246632202973</x:v>
      </x:c>
      <x:c r="AB69" s="58" t="n">
        <x:f>IF(C69="SQUAT",0,1)</x:f>
        <x:v>1</x:v>
      </x:c>
      <x:c r="AC69" s="58" t="n">
        <x:f>IF(AND(AB69=1,W69=0),1,0)</x:f>
        <x:v>1</x:v>
      </x:c>
      <x:c r="AD69" s="58" t="n">
        <x:f>IF(AC69=1,X69,"")</x:f>
        <x:v>1.7120771547449003</x:v>
      </x:c>
      <x:c r="AE69" s="58" t="n">
        <x:f>IF(AB69=1,X69,"")</x:f>
        <x:v>1.7120771547449003</x:v>
      </x:c>
      <x:c r="AF69" s="59" t="n">
        <x:f>IF(AB69=1,IF(X69&lt;=2,1,0),"")</x:f>
        <x:v>1</x:v>
      </x:c>
    </x:row>
    <x:row r="70">
      <x:c r="A70" s="57" t="str">
        <x:v>S26_LDW</x:v>
      </x:c>
      <x:c r="B70" s="58" t="str">
        <x:v>S01</x:v>
      </x:c>
      <x:c r="C70" s="58" t="str">
        <x:v>FACE_R2</x:v>
      </x:c>
      <x:c r="D70" s="58" t="n">
        <x:v>2</x:v>
      </x:c>
      <x:c r="E70" s="58" t="n">
        <x:v>85.4</x:v>
      </x:c>
      <x:c r="F70" s="58" t="n">
        <x:v>136.3</x:v>
      </x:c>
      <x:c r="G70" s="58" t="n">
        <x:v>50.9</x:v>
      </x:c>
      <x:c r="H70" s="58" t="n">
        <x:v>21.75290640166097</x:v>
      </x:c>
      <x:c r="I70" s="58" t="n">
        <x:v>21.605194166796263</x:v>
      </x:c>
      <x:c r="J70" s="58" t="n">
        <x:v>9.08203125</x:v>
      </x:c>
      <x:c r="K70" s="58" t="n">
        <x:v>9.08203125</x:v>
      </x:c>
      <x:c r="L70" s="58" t="n">
        <x:v>21.46730557256883</x:v>
      </x:c>
      <x:c r="M70" s="58" t="n">
        <x:v>9.08203125</x:v>
      </x:c>
      <x:c r="N70" s="58" t="n">
        <x:v>9.08203125</x:v>
      </x:c>
      <x:c r="O70" s="58" t="n">
        <x:v>2</x:v>
      </x:c>
      <x:c r="P70" s="58" t="n">
        <x:v>9.08203125</x:v>
      </x:c>
      <x:c r="Q70" s="58" t="n">
        <x:v>9.08203125</x:v>
      </x:c>
      <x:c r="R70" s="58" t="n">
        <x:v>0</x:v>
      </x:c>
      <x:c r="S70" s="58" t="n">
        <x:v>0.03906250000000015</x:v>
      </x:c>
      <x:c r="T70" s="58" t="n">
        <x:v>1</x:v>
      </x:c>
      <x:c r="U70" s="58" t="n">
        <x:v>0.031167552593409784</x:v>
      </x:c>
      <x:c r="V70" s="58" t="str">
        <x:v>0.6557570199618958</x:v>
      </x:c>
      <x:c r="W70" s="58" t="n">
        <x:v>1</x:v>
      </x:c>
      <x:c r="X70" s="58" t="n">
        <x:v>12.670875151660969</x:v>
      </x:c>
      <x:c r="Y70" s="58" t="n">
        <x:v>0.14771223486470575</x:v>
      </x:c>
      <x:c r="Z70" s="58" t="n">
        <x:v>0.33318578819336797</x:v>
      </x:c>
      <x:c r="AA70" s="58" t="n">
        <x:v>0.028236731640460096</x:v>
      </x:c>
      <x:c r="AB70" s="58" t="n">
        <x:f>IF(C70="SQUAT",0,1)</x:f>
        <x:v>1</x:v>
      </x:c>
      <x:c r="AC70" s="58" t="n">
        <x:f>IF(AND(AB70=1,W70=0),1,0)</x:f>
        <x:v>0</x:v>
      </x:c>
      <x:c r="AD70" s="58" t="str">
        <x:f>IF(AC70=1,X70,"")</x:f>
      </x:c>
      <x:c r="AE70" s="58" t="n">
        <x:f>IF(AB70=1,X70,"")</x:f>
        <x:v>12.670875151660969</x:v>
      </x:c>
      <x:c r="AF70" s="59" t="n">
        <x:f>IF(AB70=1,IF(X70&lt;=2,1,0),"")</x:f>
        <x:v>0</x:v>
      </x:c>
    </x:row>
    <x:row r="71">
      <x:c r="A71" s="57" t="str">
        <x:v>S26_LDW</x:v>
      </x:c>
      <x:c r="B71" s="58" t="str">
        <x:v>S01</x:v>
      </x:c>
      <x:c r="C71" s="58" t="str">
        <x:v>FACE_R3</x:v>
      </x:c>
      <x:c r="D71" s="58" t="n">
        <x:v>3</x:v>
      </x:c>
      <x:c r="E71" s="58" t="n">
        <x:v>146.3</x:v>
      </x:c>
      <x:c r="F71" s="58" t="n">
        <x:v>201.844</x:v>
      </x:c>
      <x:c r="G71" s="58" t="n">
        <x:v>55.544</x:v>
      </x:c>
      <x:c r="H71" s="58" t="n">
        <x:v>23.7393415605993</x:v>
      </x:c>
      <x:c r="I71" s="58" t="n">
        <x:v>23.822065365949253</x:v>
      </x:c>
      <x:c r="J71" s="58" t="n">
        <x:v>23.996099223307656</x:v>
      </x:c>
      <x:c r="K71" s="58" t="n">
        <x:v>23.927809693402292</x:v>
      </x:c>
      <x:c r="L71" s="58" t="n">
        <x:v>23.896817043427212</x:v>
      </x:c>
      <x:c r="M71" s="58" t="n">
        <x:v>23.991595469264762</x:v>
      </x:c>
      <x:c r="N71" s="58" t="n">
        <x:v>24.01552363303195</x:v>
      </x:c>
      <x:c r="O71" s="58" t="n">
        <x:v>2</x:v>
      </x:c>
      <x:c r="P71" s="58" t="n">
        <x:v>23.996099223307656</x:v>
      </x:c>
      <x:c r="Q71" s="58" t="n">
        <x:v>23.996099223307656</x:v>
      </x:c>
      <x:c r="R71" s="58" t="n">
        <x:v>0.06828952990536408</x:v>
      </x:c>
      <x:c r="S71" s="58" t="n">
        <x:v>1</x:v>
      </x:c>
      <x:c r="T71" s="58" t="n">
        <x:v>1</x:v>
      </x:c>
      <x:c r="U71" s="58" t="n">
        <x:v>0.028583749729787528</x:v>
      </x:c>
      <x:c r="V71" s="58" t="str">
        <x:v>0.8721101775812391</x:v>
      </x:c>
      <x:c r="W71" s="58" t="n">
        <x:v>0</x:v>
      </x:c>
      <x:c r="X71" s="58" t="n">
        <x:v>0.2567576627083561</x:v>
      </x:c>
      <x:c r="Y71" s="58" t="n">
        <x:v>0.0827238053499535</x:v>
      </x:c>
      <x:c r="Z71" s="58" t="n">
        <x:v>0.6478800430753829</x:v>
      </x:c>
      <x:c r="AA71" s="58" t="n">
        <x:v>0.027421955368133823</x:v>
      </x:c>
      <x:c r="AB71" s="58" t="n">
        <x:f>IF(C71="SQUAT",0,1)</x:f>
        <x:v>1</x:v>
      </x:c>
      <x:c r="AC71" s="58" t="n">
        <x:f>IF(AND(AB71=1,W71=0),1,0)</x:f>
        <x:v>1</x:v>
      </x:c>
      <x:c r="AD71" s="58" t="n">
        <x:f>IF(AC71=1,X71,"")</x:f>
        <x:v>0.2567576627083561</x:v>
      </x:c>
      <x:c r="AE71" s="58" t="n">
        <x:f>IF(AB71=1,X71,"")</x:f>
        <x:v>0.2567576627083561</x:v>
      </x:c>
      <x:c r="AF71" s="59" t="n">
        <x:f>IF(AB71=1,IF(X71&lt;=2,1,0),"")</x:f>
        <x:v>1</x:v>
      </x:c>
    </x:row>
    <x:row r="72">
      <x:c r="A72" s="57" t="str">
        <x:v>S26_LDW</x:v>
      </x:c>
      <x:c r="B72" s="58" t="str">
        <x:v>S02</x:v>
      </x:c>
      <x:c r="C72" s="58" t="str">
        <x:v>NORMAL</x:v>
      </x:c>
      <x:c r="D72" s="58" t="str"/>
      <x:c r="E72" s="58" t="n">
        <x:v>270.096</x:v>
      </x:c>
      <x:c r="F72" s="58" t="n">
        <x:v>320.096</x:v>
      </x:c>
      <x:c r="G72" s="58" t="n">
        <x:v>50</x:v>
      </x:c>
      <x:c r="H72" s="58" t="n">
        <x:v>15.784680425622696</x:v>
      </x:c>
      <x:c r="I72" s="58" t="n">
        <x:v>15.806433417179313</x:v>
      </x:c>
      <x:c r="J72" s="58" t="n">
        <x:v>18.62156077679542</x:v>
      </x:c>
      <x:c r="K72" s="58" t="n">
        <x:v>15.855920094056573</x:v>
      </x:c>
      <x:c r="L72" s="58" t="n">
        <x:v>15.831290029506103</x:v>
      </x:c>
      <x:c r="M72" s="58" t="n">
        <x:v>18.62154376533874</x:v>
      </x:c>
      <x:c r="N72" s="58" t="n">
        <x:v>16.158298679982234</x:v>
      </x:c>
      <x:c r="O72" s="58" t="n">
        <x:v>3</x:v>
      </x:c>
      <x:c r="P72" s="58" t="n">
        <x:v>15.855920094056573</x:v>
      </x:c>
      <x:c r="Q72" s="58" t="n">
        <x:v>15.855920094056573</x:v>
      </x:c>
      <x:c r="R72" s="58" t="n">
        <x:v>0.04948667687725994</x:v>
      </x:c>
      <x:c r="S72" s="58" t="n">
        <x:v>1</x:v>
      </x:c>
      <x:c r="T72" s="58" t="n">
        <x:v>1</x:v>
      </x:c>
      <x:c r="U72" s="58" t="n">
        <x:v>0.0300919613426074</x:v>
      </x:c>
      <x:c r="V72" s="58" t="str">
        <x:v>0.8670947421632925</x:v>
      </x:c>
      <x:c r="W72" s="58" t="n">
        <x:v>0</x:v>
      </x:c>
      <x:c r="X72" s="58" t="n">
        <x:v>0.07123966843387741</x:v>
      </x:c>
      <x:c r="Y72" s="58" t="n">
        <x:v>0.021752991556617474</x:v>
      </x:c>
      <x:c r="Z72" s="58" t="n">
        <x:v>0.8550812089430241</x:v>
      </x:c>
      <x:c r="AA72" s="58" t="n">
        <x:v>0.030032411780445998</x:v>
      </x:c>
      <x:c r="AB72" s="58" t="n">
        <x:f>IF(C72="SQUAT",0,1)</x:f>
        <x:v>1</x:v>
      </x:c>
      <x:c r="AC72" s="58" t="n">
        <x:f>IF(AND(AB72=1,W72=0),1,0)</x:f>
        <x:v>1</x:v>
      </x:c>
      <x:c r="AD72" s="58" t="n">
        <x:f>IF(AC72=1,X72,"")</x:f>
        <x:v>0.07123966843387741</x:v>
      </x:c>
      <x:c r="AE72" s="58" t="n">
        <x:f>IF(AB72=1,X72,"")</x:f>
        <x:v>0.07123966843387741</x:v>
      </x:c>
      <x:c r="AF72" s="59" t="n">
        <x:f>IF(AB72=1,IF(X72&lt;=2,1,0),"")</x:f>
        <x:v>1</x:v>
      </x:c>
    </x:row>
    <x:row r="73">
      <x:c r="A73" s="57" t="str">
        <x:v>S26_LDW</x:v>
      </x:c>
      <x:c r="B73" s="58" t="str">
        <x:v>S02</x:v>
      </x:c>
      <x:c r="C73" s="58" t="str">
        <x:v>SLOW</x:v>
      </x:c>
      <x:c r="D73" s="58" t="str"/>
      <x:c r="E73" s="58" t="n">
        <x:v>330.096</x:v>
      </x:c>
      <x:c r="F73" s="58" t="n">
        <x:v>380.096</x:v>
      </x:c>
      <x:c r="G73" s="58" t="n">
        <x:v>50</x:v>
      </x:c>
      <x:c r="H73" s="58" t="n">
        <x:v>5.98321049691463</x:v>
      </x:c>
      <x:c r="I73" s="58" t="n">
        <x:v>6.093803829315972</x:v>
      </x:c>
      <x:c r="J73" s="58" t="n">
        <x:v>6.062043104333338</x:v>
      </x:c>
      <x:c r="K73" s="58" t="n">
        <x:v>6.0144988782163225</x:v>
      </x:c>
      <x:c r="L73" s="58" t="n">
        <x:v>6.079364079087439</x:v>
      </x:c>
      <x:c r="M73" s="58" t="n">
        <x:v>6.052243238934189</x:v>
      </x:c>
      <x:c r="N73" s="58" t="n">
        <x:v>6.041108737759679</x:v>
      </x:c>
      <x:c r="O73" s="58" t="n">
        <x:v>2</x:v>
      </x:c>
      <x:c r="P73" s="58" t="n">
        <x:v>6.062043104333338</x:v>
      </x:c>
      <x:c r="Q73" s="58" t="n">
        <x:v>6.062043104333338</x:v>
      </x:c>
      <x:c r="R73" s="58" t="n">
        <x:v>0.03176072498263416</x:v>
      </x:c>
      <x:c r="S73" s="58" t="n">
        <x:v>0.8820205899686612</x:v>
      </x:c>
      <x:c r="T73" s="58" t="n">
        <x:v>1</x:v>
      </x:c>
      <x:c r="U73" s="58" t="n">
        <x:v>0.03041246186649593</x:v>
      </x:c>
      <x:c r="V73" s="58" t="str">
        <x:v>0.8256370503805992</x:v>
      </x:c>
      <x:c r="W73" s="58" t="n">
        <x:v>0</x:v>
      </x:c>
      <x:c r="X73" s="58" t="n">
        <x:v>0.07883260741870757</x:v>
      </x:c>
      <x:c r="Y73" s="58" t="n">
        <x:v>0.031288381301692425</x:v>
      </x:c>
      <x:c r="Z73" s="58" t="n">
        <x:v>0.9626454806758633</x:v>
      </x:c>
      <x:c r="AA73" s="58" t="n">
        <x:v>0.029141037917472825</x:v>
      </x:c>
      <x:c r="AB73" s="58" t="n">
        <x:f>IF(C73="SQUAT",0,1)</x:f>
        <x:v>1</x:v>
      </x:c>
      <x:c r="AC73" s="58" t="n">
        <x:f>IF(AND(AB73=1,W73=0),1,0)</x:f>
        <x:v>1</x:v>
      </x:c>
      <x:c r="AD73" s="58" t="n">
        <x:f>IF(AC73=1,X73,"")</x:f>
        <x:v>0.07883260741870757</x:v>
      </x:c>
      <x:c r="AE73" s="58" t="n">
        <x:f>IF(AB73=1,X73,"")</x:f>
        <x:v>0.07883260741870757</x:v>
      </x:c>
      <x:c r="AF73" s="59" t="n">
        <x:f>IF(AB73=1,IF(X73&lt;=2,1,0),"")</x:f>
        <x:v>1</x:v>
      </x:c>
    </x:row>
    <x:row r="74">
      <x:c r="A74" s="57" t="str">
        <x:v>S26_LDW</x:v>
      </x:c>
      <x:c r="B74" s="58" t="str">
        <x:v>S02</x:v>
      </x:c>
      <x:c r="C74" s="58" t="str">
        <x:v>POST_HOLD</x:v>
      </x:c>
      <x:c r="D74" s="58" t="str"/>
      <x:c r="E74" s="58" t="n">
        <x:v>420.096</x:v>
      </x:c>
      <x:c r="F74" s="58" t="n">
        <x:v>470.096</x:v>
      </x:c>
      <x:c r="G74" s="58" t="n">
        <x:v>50</x:v>
      </x:c>
      <x:c r="H74" s="58" t="n">
        <x:v>18.60086769626014</x:v>
      </x:c>
      <x:c r="I74" s="58" t="n">
        <x:v>22.457609476896003</x:v>
      </x:c>
      <x:c r="J74" s="58" t="n">
        <x:v>21.506686868929616</x:v>
      </x:c>
      <x:c r="K74" s="58" t="n">
        <x:v>21.884486904071554</x:v>
      </x:c>
      <x:c r="L74" s="58" t="n">
        <x:v>22.409848471465555</x:v>
      </x:c>
      <x:c r="M74" s="58" t="n">
        <x:v>21.505868853511483</x:v>
      </x:c>
      <x:c r="N74" s="58" t="n">
        <x:v>21.810935546876177</x:v>
      </x:c>
      <x:c r="O74" s="58" t="n">
        <x:v>3</x:v>
      </x:c>
      <x:c r="P74" s="58" t="n">
        <x:v>21.884486904071554</x:v>
      </x:c>
      <x:c r="Q74" s="58" t="n">
        <x:v>21.884486904071554</x:v>
      </x:c>
      <x:c r="R74" s="58" t="n">
        <x:v>0.37780003514193794</x:v>
      </x:c>
      <x:c r="S74" s="58" t="n">
        <x:v>1</x:v>
      </x:c>
      <x:c r="T74" s="58" t="n">
        <x:v>1</x:v>
      </x:c>
      <x:c r="U74" s="58" t="n">
        <x:v>0.03194118849680517</x:v>
      </x:c>
      <x:c r="V74" s="58" t="str">
        <x:v>0.8031687185572721</x:v>
      </x:c>
      <x:c r="W74" s="58" t="n">
        <x:v>0</x:v>
      </x:c>
      <x:c r="X74" s="58" t="n">
        <x:v>3.283619207811416</x:v>
      </x:c>
      <x:c r="Y74" s="58" t="n">
        <x:v>2.905819172669478</x:v>
      </x:c>
      <x:c r="Z74" s="58" t="n">
        <x:v>0.6127004727357948</x:v>
      </x:c>
      <x:c r="AA74" s="58" t="n">
        <x:v>0.029614323335435157</x:v>
      </x:c>
      <x:c r="AB74" s="58" t="n">
        <x:f>IF(C74="SQUAT",0,1)</x:f>
        <x:v>1</x:v>
      </x:c>
      <x:c r="AC74" s="58" t="n">
        <x:f>IF(AND(AB74=1,W74=0),1,0)</x:f>
        <x:v>1</x:v>
      </x:c>
      <x:c r="AD74" s="58" t="n">
        <x:f>IF(AC74=1,X74,"")</x:f>
        <x:v>3.283619207811416</x:v>
      </x:c>
      <x:c r="AE74" s="58" t="n">
        <x:f>IF(AB74=1,X74,"")</x:f>
        <x:v>3.283619207811416</x:v>
      </x:c>
      <x:c r="AF74" s="59" t="n">
        <x:f>IF(AB74=1,IF(X74&lt;=2,1,0),"")</x:f>
        <x:v>0</x:v>
      </x:c>
    </x:row>
    <x:row r="75">
      <x:c r="A75" s="57" t="str">
        <x:v>S26_LDW</x:v>
      </x:c>
      <x:c r="B75" s="58" t="str">
        <x:v>S02</x:v>
      </x:c>
      <x:c r="C75" s="58" t="str">
        <x:v>SQUAT</x:v>
      </x:c>
      <x:c r="D75" s="58" t="str"/>
      <x:c r="E75" s="58" t="n">
        <x:v>495.096</x:v>
      </x:c>
      <x:c r="F75" s="58" t="n">
        <x:v>545.096</x:v>
      </x:c>
      <x:c r="G75" s="58" t="n">
        <x:v>50</x:v>
      </x:c>
      <x:c r="H75" s="58" t="n">
        <x:v>16.946608391503</x:v>
      </x:c>
      <x:c r="I75" s="58" t="n">
        <x:v>16.874203590361205</x:v>
      </x:c>
      <x:c r="J75" s="58" t="n">
        <x:v>16.563225885122748</x:v>
      </x:c>
      <x:c r="K75" s="58" t="n">
        <x:v>16.829485516618885</x:v>
      </x:c>
      <x:c r="L75" s="58" t="n">
        <x:v>16.806825407793067</x:v>
      </x:c>
      <x:c r="M75" s="58" t="n">
        <x:v>16.44378983245321</x:v>
      </x:c>
      <x:c r="N75" s="58" t="n">
        <x:v>16.767846953097493</x:v>
      </x:c>
      <x:c r="O75" s="58" t="n">
        <x:v>1</x:v>
      </x:c>
      <x:c r="P75" s="58" t="n">
        <x:v>16.874203590361205</x:v>
      </x:c>
      <x:c r="Q75" s="58" t="n">
        <x:v>16.829485516618885</x:v>
      </x:c>
      <x:c r="R75" s="58" t="n">
        <x:v>0.044718073742320286</x:v>
      </x:c>
      <x:c r="S75" s="58" t="n">
        <x:v>1</x:v>
      </x:c>
      <x:c r="T75" s="58" t="n">
        <x:v>0</x:v>
      </x:c>
      <x:c r="U75" s="58" t="n">
        <x:v>0.10185734841717281</x:v>
      </x:c>
      <x:c r="V75" s="58" t="str">
        <x:v>0.7487148634562824</x:v>
      </x:c>
      <x:c r="W75" s="58" t="n">
        <x:v>1</x:v>
      </x:c>
      <x:c r="X75" s="58" t="n">
        <x:v>0.11712287488411377</x:v>
      </x:c>
      <x:c r="Y75" s="58" t="n">
        <x:v>0.07240480114179348</x:v>
      </x:c>
      <x:c r="Z75" s="58" t="n">
        <x:v>0.8978732351048623</x:v>
      </x:c>
      <x:c r="AA75" s="58" t="n">
        <x:v>0.0935638797811697</x:v>
      </x:c>
      <x:c r="AB75" s="58" t="n">
        <x:f>IF(C75="SQUAT",0,1)</x:f>
        <x:v>0</x:v>
      </x:c>
      <x:c r="AC75" s="58" t="n">
        <x:f>IF(AND(AB75=1,W75=0),1,0)</x:f>
        <x:v>0</x:v>
      </x:c>
      <x:c r="AD75" s="58" t="str">
        <x:f>IF(AC75=1,X75,"")</x:f>
      </x:c>
      <x:c r="AE75" s="58" t="str">
        <x:f>IF(AB75=1,X75,"")</x:f>
      </x:c>
      <x:c r="AF75" s="59" t="str">
        <x:f>IF(AB75=1,IF(X75&lt;=2,1,0),"")</x:f>
      </x:c>
    </x:row>
    <x:row r="76">
      <x:c r="A76" s="57" t="str">
        <x:v>S26_LDW</x:v>
      </x:c>
      <x:c r="B76" s="58" t="str">
        <x:v>S02</x:v>
      </x:c>
      <x:c r="C76" s="58" t="str">
        <x:v>POST_EXERCISE</x:v>
      </x:c>
      <x:c r="D76" s="58" t="str"/>
      <x:c r="E76" s="58" t="n">
        <x:v>570.096</x:v>
      </x:c>
      <x:c r="F76" s="58" t="n">
        <x:v>620.096</x:v>
      </x:c>
      <x:c r="G76" s="58" t="n">
        <x:v>50</x:v>
      </x:c>
      <x:c r="H76" s="58" t="n">
        <x:v>31.598341462791847</x:v>
      </x:c>
      <x:c r="I76" s="58" t="n">
        <x:v>32.3322657992021</x:v>
      </x:c>
      <x:c r="J76" s="58" t="n">
        <x:v>30.717493490551163</x:v>
      </x:c>
      <x:c r="K76" s="58" t="n">
        <x:v>31.69253507169139</x:v>
      </x:c>
      <x:c r="L76" s="58" t="n">
        <x:v>32.05607477319924</x:v>
      </x:c>
      <x:c r="M76" s="58" t="n">
        <x:v>30.548434890562522</x:v>
      </x:c>
      <x:c r="N76" s="58" t="n">
        <x:v>31.16869762556419</x:v>
      </x:c>
      <x:c r="O76" s="58" t="n">
        <x:v>2</x:v>
      </x:c>
      <x:c r="P76" s="58" t="n">
        <x:v>30.717493490551163</x:v>
      </x:c>
      <x:c r="Q76" s="58" t="n">
        <x:v>31.69253507169139</x:v>
      </x:c>
      <x:c r="R76" s="58" t="n">
        <x:v>0.6397307275107096</x:v>
      </x:c>
      <x:c r="S76" s="58" t="n">
        <x:v>1</x:v>
      </x:c>
      <x:c r="T76" s="58" t="n">
        <x:v>1</x:v>
      </x:c>
      <x:c r="U76" s="58" t="n">
        <x:v>0.03161481923725032</x:v>
      </x:c>
      <x:c r="V76" s="58" t="str">
        <x:v>0.7873497790796223</x:v>
      </x:c>
      <x:c r="W76" s="58" t="n">
        <x:v>0</x:v>
      </x:c>
      <x:c r="X76" s="58" t="n">
        <x:v>0.0941936088995412</x:v>
      </x:c>
      <x:c r="Y76" s="58" t="n">
        <x:v>0.0941936088995412</x:v>
      </x:c>
      <x:c r="Z76" s="58" t="n">
        <x:v>0.5731082076492312</x:v>
      </x:c>
      <x:c r="AA76" s="58" t="n">
        <x:v>0.02748606096059964</x:v>
      </x:c>
      <x:c r="AB76" s="58" t="n">
        <x:f>IF(C76="SQUAT",0,1)</x:f>
        <x:v>1</x:v>
      </x:c>
      <x:c r="AC76" s="58" t="n">
        <x:f>IF(AND(AB76=1,W76=0),1,0)</x:f>
        <x:v>1</x:v>
      </x:c>
      <x:c r="AD76" s="58" t="n">
        <x:f>IF(AC76=1,X76,"")</x:f>
        <x:v>0.0941936088995412</x:v>
      </x:c>
      <x:c r="AE76" s="58" t="n">
        <x:f>IF(AB76=1,X76,"")</x:f>
        <x:v>0.0941936088995412</x:v>
      </x:c>
      <x:c r="AF76" s="59" t="n">
        <x:f>IF(AB76=1,IF(X76&lt;=2,1,0),"")</x:f>
        <x:v>1</x:v>
      </x:c>
    </x:row>
    <x:row r="77">
      <x:c r="A77" s="57" t="str">
        <x:v>S28_KDH</x:v>
      </x:c>
      <x:c r="B77" s="58" t="str">
        <x:v>S01</x:v>
      </x:c>
      <x:c r="C77" s="58" t="str">
        <x:v>FACE_R1</x:v>
      </x:c>
      <x:c r="D77" s="58" t="n">
        <x:v>1</x:v>
      </x:c>
      <x:c r="E77" s="58" t="n">
        <x:v>26.002</x:v>
      </x:c>
      <x:c r="F77" s="58" t="n">
        <x:v>77.6</x:v>
      </x:c>
      <x:c r="G77" s="58" t="n">
        <x:v>51.598</x:v>
      </x:c>
      <x:c r="H77" s="58" t="n">
        <x:v>19.244457751769787</x:v>
      </x:c>
      <x:c r="I77" s="58" t="n">
        <x:v>19.28787874723561</x:v>
      </x:c>
      <x:c r="J77" s="58" t="n">
        <x:v>18.985057282550873</x:v>
      </x:c>
      <x:c r="K77" s="58" t="n">
        <x:v>15.552053246723807</x:v>
      </x:c>
      <x:c r="L77" s="58" t="n">
        <x:v>19.387282987250618</x:v>
      </x:c>
      <x:c r="M77" s="58" t="n">
        <x:v>19.099802819986863</x:v>
      </x:c>
      <x:c r="N77" s="58" t="n">
        <x:v>15.827052078552112</x:v>
      </x:c>
      <x:c r="O77" s="58" t="n">
        <x:v>1</x:v>
      </x:c>
      <x:c r="P77" s="58" t="n">
        <x:v>19.28787874723561</x:v>
      </x:c>
      <x:c r="Q77" s="58" t="n">
        <x:v>19.28787874723561</x:v>
      </x:c>
      <x:c r="R77" s="58" t="n">
        <x:v>0.3028214646847367</x:v>
      </x:c>
      <x:c r="S77" s="58" t="n">
        <x:v>1</x:v>
      </x:c>
      <x:c r="T77" s="58" t="n">
        <x:v>1</x:v>
      </x:c>
      <x:c r="U77" s="58" t="n">
        <x:v>0.03943365287771502</x:v>
      </x:c>
      <x:c r="V77" s="58" t="str">
        <x:v>0.8467723216444137</x:v>
      </x:c>
      <x:c r="W77" s="58" t="n">
        <x:v>0</x:v>
      </x:c>
      <x:c r="X77" s="58" t="n">
        <x:v>0.0434209954658229</x:v>
      </x:c>
      <x:c r="Y77" s="58" t="n">
        <x:v>0.0434209954658229</x:v>
      </x:c>
      <x:c r="Z77" s="58" t="n">
        <x:v>0.8888531296824306</x:v>
      </x:c>
      <x:c r="AA77" s="58" t="n">
        <x:v>0.03316995477815821</x:v>
      </x:c>
      <x:c r="AB77" s="58" t="n">
        <x:f>IF(C77="SQUAT",0,1)</x:f>
        <x:v>1</x:v>
      </x:c>
      <x:c r="AC77" s="58" t="n">
        <x:f>IF(AND(AB77=1,W77=0),1,0)</x:f>
        <x:v>1</x:v>
      </x:c>
      <x:c r="AD77" s="58" t="n">
        <x:f>IF(AC77=1,X77,"")</x:f>
        <x:v>0.0434209954658229</x:v>
      </x:c>
      <x:c r="AE77" s="58" t="n">
        <x:f>IF(AB77=1,X77,"")</x:f>
        <x:v>0.0434209954658229</x:v>
      </x:c>
      <x:c r="AF77" s="59" t="n">
        <x:f>IF(AB77=1,IF(X77&lt;=2,1,0),"")</x:f>
        <x:v>1</x:v>
      </x:c>
    </x:row>
    <x:row r="78">
      <x:c r="A78" s="57" t="str">
        <x:v>S28_KDH</x:v>
      </x:c>
      <x:c r="B78" s="58" t="str">
        <x:v>S01</x:v>
      </x:c>
      <x:c r="C78" s="58" t="str">
        <x:v>FACE_R2</x:v>
      </x:c>
      <x:c r="D78" s="58" t="n">
        <x:v>2</x:v>
      </x:c>
      <x:c r="E78" s="58" t="n">
        <x:v>87.6</x:v>
      </x:c>
      <x:c r="F78" s="58" t="n">
        <x:v>139</x:v>
      </x:c>
      <x:c r="G78" s="58" t="n">
        <x:v>51.4</x:v>
      </x:c>
      <x:c r="H78" s="58" t="n">
        <x:v>13.548741353565065</x:v>
      </x:c>
      <x:c r="I78" s="58" t="n">
        <x:v>13.491325948744644</x:v>
      </x:c>
      <x:c r="J78" s="58" t="n">
        <x:v>13.499407536161884</x:v>
      </x:c>
      <x:c r="K78" s="58" t="n">
        <x:v>13.49401716301027</x:v>
      </x:c>
      <x:c r="L78" s="58" t="n">
        <x:v>13.546786920936176</x:v>
      </x:c>
      <x:c r="M78" s="58" t="n">
        <x:v>13.450047519697325</x:v>
      </x:c>
      <x:c r="N78" s="58" t="n">
        <x:v>13.490723164609792</x:v>
      </x:c>
      <x:c r="O78" s="58" t="n">
        <x:v>1</x:v>
      </x:c>
      <x:c r="P78" s="58" t="n">
        <x:v>13.491325948744644</x:v>
      </x:c>
      <x:c r="Q78" s="58" t="n">
        <x:v>13.49401716301027</x:v>
      </x:c>
      <x:c r="R78" s="58" t="n">
        <x:v>0.0026912142656261295</x:v>
      </x:c>
      <x:c r="S78" s="58" t="n">
        <x:v>1</x:v>
      </x:c>
      <x:c r="T78" s="58" t="n">
        <x:v>1</x:v>
      </x:c>
      <x:c r="U78" s="58" t="n">
        <x:v>0.036971660944515906</x:v>
      </x:c>
      <x:c r="V78" s="58" t="str">
        <x:v>0.8760812869468245</x:v>
      </x:c>
      <x:c r="W78" s="58" t="n">
        <x:v>0</x:v>
      </x:c>
      <x:c r="X78" s="58" t="n">
        <x:v>0.05472419055479527</x:v>
      </x:c>
      <x:c r="Y78" s="58" t="n">
        <x:v>0.04933381740318055</x:v>
      </x:c>
      <x:c r="Z78" s="58" t="n">
        <x:v>0.9025446061890149</x:v>
      </x:c>
      <x:c r="AA78" s="58" t="n">
        <x:v>0.02830616518984039</x:v>
      </x:c>
      <x:c r="AB78" s="58" t="n">
        <x:f>IF(C78="SQUAT",0,1)</x:f>
        <x:v>1</x:v>
      </x:c>
      <x:c r="AC78" s="58" t="n">
        <x:f>IF(AND(AB78=1,W78=0),1,0)</x:f>
        <x:v>1</x:v>
      </x:c>
      <x:c r="AD78" s="58" t="n">
        <x:f>IF(AC78=1,X78,"")</x:f>
        <x:v>0.05472419055479527</x:v>
      </x:c>
      <x:c r="AE78" s="58" t="n">
        <x:f>IF(AB78=1,X78,"")</x:f>
        <x:v>0.05472419055479527</x:v>
      </x:c>
      <x:c r="AF78" s="59" t="n">
        <x:f>IF(AB78=1,IF(X78&lt;=2,1,0),"")</x:f>
        <x:v>1</x:v>
      </x:c>
    </x:row>
    <x:row r="79">
      <x:c r="A79" s="57" t="str">
        <x:v>S28_KDH</x:v>
      </x:c>
      <x:c r="B79" s="58" t="str">
        <x:v>S01</x:v>
      </x:c>
      <x:c r="C79" s="58" t="str">
        <x:v>FACE_R3</x:v>
      </x:c>
      <x:c r="D79" s="58" t="n">
        <x:v>3</x:v>
      </x:c>
      <x:c r="E79" s="58" t="n">
        <x:v>149</x:v>
      </x:c>
      <x:c r="F79" s="58" t="n">
        <x:v>202.58</x:v>
      </x:c>
      <x:c r="G79" s="58" t="n">
        <x:v>53.58</x:v>
      </x:c>
      <x:c r="H79" s="58" t="n">
        <x:v>20.189388064334562</x:v>
      </x:c>
      <x:c r="I79" s="58" t="n">
        <x:v>20.137573504772703</x:v>
      </x:c>
      <x:c r="J79" s="58" t="n">
        <x:v>20.340404118315323</x:v>
      </x:c>
      <x:c r="K79" s="58" t="n">
        <x:v>20.04736712372719</x:v>
      </x:c>
      <x:c r="L79" s="58" t="n">
        <x:v>20.27391627983661</x:v>
      </x:c>
      <x:c r="M79" s="58" t="n">
        <x:v>20.322565079872444</x:v>
      </x:c>
      <x:c r="N79" s="58" t="n">
        <x:v>20.073667462265156</x:v>
      </x:c>
      <x:c r="O79" s="58" t="n">
        <x:v>3</x:v>
      </x:c>
      <x:c r="P79" s="58" t="n">
        <x:v>20.04736712372719</x:v>
      </x:c>
      <x:c r="Q79" s="58" t="n">
        <x:v>20.137573504772703</x:v>
      </x:c>
      <x:c r="R79" s="58" t="n">
        <x:v>0.09020638104551182</x:v>
      </x:c>
      <x:c r="S79" s="58" t="n">
        <x:v>1</x:v>
      </x:c>
      <x:c r="T79" s="58" t="n">
        <x:v>1</x:v>
      </x:c>
      <x:c r="U79" s="58" t="n">
        <x:v>0.03636882636171608</x:v>
      </x:c>
      <x:c r="V79" s="58" t="str">
        <x:v>0.8405065682461582</x:v>
      </x:c>
      <x:c r="W79" s="58" t="n">
        <x:v>0</x:v>
      </x:c>
      <x:c r="X79" s="58" t="n">
        <x:v>0.05181455956185843</x:v>
      </x:c>
      <x:c r="Y79" s="58" t="n">
        <x:v>0.05181455956185843</x:v>
      </x:c>
      <x:c r="Z79" s="58" t="n">
        <x:v>0.8167761814902048</x:v>
      </x:c>
      <x:c r="AA79" s="58" t="n">
        <x:v>0.031112585066526494</x:v>
      </x:c>
      <x:c r="AB79" s="58" t="n">
        <x:f>IF(C79="SQUAT",0,1)</x:f>
        <x:v>1</x:v>
      </x:c>
      <x:c r="AC79" s="58" t="n">
        <x:f>IF(AND(AB79=1,W79=0),1,0)</x:f>
        <x:v>1</x:v>
      </x:c>
      <x:c r="AD79" s="58" t="n">
        <x:f>IF(AC79=1,X79,"")</x:f>
        <x:v>0.05181455956185843</x:v>
      </x:c>
      <x:c r="AE79" s="58" t="n">
        <x:f>IF(AB79=1,X79,"")</x:f>
        <x:v>0.05181455956185843</x:v>
      </x:c>
      <x:c r="AF79" s="59" t="n">
        <x:f>IF(AB79=1,IF(X79&lt;=2,1,0),"")</x:f>
        <x:v>1</x:v>
      </x:c>
    </x:row>
    <x:row r="80">
      <x:c r="A80" s="57" t="str">
        <x:v>S28_KDH</x:v>
      </x:c>
      <x:c r="B80" s="58" t="str">
        <x:v>S02</x:v>
      </x:c>
      <x:c r="C80" s="58" t="str">
        <x:v>NORMAL</x:v>
      </x:c>
      <x:c r="D80" s="58" t="str"/>
      <x:c r="E80" s="58" t="n">
        <x:v>252.62</x:v>
      </x:c>
      <x:c r="F80" s="58" t="n">
        <x:v>302.62</x:v>
      </x:c>
      <x:c r="G80" s="58" t="n">
        <x:v>50</x:v>
      </x:c>
      <x:c r="H80" s="58" t="n">
        <x:v>11.174380919766126</x:v>
      </x:c>
      <x:c r="I80" s="58" t="n">
        <x:v>11.095860026252916</x:v>
      </x:c>
      <x:c r="J80" s="58" t="n">
        <x:v>11.033876192547003</x:v>
      </x:c>
      <x:c r="K80" s="58" t="n">
        <x:v>11.080269761645066</x:v>
      </x:c>
      <x:c r="L80" s="58" t="n">
        <x:v>11.11988585443436</x:v>
      </x:c>
      <x:c r="M80" s="58" t="n">
        <x:v>11.192040666434654</x:v>
      </x:c>
      <x:c r="N80" s="58" t="n">
        <x:v>11.032129148258447</x:v>
      </x:c>
      <x:c r="O80" s="58" t="n">
        <x:v>3</x:v>
      </x:c>
      <x:c r="P80" s="58" t="n">
        <x:v>11.080269761645066</x:v>
      </x:c>
      <x:c r="Q80" s="58" t="n">
        <x:v>11.080269761645066</x:v>
      </x:c>
      <x:c r="R80" s="58" t="n">
        <x:v>0.015590264607849846</x:v>
      </x:c>
      <x:c r="S80" s="58" t="n">
        <x:v>1</x:v>
      </x:c>
      <x:c r="T80" s="58" t="n">
        <x:v>1</x:v>
      </x:c>
      <x:c r="U80" s="58" t="n">
        <x:v>0.03890354161458572</x:v>
      </x:c>
      <x:c r="V80" s="58" t="str">
        <x:v>0.8803315616019526</x:v>
      </x:c>
      <x:c r="W80" s="58" t="n">
        <x:v>0</x:v>
      </x:c>
      <x:c r="X80" s="58" t="n">
        <x:v>0.09411115812105919</x:v>
      </x:c>
      <x:c r="Y80" s="58" t="n">
        <x:v>0.07852089351320934</x:v>
      </x:c>
      <x:c r="Z80" s="58" t="n">
        <x:v>0.9019417197565549</x:v>
      </x:c>
      <x:c r="AA80" s="58" t="n">
        <x:v>0.03248547931040024</x:v>
      </x:c>
      <x:c r="AB80" s="58" t="n">
        <x:f>IF(C80="SQUAT",0,1)</x:f>
        <x:v>1</x:v>
      </x:c>
      <x:c r="AC80" s="58" t="n">
        <x:f>IF(AND(AB80=1,W80=0),1,0)</x:f>
        <x:v>1</x:v>
      </x:c>
      <x:c r="AD80" s="58" t="n">
        <x:f>IF(AC80=1,X80,"")</x:f>
        <x:v>0.09411115812105919</x:v>
      </x:c>
      <x:c r="AE80" s="58" t="n">
        <x:f>IF(AB80=1,X80,"")</x:f>
        <x:v>0.09411115812105919</x:v>
      </x:c>
      <x:c r="AF80" s="59" t="n">
        <x:f>IF(AB80=1,IF(X80&lt;=2,1,0),"")</x:f>
        <x:v>1</x:v>
      </x:c>
    </x:row>
    <x:row r="81">
      <x:c r="A81" s="57" t="str">
        <x:v>S28_KDH</x:v>
      </x:c>
      <x:c r="B81" s="58" t="str">
        <x:v>S02</x:v>
      </x:c>
      <x:c r="C81" s="58" t="str">
        <x:v>SLOW</x:v>
      </x:c>
      <x:c r="D81" s="58" t="str"/>
      <x:c r="E81" s="58" t="n">
        <x:v>312.62</x:v>
      </x:c>
      <x:c r="F81" s="58" t="n">
        <x:v>362.62</x:v>
      </x:c>
      <x:c r="G81" s="58" t="n">
        <x:v>50</x:v>
      </x:c>
      <x:c r="H81" s="58" t="n">
        <x:v>6.081566067975707</x:v>
      </x:c>
      <x:c r="I81" s="58" t="n">
        <x:v>6.0178706362287455</x:v>
      </x:c>
      <x:c r="J81" s="58" t="n">
        <x:v>6.037421295217757</x:v>
      </x:c>
      <x:c r="K81" s="58" t="n">
        <x:v>6.083928610330511</x:v>
      </x:c>
      <x:c r="L81" s="58" t="n">
        <x:v>6.013457714208624</x:v>
      </x:c>
      <x:c r="M81" s="58" t="n">
        <x:v>5.981996913219435</x:v>
      </x:c>
      <x:c r="N81" s="58" t="n">
        <x:v>6.1369380330171595</x:v>
      </x:c>
      <x:c r="O81" s="58" t="n">
        <x:v>3</x:v>
      </x:c>
      <x:c r="P81" s="58" t="n">
        <x:v>6.083928610330511</x:v>
      </x:c>
      <x:c r="Q81" s="58" t="n">
        <x:v>6.037421295217757</x:v>
      </x:c>
      <x:c r="R81" s="58" t="n">
        <x:v>0.019550658989011538</x:v>
      </x:c>
      <x:c r="S81" s="58" t="n">
        <x:v>0.8635512924802967</x:v>
      </x:c>
      <x:c r="T81" s="58" t="n">
        <x:v>1</x:v>
      </x:c>
      <x:c r="U81" s="58" t="n">
        <x:v>0.03355078763802673</x:v>
      </x:c>
      <x:c r="V81" s="58" t="str">
        <x:v>0.8265395844151989</x:v>
      </x:c>
      <x:c r="W81" s="58" t="n">
        <x:v>0</x:v>
      </x:c>
      <x:c r="X81" s="58" t="n">
        <x:v>0.04414477275795026</x:v>
      </x:c>
      <x:c r="Y81" s="58" t="n">
        <x:v>0.0023625423548034874</x:v>
      </x:c>
      <x:c r="Z81" s="58" t="n">
        <x:v>0.9679636802470211</x:v>
      </x:c>
      <x:c r="AA81" s="58" t="n">
        <x:v>0.03311923063830344</x:v>
      </x:c>
      <x:c r="AB81" s="58" t="n">
        <x:f>IF(C81="SQUAT",0,1)</x:f>
        <x:v>1</x:v>
      </x:c>
      <x:c r="AC81" s="58" t="n">
        <x:f>IF(AND(AB81=1,W81=0),1,0)</x:f>
        <x:v>1</x:v>
      </x:c>
      <x:c r="AD81" s="58" t="n">
        <x:f>IF(AC81=1,X81,"")</x:f>
        <x:v>0.04414477275795026</x:v>
      </x:c>
      <x:c r="AE81" s="58" t="n">
        <x:f>IF(AB81=1,X81,"")</x:f>
        <x:v>0.04414477275795026</x:v>
      </x:c>
      <x:c r="AF81" s="59" t="n">
        <x:f>IF(AB81=1,IF(X81&lt;=2,1,0),"")</x:f>
        <x:v>1</x:v>
      </x:c>
    </x:row>
    <x:row r="82">
      <x:c r="A82" s="57" t="str">
        <x:v>S28_KDH</x:v>
      </x:c>
      <x:c r="B82" s="58" t="str">
        <x:v>S02</x:v>
      </x:c>
      <x:c r="C82" s="58" t="str">
        <x:v>POST_HOLD</x:v>
      </x:c>
      <x:c r="D82" s="58" t="str"/>
      <x:c r="E82" s="58" t="n">
        <x:v>402.475</x:v>
      </x:c>
      <x:c r="F82" s="58" t="n">
        <x:v>452.62</x:v>
      </x:c>
      <x:c r="G82" s="58" t="n">
        <x:v>50.145</x:v>
      </x:c>
      <x:c r="H82" s="58" t="n">
        <x:v>12.208772988246299</x:v>
      </x:c>
      <x:c r="I82" s="58" t="n">
        <x:v>12.086027743608856</x:v>
      </x:c>
      <x:c r="J82" s="58" t="n">
        <x:v>12.13938989574178</x:v>
      </x:c>
      <x:c r="K82" s="58" t="n">
        <x:v>11.9778596647057</x:v>
      </x:c>
      <x:c r="L82" s="58" t="n">
        <x:v>12.016359588748248</x:v>
      </x:c>
      <x:c r="M82" s="58" t="n">
        <x:v>12.102635398836593</x:v>
      </x:c>
      <x:c r="N82" s="58" t="n">
        <x:v>11.805161586648861</x:v>
      </x:c>
      <x:c r="O82" s="58" t="n">
        <x:v>3</x:v>
      </x:c>
      <x:c r="P82" s="58" t="n">
        <x:v>11.9778596647057</x:v>
      </x:c>
      <x:c r="Q82" s="58" t="n">
        <x:v>12.086027743608856</x:v>
      </x:c>
      <x:c r="R82" s="58" t="n">
        <x:v>0.053362152132924834</x:v>
      </x:c>
      <x:c r="S82" s="58" t="n">
        <x:v>1</x:v>
      </x:c>
      <x:c r="T82" s="58" t="n">
        <x:v>1</x:v>
      </x:c>
      <x:c r="U82" s="58" t="n">
        <x:v>0.03782638999189923</x:v>
      </x:c>
      <x:c r="V82" s="58" t="str">
        <x:v>0.8738279418886062</x:v>
      </x:c>
      <x:c r="W82" s="58" t="n">
        <x:v>0</x:v>
      </x:c>
      <x:c r="X82" s="58" t="n">
        <x:v>0.12274524463744285</x:v>
      </x:c>
      <x:c r="Y82" s="58" t="n">
        <x:v>0.06938309250451802</x:v>
      </x:c>
      <x:c r="Z82" s="58" t="n">
        <x:v>0.7811276590913143</x:v>
      </x:c>
      <x:c r="AA82" s="58" t="n">
        <x:v>0.034853535444096646</x:v>
      </x:c>
      <x:c r="AB82" s="58" t="n">
        <x:f>IF(C82="SQUAT",0,1)</x:f>
        <x:v>1</x:v>
      </x:c>
      <x:c r="AC82" s="58" t="n">
        <x:f>IF(AND(AB82=1,W82=0),1,0)</x:f>
        <x:v>1</x:v>
      </x:c>
      <x:c r="AD82" s="58" t="n">
        <x:f>IF(AC82=1,X82,"")</x:f>
        <x:v>0.12274524463744285</x:v>
      </x:c>
      <x:c r="AE82" s="58" t="n">
        <x:f>IF(AB82=1,X82,"")</x:f>
        <x:v>0.12274524463744285</x:v>
      </x:c>
      <x:c r="AF82" s="59" t="n">
        <x:f>IF(AB82=1,IF(X82&lt;=2,1,0),"")</x:f>
        <x:v>1</x:v>
      </x:c>
    </x:row>
    <x:row r="83">
      <x:c r="A83" s="57" t="str">
        <x:v>S28_KDH</x:v>
      </x:c>
      <x:c r="B83" s="58" t="str">
        <x:v>S02</x:v>
      </x:c>
      <x:c r="C83" s="58" t="str">
        <x:v>SQUAT</x:v>
      </x:c>
      <x:c r="D83" s="58" t="str"/>
      <x:c r="E83" s="58" t="n">
        <x:v>477.62</x:v>
      </x:c>
      <x:c r="F83" s="58" t="n">
        <x:v>527.62</x:v>
      </x:c>
      <x:c r="G83" s="58" t="n">
        <x:v>50</x:v>
      </x:c>
      <x:c r="H83" s="58" t="n">
        <x:v>17.306738179146933</x:v>
      </x:c>
      <x:c r="I83" s="58" t="n">
        <x:v>21.624634866557642</x:v>
      </x:c>
      <x:c r="J83" s="58" t="n">
        <x:v>21.67181865268821</x:v>
      </x:c>
      <x:c r="K83" s="58" t="n">
        <x:v>21.70739346407362</x:v>
      </x:c>
      <x:c r="L83" s="58" t="n">
        <x:v>21.617514337476667</x:v>
      </x:c>
      <x:c r="M83" s="58" t="n">
        <x:v>21.654196433443246</x:v>
      </x:c>
      <x:c r="N83" s="58" t="n">
        <x:v>21.704524885997678</x:v>
      </x:c>
      <x:c r="O83" s="58" t="n">
        <x:v>2</x:v>
      </x:c>
      <x:c r="P83" s="58" t="n">
        <x:v>21.67181865268821</x:v>
      </x:c>
      <x:c r="Q83" s="58" t="n">
        <x:v>21.67181865268821</x:v>
      </x:c>
      <x:c r="R83" s="58" t="n">
        <x:v>0.03557481138540908</x:v>
      </x:c>
      <x:c r="S83" s="58" t="n">
        <x:v>1</x:v>
      </x:c>
      <x:c r="T83" s="58" t="n">
        <x:v>0</x:v>
      </x:c>
      <x:c r="U83" s="58" t="n">
        <x:v>0.1005233039319547</x:v>
      </x:c>
      <x:c r="V83" s="58" t="str">
        <x:v>0.7599069305344628</x:v>
      </x:c>
      <x:c r="W83" s="58" t="n">
        <x:v>1</x:v>
      </x:c>
      <x:c r="X83" s="58" t="n">
        <x:v>4.365080473541276</x:v>
      </x:c>
      <x:c r="Y83" s="58" t="n">
        <x:v>4.317896687410709</x:v>
      </x:c>
      <x:c r="Z83" s="58" t="n">
        <x:v>0.28166763083222485</x:v>
      </x:c>
      <x:c r="AA83" s="58" t="n">
        <x:v>0.08889529944185737</x:v>
      </x:c>
      <x:c r="AB83" s="58" t="n">
        <x:f>IF(C83="SQUAT",0,1)</x:f>
        <x:v>0</x:v>
      </x:c>
      <x:c r="AC83" s="58" t="n">
        <x:f>IF(AND(AB83=1,W83=0),1,0)</x:f>
        <x:v>0</x:v>
      </x:c>
      <x:c r="AD83" s="58" t="str">
        <x:f>IF(AC83=1,X83,"")</x:f>
      </x:c>
      <x:c r="AE83" s="58" t="str">
        <x:f>IF(AB83=1,X83,"")</x:f>
      </x:c>
      <x:c r="AF83" s="59" t="str">
        <x:f>IF(AB83=1,IF(X83&lt;=2,1,0),"")</x:f>
      </x:c>
    </x:row>
    <x:row r="84">
      <x:c r="A84" s="60" t="str">
        <x:v>S28_KDH</x:v>
      </x:c>
      <x:c r="B84" s="61" t="str">
        <x:v>S02</x:v>
      </x:c>
      <x:c r="C84" s="61" t="str">
        <x:v>POST_EXERCISE</x:v>
      </x:c>
      <x:c r="D84" s="61" t="str"/>
      <x:c r="E84" s="61" t="n">
        <x:v>552.62</x:v>
      </x:c>
      <x:c r="F84" s="61" t="n">
        <x:v>602.62</x:v>
      </x:c>
      <x:c r="G84" s="61" t="n">
        <x:v>50</x:v>
      </x:c>
      <x:c r="H84" s="61" t="n">
        <x:v>20.33630072190211</x:v>
      </x:c>
      <x:c r="I84" s="61" t="n">
        <x:v>20.631804049316493</x:v>
      </x:c>
      <x:c r="J84" s="61" t="n">
        <x:v>20.349870845272505</x:v>
      </x:c>
      <x:c r="K84" s="61" t="n">
        <x:v>20.380004698254737</x:v>
      </x:c>
      <x:c r="L84" s="61" t="n">
        <x:v>20.58207226285028</x:v>
      </x:c>
      <x:c r="M84" s="61" t="n">
        <x:v>20.38816687795903</x:v>
      </x:c>
      <x:c r="N84" s="61" t="n">
        <x:v>20.547029872841712</x:v>
      </x:c>
      <x:c r="O84" s="61" t="n">
        <x:v>2</x:v>
      </x:c>
      <x:c r="P84" s="61" t="n">
        <x:v>20.349870845272505</x:v>
      </x:c>
      <x:c r="Q84" s="61" t="n">
        <x:v>20.380004698254737</x:v>
      </x:c>
      <x:c r="R84" s="61" t="n">
        <x:v>0.0301338529822317</x:v>
      </x:c>
      <x:c r="S84" s="61" t="n">
        <x:v>1</x:v>
      </x:c>
      <x:c r="T84" s="61" t="n">
        <x:v>0.9193569296428441</x:v>
      </x:c>
      <x:c r="U84" s="61" t="n">
        <x:v>0.04282250746250045</x:v>
      </x:c>
      <x:c r="V84" s="61" t="str">
        <x:v>0.8709238970825498</x:v>
      </x:c>
      <x:c r="W84" s="61" t="n">
        <x:v>0</x:v>
      </x:c>
      <x:c r="X84" s="61" t="n">
        <x:v>0.043703976352627905</x:v>
      </x:c>
      <x:c r="Y84" s="61" t="n">
        <x:v>0.013570123370396203</x:v>
      </x:c>
      <x:c r="Z84" s="61" t="n">
        <x:v>0.93139766402651</x:v>
      </x:c>
      <x:c r="AA84" s="61" t="n">
        <x:v>0.03264701351310109</x:v>
      </x:c>
      <x:c r="AB84" s="61" t="n">
        <x:f>IF(C84="SQUAT",0,1)</x:f>
        <x:v>1</x:v>
      </x:c>
      <x:c r="AC84" s="61" t="n">
        <x:f>IF(AND(AB84=1,W84=0),1,0)</x:f>
        <x:v>1</x:v>
      </x:c>
      <x:c r="AD84" s="61" t="n">
        <x:f>IF(AC84=1,X84,"")</x:f>
        <x:v>0.043703976352627905</x:v>
      </x:c>
      <x:c r="AE84" s="61" t="n">
        <x:f>IF(AB84=1,X84,"")</x:f>
        <x:v>0.043703976352627905</x:v>
      </x:c>
      <x:c r="AF84" s="62" t="n">
        <x:f>IF(AB84=1,IF(X84&lt;=2,1,0),"")</x:f>
        <x:v>1</x:v>
      </x:c>
    </x:row>
  </x:sheetData>
  <x:mergeCells>
    <x:mergeCell ref="A1:AJ1"/>
    <x:mergeCell ref="A2:AJ2"/>
  </x:mergeCells>
  <x:conditionalFormatting sqref="X5:X84">
    <x:cfRule type="cellIs" dxfId="3" priority="1" operator="greaterThan">
      <x:formula>2</x:formula>
    </x:cfRule>
  </x:conditionalFormatting>
  <x:conditionalFormatting sqref="W5:W84">
    <x:cfRule type="cellIs" dxfId="4" priority="2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ae95fc73294a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14" hidden="0" customWidth="1"/>
    <x:col min="5" max="5" width="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8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34" customHeight="1">
      <x:c r="A1" s="3" t="str">
        <x:v>레이더별·거리 경로 관측</x:v>
      </x:c>
    </x:row>
    <x:row r="2" ht="26" customHeight="1">
      <x:c r="A2" s="7" t="str">
        <x:v>각 레이더의 주 경로와 보조 경로 후보, 레이더 자체 품질 및 사후 BIOPAC 오차를 분리해 기록합니다.</x:v>
      </x:c>
    </x:row>
    <x:row r="4" ht="28" customHeight="1">
      <x:c r="A4" s="63" t="str">
        <x:v>subject</x:v>
      </x:c>
      <x:c r="B4" s="64" t="str">
        <x:v>experiment</x:v>
      </x:c>
      <x:c r="C4" s="64" t="str">
        <x:v>state</x:v>
      </x:c>
      <x:c r="D4" s="64" t="str">
        <x:v>nominal_facing_radar</x:v>
      </x:c>
      <x:c r="E4" s="64" t="str">
        <x:v>radar</x:v>
      </x:c>
      <x:c r="F4" s="64" t="str">
        <x:v>start_s</x:v>
      </x:c>
      <x:c r="G4" s="64" t="str">
        <x:v>end_s</x:v>
      </x:c>
      <x:c r="H4" s="64" t="str">
        <x:v>duration_s</x:v>
      </x:c>
      <x:c r="I4" s="64" t="str">
        <x:v>rsp_rr_bpm</x:v>
      </x:c>
      <x:c r="J4" s="64" t="str">
        <x:v>primary_bin</x:v>
      </x:c>
      <x:c r="K4" s="64" t="str">
        <x:v>auxiliary_bin</x:v>
      </x:c>
      <x:c r="L4" s="64" t="str">
        <x:v>auxiliary_corr</x:v>
      </x:c>
      <x:c r="M4" s="64" t="str">
        <x:v>radar_rr_bpm</x:v>
      </x:c>
      <x:c r="N4" s="64" t="str">
        <x:v>primary_rr_bpm</x:v>
      </x:c>
      <x:c r="O4" s="64" t="str">
        <x:v>path_fused_rr_bpm</x:v>
      </x:c>
      <x:c r="P4" s="64" t="str">
        <x:v>primary_rr_abs_error</x:v>
      </x:c>
      <x:c r="Q4" s="64" t="str">
        <x:v>path_fused_rr_abs_error</x:v>
      </x:c>
      <x:c r="R4" s="64" t="str">
        <x:v>rr_abs_error</x:v>
      </x:c>
      <x:c r="S4" s="64" t="str">
        <x:v>quality</x:v>
      </x:c>
      <x:c r="T4" s="64" t="str">
        <x:v>phase_bad</x:v>
      </x:c>
      <x:c r="U4" s="64" t="str">
        <x:v>spectral_entropy</x:v>
      </x:c>
      <x:c r="V4" s="64" t="str">
        <x:v>peak_fraction</x:v>
      </x:c>
      <x:c r="W4" s="64" t="str">
        <x:v>edge_margin_hz</x:v>
      </x:c>
      <x:c r="X4" s="65" t="str">
        <x:v>motion_index</x:v>
      </x:c>
    </x:row>
    <x:row r="5">
      <x:c r="A5" s="57" t="str">
        <x:v>S07_KDM</x:v>
      </x:c>
      <x:c r="B5" s="58" t="str">
        <x:v>S01</x:v>
      </x:c>
      <x:c r="C5" s="58" t="str">
        <x:v>FACE_R1</x:v>
      </x:c>
      <x:c r="D5" s="58" t="n">
        <x:v>1</x:v>
      </x:c>
      <x:c r="E5" s="58" t="n">
        <x:v>1</x:v>
      </x:c>
      <x:c r="F5" s="58" t="n">
        <x:v>30.459</x:v>
      </x:c>
      <x:c r="G5" s="58" t="n">
        <x:v>79.4</x:v>
      </x:c>
      <x:c r="H5" s="58" t="n">
        <x:v>48.941</x:v>
      </x:c>
      <x:c r="I5" s="58" t="n">
        <x:v>11.53736799776929</x:v>
      </x:c>
      <x:c r="J5" s="58" t="str">
        <x:v>67</x:v>
      </x:c>
      <x:c r="K5" s="58" t="str">
        <x:v>78</x:v>
      </x:c>
      <x:c r="L5" s="58" t="n">
        <x:v>-0.769504139601861</x:v>
      </x:c>
      <x:c r="M5" s="58" t="n">
        <x:v>11.655899954332392</x:v>
      </x:c>
      <x:c r="N5" s="58" t="n">
        <x:v>11.674359256413377</x:v>
      </x:c>
      <x:c r="O5" s="58" t="n">
        <x:v>11.655899954332392</x:v>
      </x:c>
      <x:c r="P5" s="58" t="n">
        <x:v>0.13699125864408757</x:v>
      </x:c>
      <x:c r="Q5" s="58" t="n">
        <x:v>0.11853195656310334</x:v>
      </x:c>
      <x:c r="R5" s="58" t="n">
        <x:v>0.11853195656310334</x:v>
      </x:c>
      <x:c r="S5" s="58" t="str">
        <x:v>1.9855762428860007</x:v>
      </x:c>
      <x:c r="T5" s="58" t="str">
        <x:v>0.009197751660705161</x:v>
      </x:c>
      <x:c r="U5" s="58" t="n">
        <x:v>0.7453505581057175</x:v>
      </x:c>
      <x:c r="V5" s="58" t="n">
        <x:v>0.11634903288772733</x:v>
      </x:c>
      <x:c r="W5" s="58" t="n">
        <x:v>0.04457265427355628</x:v>
      </x:c>
      <x:c r="X5" s="59" t="n">
        <x:v>0.030066882285210903</x:v>
      </x:c>
    </x:row>
    <x:row r="6">
      <x:c r="A6" s="57" t="str">
        <x:v>S07_KDM</x:v>
      </x:c>
      <x:c r="B6" s="58" t="str">
        <x:v>S01</x:v>
      </x:c>
      <x:c r="C6" s="58" t="str">
        <x:v>FACE_R1</x:v>
      </x:c>
      <x:c r="D6" s="58" t="n">
        <x:v>1</x:v>
      </x:c>
      <x:c r="E6" s="58" t="n">
        <x:v>2</x:v>
      </x:c>
      <x:c r="F6" s="58" t="n">
        <x:v>30.459</x:v>
      </x:c>
      <x:c r="G6" s="58" t="n">
        <x:v>79.4</x:v>
      </x:c>
      <x:c r="H6" s="58" t="n">
        <x:v>48.941</x:v>
      </x:c>
      <x:c r="I6" s="58" t="n">
        <x:v>11.53736799776929</x:v>
      </x:c>
      <x:c r="J6" s="58" t="str">
        <x:v>19</x:v>
      </x:c>
      <x:c r="K6" s="58" t="str">
        <x:v>75</x:v>
      </x:c>
      <x:c r="L6" s="58" t="n">
        <x:v>0.7943159095996177</x:v>
      </x:c>
      <x:c r="M6" s="58" t="n">
        <x:v>11.535087936992198</x:v>
      </x:c>
      <x:c r="N6" s="58" t="n">
        <x:v>11.62501411051052</x:v>
      </x:c>
      <x:c r="O6" s="58" t="n">
        <x:v>11.535087936992198</x:v>
      </x:c>
      <x:c r="P6" s="58" t="n">
        <x:v>0.08764611274123091</x:v>
      </x:c>
      <x:c r="Q6" s="58" t="n">
        <x:v>0.0022800607770907533</x:v>
      </x:c>
      <x:c r="R6" s="58" t="n">
        <x:v>0.0022800607770907533</x:v>
      </x:c>
      <x:c r="S6" s="58" t="str">
        <x:v>3.0873724832315403</x:v>
      </x:c>
      <x:c r="T6" s="58" t="str">
        <x:v>0.0</x:v>
      </x:c>
      <x:c r="U6" s="58" t="n">
        <x:v>0.6697929563952492</x:v>
      </x:c>
      <x:c r="V6" s="58" t="n">
        <x:v>0.1235617837159726</x:v>
      </x:c>
      <x:c r="W6" s="58" t="n">
        <x:v>0.043750235175175345</x:v>
      </x:c>
      <x:c r="X6" s="59" t="n">
        <x:v>0.030606468573093983</x:v>
      </x:c>
    </x:row>
    <x:row r="7">
      <x:c r="A7" s="57" t="str">
        <x:v>S07_KDM</x:v>
      </x:c>
      <x:c r="B7" s="58" t="str">
        <x:v>S01</x:v>
      </x:c>
      <x:c r="C7" s="58" t="str">
        <x:v>FACE_R1</x:v>
      </x:c>
      <x:c r="D7" s="58" t="n">
        <x:v>1</x:v>
      </x:c>
      <x:c r="E7" s="58" t="n">
        <x:v>3</x:v>
      </x:c>
      <x:c r="F7" s="58" t="n">
        <x:v>30.459</x:v>
      </x:c>
      <x:c r="G7" s="58" t="n">
        <x:v>79.4</x:v>
      </x:c>
      <x:c r="H7" s="58" t="n">
        <x:v>48.941</x:v>
      </x:c>
      <x:c r="I7" s="58" t="n">
        <x:v>11.53736799776929</x:v>
      </x:c>
      <x:c r="J7" s="58" t="str">
        <x:v>12</x:v>
      </x:c>
      <x:c r="K7" s="58" t="str">
        <x:v>78</x:v>
      </x:c>
      <x:c r="L7" s="58" t="n">
        <x:v>0.7376707306127024</x:v>
      </x:c>
      <x:c r="M7" s="58" t="n">
        <x:v>11.554221620628429</x:v>
      </x:c>
      <x:c r="N7" s="58" t="n">
        <x:v>11.64195071242637</x:v>
      </x:c>
      <x:c r="O7" s="58" t="n">
        <x:v>11.554221620628429</x:v>
      </x:c>
      <x:c r="P7" s="58" t="n">
        <x:v>0.1045827146570808</x:v>
      </x:c>
      <x:c r="Q7" s="58" t="n">
        <x:v>0.016853622859139605</x:v>
      </x:c>
      <x:c r="R7" s="58" t="n">
        <x:v>0.016853622859139605</x:v>
      </x:c>
      <x:c r="S7" s="58" t="str">
        <x:v>1.7050823840925915</x:v>
      </x:c>
      <x:c r="T7" s="58" t="str">
        <x:v>0.0</x:v>
      </x:c>
      <x:c r="U7" s="58" t="n">
        <x:v>0.6314752077395901</x:v>
      </x:c>
      <x:c r="V7" s="58" t="n">
        <x:v>0.13485608348699113</x:v>
      </x:c>
      <x:c r="W7" s="58" t="n">
        <x:v>0.04403251187377283</x:v>
      </x:c>
      <x:c r="X7" s="59" t="n">
        <x:v>0.023423433883220462</x:v>
      </x:c>
    </x:row>
    <x:row r="8">
      <x:c r="A8" s="57" t="str">
        <x:v>S07_KDM</x:v>
      </x:c>
      <x:c r="B8" s="58" t="str">
        <x:v>S01</x:v>
      </x:c>
      <x:c r="C8" s="58" t="str">
        <x:v>FACE_R2</x:v>
      </x:c>
      <x:c r="D8" s="58" t="n">
        <x:v>2</x:v>
      </x:c>
      <x:c r="E8" s="58" t="n">
        <x:v>1</x:v>
      </x:c>
      <x:c r="F8" s="58" t="n">
        <x:v>89.4</x:v>
      </x:c>
      <x:c r="G8" s="58" t="n">
        <x:v>141.3</x:v>
      </x:c>
      <x:c r="H8" s="58" t="n">
        <x:v>51.9</x:v>
      </x:c>
      <x:c r="I8" s="58" t="n">
        <x:v>17.2789657455842</x:v>
      </x:c>
      <x:c r="J8" s="58" t="str">
        <x:v>14</x:v>
      </x:c>
      <x:c r="K8" s="58" t="str">
        <x:v>23</x:v>
      </x:c>
      <x:c r="L8" s="58" t="n">
        <x:v>0.9258424762995873</x:v>
      </x:c>
      <x:c r="M8" s="58" t="n">
        <x:v>16.952713572034632</x:v>
      </x:c>
      <x:c r="N8" s="58" t="n">
        <x:v>16.982492146348886</x:v>
      </x:c>
      <x:c r="O8" s="58" t="n">
        <x:v>16.952713572034632</x:v>
      </x:c>
      <x:c r="P8" s="58" t="n">
        <x:v>0.2964735992353127</x:v>
      </x:c>
      <x:c r="Q8" s="58" t="n">
        <x:v>0.32625217354956604</x:v>
      </x:c>
      <x:c r="R8" s="58" t="n">
        <x:v>0.32625217354956604</x:v>
      </x:c>
      <x:c r="S8" s="58" t="str">
        <x:v>2.236861632937049</x:v>
      </x:c>
      <x:c r="T8" s="58" t="str">
        <x:v>0.0</x:v>
      </x:c>
      <x:c r="U8" s="58" t="n">
        <x:v>0.7475319892215301</x:v>
      </x:c>
      <x:c r="V8" s="58" t="n">
        <x:v>0.09926500123337356</x:v>
      </x:c>
      <x:c r="W8" s="58" t="n">
        <x:v>0.13304153577248143</x:v>
      </x:c>
      <x:c r="X8" s="59" t="n">
        <x:v>0.028282656098357093</x:v>
      </x:c>
    </x:row>
    <x:row r="9">
      <x:c r="A9" s="57" t="str">
        <x:v>S07_KDM</x:v>
      </x:c>
      <x:c r="B9" s="58" t="str">
        <x:v>S01</x:v>
      </x:c>
      <x:c r="C9" s="58" t="str">
        <x:v>FACE_R2</x:v>
      </x:c>
      <x:c r="D9" s="58" t="n">
        <x:v>2</x:v>
      </x:c>
      <x:c r="E9" s="58" t="n">
        <x:v>2</x:v>
      </x:c>
      <x:c r="F9" s="58" t="n">
        <x:v>89.4</x:v>
      </x:c>
      <x:c r="G9" s="58" t="n">
        <x:v>141.3</x:v>
      </x:c>
      <x:c r="H9" s="58" t="n">
        <x:v>51.9</x:v>
      </x:c>
      <x:c r="I9" s="58" t="n">
        <x:v>17.2789657455842</x:v>
      </x:c>
      <x:c r="J9" s="58" t="str">
        <x:v>29</x:v>
      </x:c>
      <x:c r="K9" s="58" t="str">
        <x:v>64</x:v>
      </x:c>
      <x:c r="L9" s="58" t="n">
        <x:v>0.7853283747711705</x:v>
      </x:c>
      <x:c r="M9" s="58" t="n">
        <x:v>17.04348355862716</x:v>
      </x:c>
      <x:c r="N9" s="58" t="n">
        <x:v>17.21688947771315</x:v>
      </x:c>
      <x:c r="O9" s="58" t="n">
        <x:v>17.04348355862716</x:v>
      </x:c>
      <x:c r="P9" s="58" t="n">
        <x:v>0.06207626787104914</x:v>
      </x:c>
      <x:c r="Q9" s="58" t="n">
        <x:v>0.23548218695703937</x:v>
      </x:c>
      <x:c r="R9" s="58" t="n">
        <x:v>0.23548218695703937</x:v>
      </x:c>
      <x:c r="S9" s="58" t="str">
        <x:v>1.4496355953735396</x:v>
      </x:c>
      <x:c r="T9" s="58" t="str">
        <x:v>0.005301204819277108</x:v>
      </x:c>
      <x:c r="U9" s="58" t="n">
        <x:v>0.7814026791910942</x:v>
      </x:c>
      <x:c r="V9" s="58" t="n">
        <x:v>0.09386023048194608</x:v>
      </x:c>
      <x:c r="W9" s="58" t="n">
        <x:v>0.13694815796188584</x:v>
      </x:c>
      <x:c r="X9" s="59" t="n">
        <x:v>0.029611613500613445</x:v>
      </x:c>
    </x:row>
    <x:row r="10">
      <x:c r="A10" s="57" t="str">
        <x:v>S07_KDM</x:v>
      </x:c>
      <x:c r="B10" s="58" t="str">
        <x:v>S01</x:v>
      </x:c>
      <x:c r="C10" s="58" t="str">
        <x:v>FACE_R2</x:v>
      </x:c>
      <x:c r="D10" s="58" t="n">
        <x:v>2</x:v>
      </x:c>
      <x:c r="E10" s="58" t="n">
        <x:v>3</x:v>
      </x:c>
      <x:c r="F10" s="58" t="n">
        <x:v>89.4</x:v>
      </x:c>
      <x:c r="G10" s="58" t="n">
        <x:v>141.3</x:v>
      </x:c>
      <x:c r="H10" s="58" t="n">
        <x:v>51.9</x:v>
      </x:c>
      <x:c r="I10" s="58" t="n">
        <x:v>17.2789657455842</x:v>
      </x:c>
      <x:c r="J10" s="58" t="str">
        <x:v>16</x:v>
      </x:c>
      <x:c r="K10" s="58" t="str">
        <x:v>28</x:v>
      </x:c>
      <x:c r="L10" s="58" t="n">
        <x:v>-0.8835914460299344</x:v>
      </x:c>
      <x:c r="M10" s="58" t="n">
        <x:v>16.87143726587806</x:v>
      </x:c>
      <x:c r="N10" s="58" t="n">
        <x:v>16.790587485144968</x:v>
      </x:c>
      <x:c r="O10" s="58" t="n">
        <x:v>16.87143726587806</x:v>
      </x:c>
      <x:c r="P10" s="58" t="n">
        <x:v>0.48837826043923016</x:v>
      </x:c>
      <x:c r="Q10" s="58" t="n">
        <x:v>0.40752847970613715</x:v>
      </x:c>
      <x:c r="R10" s="58" t="n">
        <x:v>0.40752847970613715</x:v>
      </x:c>
      <x:c r="S10" s="58" t="str">
        <x:v>2.0614077325322593</x:v>
      </x:c>
      <x:c r="T10" s="58" t="str">
        <x:v>0.0</x:v>
      </x:c>
      <x:c r="U10" s="58" t="n">
        <x:v>0.743474639013112</x:v>
      </x:c>
      <x:c r="V10" s="58" t="n">
        <x:v>0.09448227493682912</x:v>
      </x:c>
      <x:c r="W10" s="58" t="n">
        <x:v>0.12984312475241613</x:v>
      </x:c>
      <x:c r="X10" s="59" t="n">
        <x:v>0.02646947324867326</x:v>
      </x:c>
    </x:row>
    <x:row r="11">
      <x:c r="A11" s="57" t="str">
        <x:v>S07_KDM</x:v>
      </x:c>
      <x:c r="B11" s="58" t="str">
        <x:v>S01</x:v>
      </x:c>
      <x:c r="C11" s="58" t="str">
        <x:v>FACE_R3</x:v>
      </x:c>
      <x:c r="D11" s="58" t="n">
        <x:v>3</x:v>
      </x:c>
      <x:c r="E11" s="58" t="n">
        <x:v>1</x:v>
      </x:c>
      <x:c r="F11" s="58" t="n">
        <x:v>151.3</x:v>
      </x:c>
      <x:c r="G11" s="58" t="n">
        <x:v>209.345</x:v>
      </x:c>
      <x:c r="H11" s="58" t="n">
        <x:v>58.045</x:v>
      </x:c>
      <x:c r="I11" s="58" t="n">
        <x:v>11.208947016784547</x:v>
      </x:c>
      <x:c r="J11" s="58" t="str">
        <x:v>11</x:v>
      </x:c>
      <x:c r="K11" s="58" t="str">
        <x:v>73</x:v>
      </x:c>
      <x:c r="L11" s="58" t="n">
        <x:v>-0.6526158967735936</x:v>
      </x:c>
      <x:c r="M11" s="58" t="n">
        <x:v>12.306798081088514</x:v>
      </x:c>
      <x:c r="N11" s="58" t="n">
        <x:v>11.553487611017237</x:v>
      </x:c>
      <x:c r="O11" s="58" t="n">
        <x:v>12.306798081088514</x:v>
      </x:c>
      <x:c r="P11" s="58" t="n">
        <x:v>0.34454059423269</x:v>
      </x:c>
      <x:c r="Q11" s="58" t="n">
        <x:v>1.097851064303967</x:v>
      </x:c>
      <x:c r="R11" s="58" t="n">
        <x:v>1.097851064303967</x:v>
      </x:c>
      <x:c r="S11" s="58" t="str">
        <x:v>0.9957296497926186</x:v>
      </x:c>
      <x:c r="T11" s="58" t="str">
        <x:v>0.0008616975441619991</x:v>
      </x:c>
      <x:c r="U11" s="58" t="n">
        <x:v>0.7069875592570277</x:v>
      </x:c>
      <x:c r="V11" s="58" t="n">
        <x:v>0.09233614870354691</x:v>
      </x:c>
      <x:c r="W11" s="58" t="n">
        <x:v>0.04255812685028729</x:v>
      </x:c>
      <x:c r="X11" s="59" t="n">
        <x:v>0.026325600542893846</x:v>
      </x:c>
    </x:row>
    <x:row r="12">
      <x:c r="A12" s="57" t="str">
        <x:v>S07_KDM</x:v>
      </x:c>
      <x:c r="B12" s="58" t="str">
        <x:v>S01</x:v>
      </x:c>
      <x:c r="C12" s="58" t="str">
        <x:v>FACE_R3</x:v>
      </x:c>
      <x:c r="D12" s="58" t="n">
        <x:v>3</x:v>
      </x:c>
      <x:c r="E12" s="58" t="n">
        <x:v>2</x:v>
      </x:c>
      <x:c r="F12" s="58" t="n">
        <x:v>151.3</x:v>
      </x:c>
      <x:c r="G12" s="58" t="n">
        <x:v>209.345</x:v>
      </x:c>
      <x:c r="H12" s="58" t="n">
        <x:v>58.045</x:v>
      </x:c>
      <x:c r="I12" s="58" t="n">
        <x:v>11.208947016784547</x:v>
      </x:c>
      <x:c r="J12" s="58" t="str">
        <x:v>68</x:v>
      </x:c>
      <x:c r="K12" s="58" t="str">
        <x:v>32</x:v>
      </x:c>
      <x:c r="L12" s="58" t="n">
        <x:v>0.7554653906415632</x:v>
      </x:c>
      <x:c r="M12" s="58" t="n">
        <x:v>11.120985395823903</x:v>
      </x:c>
      <x:c r="N12" s="58" t="n">
        <x:v>11.267907920758558</x:v>
      </x:c>
      <x:c r="O12" s="58" t="n">
        <x:v>11.120985395823903</x:v>
      </x:c>
      <x:c r="P12" s="58" t="n">
        <x:v>0.0589609039740111</x:v>
      </x:c>
      <x:c r="Q12" s="58" t="n">
        <x:v>0.08796162096064464</x:v>
      </x:c>
      <x:c r="R12" s="58" t="n">
        <x:v>0.08796162096064464</x:v>
      </x:c>
      <x:c r="S12" s="58" t="str">
        <x:v>2.2794500041479178</x:v>
      </x:c>
      <x:c r="T12" s="58" t="str">
        <x:v>0.005601034037052995</x:v>
      </x:c>
      <x:c r="U12" s="58" t="n">
        <x:v>0.6751427990186297</x:v>
      </x:c>
      <x:c r="V12" s="58" t="n">
        <x:v>0.11336196889987363</x:v>
      </x:c>
      <x:c r="W12" s="58" t="n">
        <x:v>0.03779846534597597</x:v>
      </x:c>
      <x:c r="X12" s="59" t="n">
        <x:v>0.031198889952222655</x:v>
      </x:c>
    </x:row>
    <x:row r="13">
      <x:c r="A13" s="57" t="str">
        <x:v>S07_KDM</x:v>
      </x:c>
      <x:c r="B13" s="58" t="str">
        <x:v>S01</x:v>
      </x:c>
      <x:c r="C13" s="58" t="str">
        <x:v>FACE_R3</x:v>
      </x:c>
      <x:c r="D13" s="58" t="n">
        <x:v>3</x:v>
      </x:c>
      <x:c r="E13" s="58" t="n">
        <x:v>3</x:v>
      </x:c>
      <x:c r="F13" s="58" t="n">
        <x:v>151.3</x:v>
      </x:c>
      <x:c r="G13" s="58" t="n">
        <x:v>209.345</x:v>
      </x:c>
      <x:c r="H13" s="58" t="n">
        <x:v>58.045</x:v>
      </x:c>
      <x:c r="I13" s="58" t="n">
        <x:v>11.208947016784547</x:v>
      </x:c>
      <x:c r="J13" s="58" t="str">
        <x:v>32</x:v>
      </x:c>
      <x:c r="K13" s="58" t="str">
        <x:v>77</x:v>
      </x:c>
      <x:c r="L13" s="58" t="n">
        <x:v>0.7908922336433424</x:v>
      </x:c>
      <x:c r="M13" s="58" t="n">
        <x:v>11.051200733637108</x:v>
      </x:c>
      <x:c r="N13" s="58" t="n">
        <x:v>10.88161298185075</x:v>
      </x:c>
      <x:c r="O13" s="58" t="n">
        <x:v>11.051200733637108</x:v>
      </x:c>
      <x:c r="P13" s="58" t="n">
        <x:v>0.32733403493379676</x:v>
      </x:c>
      <x:c r="Q13" s="58" t="n">
        <x:v>0.15774628314743921</x:v>
      </x:c>
      <x:c r="R13" s="58" t="n">
        <x:v>0.15774628314743921</x:v>
      </x:c>
      <x:c r="S13" s="58" t="str">
        <x:v>1.4928548972077023</x:v>
      </x:c>
      <x:c r="T13" s="58" t="str">
        <x:v>0.004308487720809996</x:v>
      </x:c>
      <x:c r="U13" s="58" t="n">
        <x:v>0.7838541243693458</x:v>
      </x:c>
      <x:c r="V13" s="58" t="n">
        <x:v>0.09369381310480017</x:v>
      </x:c>
      <x:c r="W13" s="58" t="n">
        <x:v>0.03136021636417918</x:v>
      </x:c>
      <x:c r="X13" s="59" t="n">
        <x:v>0.028120923656700103</x:v>
      </x:c>
    </x:row>
    <x:row r="14">
      <x:c r="A14" s="57" t="str">
        <x:v>S07_KDM</x:v>
      </x:c>
      <x:c r="B14" s="58" t="str">
        <x:v>S02</x:v>
      </x:c>
      <x:c r="C14" s="58" t="str">
        <x:v>NORMAL</x:v>
      </x:c>
      <x:c r="D14" s="58" t="str"/>
      <x:c r="E14" s="58" t="n">
        <x:v>1</x:v>
      </x:c>
      <x:c r="F14" s="58" t="n">
        <x:v>286.189</x:v>
      </x:c>
      <x:c r="G14" s="58" t="n">
        <x:v>336.189</x:v>
      </x:c>
      <x:c r="H14" s="58" t="n">
        <x:v>50</x:v>
      </x:c>
      <x:c r="I14" s="58" t="n">
        <x:v>15.587172268442544</x:v>
      </x:c>
      <x:c r="J14" s="58" t="str">
        <x:v>73</x:v>
      </x:c>
      <x:c r="K14" s="58" t="str">
        <x:v>15</x:v>
      </x:c>
      <x:c r="L14" s="58" t="n">
        <x:v>-0.7786877780415642</x:v>
      </x:c>
      <x:c r="M14" s="58" t="n">
        <x:v>16.20164724158091</x:v>
      </x:c>
      <x:c r="N14" s="58" t="n">
        <x:v>16.272526510586474</x:v>
      </x:c>
      <x:c r="O14" s="58" t="n">
        <x:v>16.20164724158091</x:v>
      </x:c>
      <x:c r="P14" s="58" t="n">
        <x:v>0.68535424214393</x:v>
      </x:c>
      <x:c r="Q14" s="58" t="n">
        <x:v>0.6144749731383676</x:v>
      </x:c>
      <x:c r="R14" s="58" t="n">
        <x:v>0.6144749731383676</x:v>
      </x:c>
      <x:c r="S14" s="58" t="str">
        <x:v>1.0320401453410792</x:v>
      </x:c>
      <x:c r="T14" s="58" t="str">
        <x:v>0.0</x:v>
      </x:c>
      <x:c r="U14" s="58" t="n">
        <x:v>0.781945599663202</x:v>
      </x:c>
      <x:c r="V14" s="58" t="n">
        <x:v>0.07784739795011472</x:v>
      </x:c>
      <x:c r="W14" s="58" t="n">
        <x:v>0.12120877517644121</x:v>
      </x:c>
      <x:c r="X14" s="59" t="n">
        <x:v>0.031215165356372532</x:v>
      </x:c>
    </x:row>
    <x:row r="15">
      <x:c r="A15" s="57" t="str">
        <x:v>S07_KDM</x:v>
      </x:c>
      <x:c r="B15" s="58" t="str">
        <x:v>S02</x:v>
      </x:c>
      <x:c r="C15" s="58" t="str">
        <x:v>NORMAL</x:v>
      </x:c>
      <x:c r="D15" s="58" t="str"/>
      <x:c r="E15" s="58" t="n">
        <x:v>2</x:v>
      </x:c>
      <x:c r="F15" s="58" t="n">
        <x:v>286.189</x:v>
      </x:c>
      <x:c r="G15" s="58" t="n">
        <x:v>336.189</x:v>
      </x:c>
      <x:c r="H15" s="58" t="n">
        <x:v>50</x:v>
      </x:c>
      <x:c r="I15" s="58" t="n">
        <x:v>15.587172268442544</x:v>
      </x:c>
      <x:c r="J15" s="58" t="str">
        <x:v>65</x:v>
      </x:c>
      <x:c r="K15" s="58" t="str">
        <x:v>79</x:v>
      </x:c>
      <x:c r="L15" s="58" t="n">
        <x:v>-0.7569893078257102</x:v>
      </x:c>
      <x:c r="M15" s="58" t="n">
        <x:v>14.084959786786701</x:v>
      </x:c>
      <x:c r="N15" s="58" t="n">
        <x:v>14.146642825514505</x:v>
      </x:c>
      <x:c r="O15" s="58" t="n">
        <x:v>14.084959786786701</x:v>
      </x:c>
      <x:c r="P15" s="58" t="n">
        <x:v>1.4405294429280389</x:v>
      </x:c>
      <x:c r="Q15" s="58" t="n">
        <x:v>1.5022124816558424</x:v>
      </x:c>
      <x:c r="R15" s="58" t="n">
        <x:v>1.5022124816558424</x:v>
      </x:c>
      <x:c r="S15" s="58" t="str">
        <x:v>1.0032357818974775</x:v>
      </x:c>
      <x:c r="T15" s="58" t="str">
        <x:v>0.0015</x:v>
      </x:c>
      <x:c r="U15" s="58" t="n">
        <x:v>0.8402279422462151</x:v>
      </x:c>
      <x:c r="V15" s="58" t="n">
        <x:v>0.0606353743810572</x:v>
      </x:c>
      <x:c r="W15" s="58" t="n">
        <x:v>0.08577738042524174</x:v>
      </x:c>
      <x:c r="X15" s="59" t="n">
        <x:v>0.030431162667533193</x:v>
      </x:c>
    </x:row>
    <x:row r="16">
      <x:c r="A16" s="57" t="str">
        <x:v>S07_KDM</x:v>
      </x:c>
      <x:c r="B16" s="58" t="str">
        <x:v>S02</x:v>
      </x:c>
      <x:c r="C16" s="58" t="str">
        <x:v>NORMAL</x:v>
      </x:c>
      <x:c r="D16" s="58" t="str"/>
      <x:c r="E16" s="58" t="n">
        <x:v>3</x:v>
      </x:c>
      <x:c r="F16" s="58" t="n">
        <x:v>286.189</x:v>
      </x:c>
      <x:c r="G16" s="58" t="n">
        <x:v>336.189</x:v>
      </x:c>
      <x:c r="H16" s="58" t="n">
        <x:v>50</x:v>
      </x:c>
      <x:c r="I16" s="58" t="n">
        <x:v>15.587172268442544</x:v>
      </x:c>
      <x:c r="J16" s="58" t="str">
        <x:v>61</x:v>
      </x:c>
      <x:c r="K16" s="58" t="str">
        <x:v>14</x:v>
      </x:c>
      <x:c r="L16" s="58" t="n">
        <x:v>0.7672220402940977</x:v>
      </x:c>
      <x:c r="M16" s="58" t="n">
        <x:v>16.27212675831719</x:v>
      </x:c>
      <x:c r="N16" s="58" t="n">
        <x:v>16.28030935764356</x:v>
      </x:c>
      <x:c r="O16" s="58" t="n">
        <x:v>16.27212675831719</x:v>
      </x:c>
      <x:c r="P16" s="58" t="n">
        <x:v>0.6931370892010165</x:v>
      </x:c>
      <x:c r="Q16" s="58" t="n">
        <x:v>0.6849544898746451</x:v>
      </x:c>
      <x:c r="R16" s="58" t="n">
        <x:v>0.6849544898746451</x:v>
      </x:c>
      <x:c r="S16" s="58" t="str">
        <x:v>1.4036933266027742</x:v>
      </x:c>
      <x:c r="T16" s="58" t="str">
        <x:v>0.0</x:v>
      </x:c>
      <x:c r="U16" s="58" t="n">
        <x:v>0.7350528616187607</x:v>
      </x:c>
      <x:c r="V16" s="58" t="n">
        <x:v>0.09806968147579266</x:v>
      </x:c>
      <x:c r="W16" s="58" t="n">
        <x:v>0.12133848929405935</x:v>
      </x:c>
      <x:c r="X16" s="59" t="n">
        <x:v>0.028548587396317857</x:v>
      </x:c>
    </x:row>
    <x:row r="17">
      <x:c r="A17" s="57" t="str">
        <x:v>S07_KDM</x:v>
      </x:c>
      <x:c r="B17" s="58" t="str">
        <x:v>S02</x:v>
      </x:c>
      <x:c r="C17" s="58" t="str">
        <x:v>SLOW</x:v>
      </x:c>
      <x:c r="D17" s="58" t="str"/>
      <x:c r="E17" s="58" t="n">
        <x:v>1</x:v>
      </x:c>
      <x:c r="F17" s="58" t="n">
        <x:v>346.189</x:v>
      </x:c>
      <x:c r="G17" s="58" t="n">
        <x:v>396.189</x:v>
      </x:c>
      <x:c r="H17" s="58" t="n">
        <x:v>50</x:v>
      </x:c>
      <x:c r="I17" s="58" t="n">
        <x:v>6.021333441228996</x:v>
      </x:c>
      <x:c r="J17" s="58" t="str">
        <x:v>12</x:v>
      </x:c>
      <x:c r="K17" s="58" t="str">
        <x:v>24</x:v>
      </x:c>
      <x:c r="L17" s="58" t="n">
        <x:v>0.804370580252036</x:v>
      </x:c>
      <x:c r="M17" s="58" t="n">
        <x:v>5.920019549095332</x:v>
      </x:c>
      <x:c r="N17" s="58" t="n">
        <x:v>5.864690632534197</x:v>
      </x:c>
      <x:c r="O17" s="58" t="n">
        <x:v>5.920019549095332</x:v>
      </x:c>
      <x:c r="P17" s="58" t="n">
        <x:v>0.15664280869479885</x:v>
      </x:c>
      <x:c r="Q17" s="58" t="n">
        <x:v>0.10131389213366404</x:v>
      </x:c>
      <x:c r="R17" s="58" t="n">
        <x:v>0.10131389213366404</x:v>
      </x:c>
      <x:c r="S17" s="58" t="str">
        <x:v>4.7019022368096595</x:v>
      </x:c>
      <x:c r="T17" s="58" t="str">
        <x:v>0.009</x:v>
      </x:c>
      <x:c r="U17" s="58" t="n">
        <x:v>0.6301654544521941</x:v>
      </x:c>
      <x:c r="V17" s="58" t="n">
        <x:v>0.13293545453000183</x:v>
      </x:c>
      <x:c r="W17" s="58" t="n">
        <x:v>0.02774484387556994</x:v>
      </x:c>
      <x:c r="X17" s="59" t="n">
        <x:v>0.031648521387829864</x:v>
      </x:c>
    </x:row>
    <x:row r="18">
      <x:c r="A18" s="57" t="str">
        <x:v>S07_KDM</x:v>
      </x:c>
      <x:c r="B18" s="58" t="str">
        <x:v>S02</x:v>
      </x:c>
      <x:c r="C18" s="58" t="str">
        <x:v>SLOW</x:v>
      </x:c>
      <x:c r="D18" s="58" t="str"/>
      <x:c r="E18" s="58" t="n">
        <x:v>2</x:v>
      </x:c>
      <x:c r="F18" s="58" t="n">
        <x:v>346.189</x:v>
      </x:c>
      <x:c r="G18" s="58" t="n">
        <x:v>396.189</x:v>
      </x:c>
      <x:c r="H18" s="58" t="n">
        <x:v>50</x:v>
      </x:c>
      <x:c r="I18" s="58" t="n">
        <x:v>6.021333441228996</x:v>
      </x:c>
      <x:c r="J18" s="58" t="str">
        <x:v>20</x:v>
      </x:c>
      <x:c r="K18" s="58" t="str">
        <x:v>29</x:v>
      </x:c>
      <x:c r="L18" s="58" t="n">
        <x:v>0.7711633156590655</x:v>
      </x:c>
      <x:c r="M18" s="58" t="n">
        <x:v>5.931401741550137</x:v>
      </x:c>
      <x:c r="N18" s="58" t="n">
        <x:v>5.893206706718745</x:v>
      </x:c>
      <x:c r="O18" s="58" t="n">
        <x:v>5.931401741550137</x:v>
      </x:c>
      <x:c r="P18" s="58" t="n">
        <x:v>0.1281267345102508</x:v>
      </x:c>
      <x:c r="Q18" s="58" t="n">
        <x:v>0.08993169967885883</x:v>
      </x:c>
      <x:c r="R18" s="58" t="n">
        <x:v>0.08993169967885883</x:v>
      </x:c>
      <x:c r="S18" s="58" t="str">
        <x:v>3.711982828818849</x:v>
      </x:c>
      <x:c r="T18" s="58" t="str">
        <x:v>0.0025</x:v>
      </x:c>
      <x:c r="U18" s="58" t="n">
        <x:v>0.6894052666149489</x:v>
      </x:c>
      <x:c r="V18" s="58" t="n">
        <x:v>0.1306079949375747</x:v>
      </x:c>
      <x:c r="W18" s="58" t="n">
        <x:v>0.02822011177864575</x:v>
      </x:c>
      <x:c r="X18" s="59" t="n">
        <x:v>0.02900698139730233</x:v>
      </x:c>
    </x:row>
    <x:row r="19">
      <x:c r="A19" s="57" t="str">
        <x:v>S07_KDM</x:v>
      </x:c>
      <x:c r="B19" s="58" t="str">
        <x:v>S02</x:v>
      </x:c>
      <x:c r="C19" s="58" t="str">
        <x:v>SLOW</x:v>
      </x:c>
      <x:c r="D19" s="58" t="str"/>
      <x:c r="E19" s="58" t="n">
        <x:v>3</x:v>
      </x:c>
      <x:c r="F19" s="58" t="n">
        <x:v>346.189</x:v>
      </x:c>
      <x:c r="G19" s="58" t="n">
        <x:v>396.189</x:v>
      </x:c>
      <x:c r="H19" s="58" t="n">
        <x:v>50</x:v>
      </x:c>
      <x:c r="I19" s="58" t="n">
        <x:v>6.021333441228996</x:v>
      </x:c>
      <x:c r="J19" s="58" t="str">
        <x:v>14</x:v>
      </x:c>
      <x:c r="K19" s="58" t="str">
        <x:v>32</x:v>
      </x:c>
      <x:c r="L19" s="58" t="n">
        <x:v>-0.8147430376316661</x:v>
      </x:c>
      <x:c r="M19" s="58" t="n">
        <x:v>5.97975524890865</x:v>
      </x:c>
      <x:c r="N19" s="58" t="n">
        <x:v>5.94770767995918</x:v>
      </x:c>
      <x:c r="O19" s="58" t="n">
        <x:v>5.97975524890865</x:v>
      </x:c>
      <x:c r="P19" s="58" t="n">
        <x:v>0.0736257612698159</x:v>
      </x:c>
      <x:c r="Q19" s="58" t="n">
        <x:v>0.041578192320345764</x:v>
      </x:c>
      <x:c r="R19" s="58" t="n">
        <x:v>0.041578192320345764</x:v>
      </x:c>
      <x:c r="S19" s="58" t="str">
        <x:v>5.035364202920661</x:v>
      </x:c>
      <x:c r="T19" s="58" t="str">
        <x:v>0.002</x:v>
      </x:c>
      <x:c r="U19" s="58" t="n">
        <x:v>0.6461630499807371</x:v>
      </x:c>
      <x:c r="V19" s="58" t="n">
        <x:v>0.14053069568658869</x:v>
      </x:c>
      <x:c r="W19" s="58" t="n">
        <x:v>0.029128461332652997</x:v>
      </x:c>
      <x:c r="X19" s="59" t="n">
        <x:v>0.02778982233517993</x:v>
      </x:c>
    </x:row>
    <x:row r="20">
      <x:c r="A20" s="57" t="str">
        <x:v>S07_KDM</x:v>
      </x:c>
      <x:c r="B20" s="58" t="str">
        <x:v>S02</x:v>
      </x:c>
      <x:c r="C20" s="58" t="str">
        <x:v>POST_HOLD</x:v>
      </x:c>
      <x:c r="D20" s="58" t="str"/>
      <x:c r="E20" s="58" t="n">
        <x:v>1</x:v>
      </x:c>
      <x:c r="F20" s="58" t="n">
        <x:v>436.189</x:v>
      </x:c>
      <x:c r="G20" s="58" t="n">
        <x:v>486.189</x:v>
      </x:c>
      <x:c r="H20" s="58" t="n">
        <x:v>50</x:v>
      </x:c>
      <x:c r="I20" s="58" t="n">
        <x:v>11.412533409133653</x:v>
      </x:c>
      <x:c r="J20" s="58" t="str">
        <x:v>13</x:v>
      </x:c>
      <x:c r="K20" s="58" t="str">
        <x:v>71</x:v>
      </x:c>
      <x:c r="L20" s="58" t="n">
        <x:v>-0.7199350656746778</x:v>
      </x:c>
      <x:c r="M20" s="58" t="n">
        <x:v>11.500329015469138</x:v>
      </x:c>
      <x:c r="N20" s="58" t="n">
        <x:v>11.313120685257328</x:v>
      </x:c>
      <x:c r="O20" s="58" t="n">
        <x:v>11.500329015469138</x:v>
      </x:c>
      <x:c r="P20" s="58" t="n">
        <x:v>0.09941272387632516</x:v>
      </x:c>
      <x:c r="Q20" s="58" t="n">
        <x:v>0.08779560633548478</x:v>
      </x:c>
      <x:c r="R20" s="58" t="n">
        <x:v>0.08779560633548478</x:v>
      </x:c>
      <x:c r="S20" s="58" t="str">
        <x:v>3.849803704571583</x:v>
      </x:c>
      <x:c r="T20" s="58" t="str">
        <x:v>0.0005</x:v>
      </x:c>
      <x:c r="U20" s="58" t="n">
        <x:v>0.6640573131648672</x:v>
      </x:c>
      <x:c r="V20" s="58" t="n">
        <x:v>0.11378183007755986</x:v>
      </x:c>
      <x:c r="W20" s="58" t="n">
        <x:v>0.03855201142095546</x:v>
      </x:c>
      <x:c r="X20" s="59" t="n">
        <x:v>0.029144227896720297</x:v>
      </x:c>
    </x:row>
    <x:row r="21">
      <x:c r="A21" s="57" t="str">
        <x:v>S07_KDM</x:v>
      </x:c>
      <x:c r="B21" s="58" t="str">
        <x:v>S02</x:v>
      </x:c>
      <x:c r="C21" s="58" t="str">
        <x:v>POST_HOLD</x:v>
      </x:c>
      <x:c r="D21" s="58" t="str"/>
      <x:c r="E21" s="58" t="n">
        <x:v>2</x:v>
      </x:c>
      <x:c r="F21" s="58" t="n">
        <x:v>436.189</x:v>
      </x:c>
      <x:c r="G21" s="58" t="n">
        <x:v>486.189</x:v>
      </x:c>
      <x:c r="H21" s="58" t="n">
        <x:v>50</x:v>
      </x:c>
      <x:c r="I21" s="58" t="n">
        <x:v>11.412533409133653</x:v>
      </x:c>
      <x:c r="J21" s="58" t="str">
        <x:v>21</x:v>
      </x:c>
      <x:c r="K21" s="58" t="str">
        <x:v>62</x:v>
      </x:c>
      <x:c r="L21" s="58" t="n">
        <x:v>0.6989802606598663</x:v>
      </x:c>
      <x:c r="M21" s="58" t="n">
        <x:v>11.726805311663302</x:v>
      </x:c>
      <x:c r="N21" s="58" t="n">
        <x:v>11.889989374123914</x:v>
      </x:c>
      <x:c r="O21" s="58" t="n">
        <x:v>11.726805311663302</x:v>
      </x:c>
      <x:c r="P21" s="58" t="n">
        <x:v>0.477455964990261</x:v>
      </x:c>
      <x:c r="Q21" s="58" t="n">
        <x:v>0.314271902529649</x:v>
      </x:c>
      <x:c r="R21" s="58" t="n">
        <x:v>0.314271902529649</x:v>
      </x:c>
      <x:c r="S21" s="58" t="str">
        <x:v>1.1527258955839887</x:v>
      </x:c>
      <x:c r="T21" s="58" t="str">
        <x:v>0.001</x:v>
      </x:c>
      <x:c r="U21" s="58" t="n">
        <x:v>0.8115394387765774</x:v>
      </x:c>
      <x:c r="V21" s="58" t="n">
        <x:v>0.08172441067842363</x:v>
      </x:c>
      <x:c r="W21" s="58" t="n">
        <x:v>0.0481664895687319</x:v>
      </x:c>
      <x:c r="X21" s="59" t="n">
        <x:v>0.032211251813532606</x:v>
      </x:c>
    </x:row>
    <x:row r="22">
      <x:c r="A22" s="57" t="str">
        <x:v>S07_KDM</x:v>
      </x:c>
      <x:c r="B22" s="58" t="str">
        <x:v>S02</x:v>
      </x:c>
      <x:c r="C22" s="58" t="str">
        <x:v>POST_HOLD</x:v>
      </x:c>
      <x:c r="D22" s="58" t="str"/>
      <x:c r="E22" s="58" t="n">
        <x:v>3</x:v>
      </x:c>
      <x:c r="F22" s="58" t="n">
        <x:v>436.189</x:v>
      </x:c>
      <x:c r="G22" s="58" t="n">
        <x:v>486.189</x:v>
      </x:c>
      <x:c r="H22" s="58" t="n">
        <x:v>50</x:v>
      </x:c>
      <x:c r="I22" s="58" t="n">
        <x:v>11.412533409133653</x:v>
      </x:c>
      <x:c r="J22" s="58" t="str">
        <x:v>58</x:v>
      </x:c>
      <x:c r="K22" s="58" t="str">
        <x:v>16</x:v>
      </x:c>
      <x:c r="L22" s="58" t="n">
        <x:v>0.7942158671186544</x:v>
      </x:c>
      <x:c r="M22" s="58" t="n">
        <x:v>11.282328587183725</x:v>
      </x:c>
      <x:c r="N22" s="58" t="n">
        <x:v>11.277712532957052</x:v>
      </x:c>
      <x:c r="O22" s="58" t="n">
        <x:v>11.282328587183725</x:v>
      </x:c>
      <x:c r="P22" s="58" t="n">
        <x:v>0.134820876176601</x:v>
      </x:c>
      <x:c r="Q22" s="58" t="n">
        <x:v>0.13020482194992766</x:v>
      </x:c>
      <x:c r="R22" s="58" t="n">
        <x:v>0.13020482194992766</x:v>
      </x:c>
      <x:c r="S22" s="58" t="str">
        <x:v>4.0988262426443836</x:v>
      </x:c>
      <x:c r="T22" s="58" t="str">
        <x:v>0.0</x:v>
      </x:c>
      <x:c r="U22" s="58" t="n">
        <x:v>0.6560656428022638</x:v>
      </x:c>
      <x:c r="V22" s="58" t="n">
        <x:v>0.12076415719970542</x:v>
      </x:c>
      <x:c r="W22" s="58" t="n">
        <x:v>0.03796187554928421</x:v>
      </x:c>
      <x:c r="X22" s="59" t="n">
        <x:v>0.030958891053784375</x:v>
      </x:c>
    </x:row>
    <x:row r="23">
      <x:c r="A23" s="57" t="str">
        <x:v>S07_KDM</x:v>
      </x:c>
      <x:c r="B23" s="58" t="str">
        <x:v>S02</x:v>
      </x:c>
      <x:c r="C23" s="58" t="str">
        <x:v>SQUAT</x:v>
      </x:c>
      <x:c r="D23" s="58" t="str"/>
      <x:c r="E23" s="58" t="n">
        <x:v>1</x:v>
      </x:c>
      <x:c r="F23" s="58" t="n">
        <x:v>511.189</x:v>
      </x:c>
      <x:c r="G23" s="58" t="n">
        <x:v>561.189</x:v>
      </x:c>
      <x:c r="H23" s="58" t="n">
        <x:v>50</x:v>
      </x:c>
      <x:c r="I23" s="58" t="n">
        <x:v>22.07979489439359</x:v>
      </x:c>
      <x:c r="J23" s="58" t="str">
        <x:v>81</x:v>
      </x:c>
      <x:c r="K23" s="58" t="str">
        <x:v>22</x:v>
      </x:c>
      <x:c r="L23" s="58" t="n">
        <x:v>0.4397018538973939</x:v>
      </x:c>
      <x:c r="M23" s="58" t="n">
        <x:v>14.36664769792073</x:v>
      </x:c>
      <x:c r="N23" s="58" t="n">
        <x:v>14.462492169350522</x:v>
      </x:c>
      <x:c r="O23" s="58" t="n">
        <x:v>14.36664769792073</x:v>
      </x:c>
      <x:c r="P23" s="58" t="n">
        <x:v>7.617302725043068</x:v>
      </x:c>
      <x:c r="Q23" s="58" t="n">
        <x:v>7.71314719647286</x:v>
      </x:c>
      <x:c r="R23" s="58" t="n">
        <x:v>7.71314719647286</x:v>
      </x:c>
      <x:c r="S23" s="58" t="str">
        <x:v>1.0626669878482184</x:v>
      </x:c>
      <x:c r="T23" s="58" t="str">
        <x:v>0.05</x:v>
      </x:c>
      <x:c r="U23" s="58" t="n">
        <x:v>0.8492914492162044</x:v>
      </x:c>
      <x:c r="V23" s="58" t="n">
        <x:v>0.07203377489362371</x:v>
      </x:c>
      <x:c r="W23" s="58" t="n">
        <x:v>0.09104153615584204</x:v>
      </x:c>
      <x:c r="X23" s="59" t="n">
        <x:v>0.07334692653276789</x:v>
      </x:c>
    </x:row>
    <x:row r="24">
      <x:c r="A24" s="57" t="str">
        <x:v>S07_KDM</x:v>
      </x:c>
      <x:c r="B24" s="58" t="str">
        <x:v>S02</x:v>
      </x:c>
      <x:c r="C24" s="58" t="str">
        <x:v>SQUAT</x:v>
      </x:c>
      <x:c r="D24" s="58" t="str"/>
      <x:c r="E24" s="58" t="n">
        <x:v>2</x:v>
      </x:c>
      <x:c r="F24" s="58" t="n">
        <x:v>511.189</x:v>
      </x:c>
      <x:c r="G24" s="58" t="n">
        <x:v>561.189</x:v>
      </x:c>
      <x:c r="H24" s="58" t="n">
        <x:v>50</x:v>
      </x:c>
      <x:c r="I24" s="58" t="n">
        <x:v>22.07979489439359</x:v>
      </x:c>
      <x:c r="J24" s="58" t="str">
        <x:v>42</x:v>
      </x:c>
      <x:c r="K24" s="58" t="str">
        <x:v>18</x:v>
      </x:c>
      <x:c r="L24" s="58" t="n">
        <x:v>-0.5761425514440798</x:v>
      </x:c>
      <x:c r="M24" s="58" t="n">
        <x:v>10.976912000447363</x:v>
      </x:c>
      <x:c r="N24" s="58" t="n">
        <x:v>10.954205421014509</x:v>
      </x:c>
      <x:c r="O24" s="58" t="n">
        <x:v>10.976912000447363</x:v>
      </x:c>
      <x:c r="P24" s="58" t="n">
        <x:v>11.125589473379081</x:v>
      </x:c>
      <x:c r="Q24" s="58" t="n">
        <x:v>11.102882893946227</x:v>
      </x:c>
      <x:c r="R24" s="58" t="n">
        <x:v>11.102882893946227</x:v>
      </x:c>
      <x:c r="S24" s="58" t="str">
        <x:v>0.7741008246792034</x:v>
      </x:c>
      <x:c r="T24" s="58" t="str">
        <x:v>0.0125</x:v>
      </x:c>
      <x:c r="U24" s="58" t="n">
        <x:v>0.8170062226975131</x:v>
      </x:c>
      <x:c r="V24" s="58" t="n">
        <x:v>0.06299785945188793</x:v>
      </x:c>
      <x:c r="W24" s="58" t="n">
        <x:v>0.032570090350241804</x:v>
      </x:c>
      <x:c r="X24" s="59" t="n">
        <x:v>0.07957975883356075</x:v>
      </x:c>
    </x:row>
    <x:row r="25">
      <x:c r="A25" s="57" t="str">
        <x:v>S07_KDM</x:v>
      </x:c>
      <x:c r="B25" s="58" t="str">
        <x:v>S02</x:v>
      </x:c>
      <x:c r="C25" s="58" t="str">
        <x:v>SQUAT</x:v>
      </x:c>
      <x:c r="D25" s="58" t="str"/>
      <x:c r="E25" s="58" t="n">
        <x:v>3</x:v>
      </x:c>
      <x:c r="F25" s="58" t="n">
        <x:v>511.189</x:v>
      </x:c>
      <x:c r="G25" s="58" t="n">
        <x:v>561.189</x:v>
      </x:c>
      <x:c r="H25" s="58" t="n">
        <x:v>50</x:v>
      </x:c>
      <x:c r="I25" s="58" t="n">
        <x:v>22.07979489439359</x:v>
      </x:c>
      <x:c r="J25" s="58" t="str">
        <x:v>31</x:v>
      </x:c>
      <x:c r="K25" s="58" t="str"/>
      <x:c r="L25" s="58" t="str"/>
      <x:c r="M25" s="58" t="n">
        <x:v>11.712819884681887</x:v>
      </x:c>
      <x:c r="N25" s="58" t="n">
        <x:v>11.712255959676872</x:v>
      </x:c>
      <x:c r="O25" s="58" t="n">
        <x:v>11.712819884681887</x:v>
      </x:c>
      <x:c r="P25" s="58" t="n">
        <x:v>10.367538934716718</x:v>
      </x:c>
      <x:c r="Q25" s="58" t="n">
        <x:v>10.366975009711703</x:v>
      </x:c>
      <x:c r="R25" s="58" t="n">
        <x:v>10.366975009711703</x:v>
      </x:c>
      <x:c r="S25" s="58" t="str">
        <x:v>0.7738469407261818</x:v>
      </x:c>
      <x:c r="T25" s="58" t="str">
        <x:v>0.026</x:v>
      </x:c>
      <x:c r="U25" s="58" t="n">
        <x:v>0.8922887734281695</x:v>
      </x:c>
      <x:c r="V25" s="58" t="n">
        <x:v>0.047838399423517364</x:v>
      </x:c>
      <x:c r="W25" s="58" t="n">
        <x:v>0.04520426599461455</x:v>
      </x:c>
      <x:c r="X25" s="59" t="n">
        <x:v>0.1556954571955575</x:v>
      </x:c>
    </x:row>
    <x:row r="26">
      <x:c r="A26" s="57" t="str">
        <x:v>S07_KDM</x:v>
      </x:c>
      <x:c r="B26" s="58" t="str">
        <x:v>S02</x:v>
      </x:c>
      <x:c r="C26" s="58" t="str">
        <x:v>POST_EXERCISE</x:v>
      </x:c>
      <x:c r="D26" s="58" t="str"/>
      <x:c r="E26" s="58" t="n">
        <x:v>1</x:v>
      </x:c>
      <x:c r="F26" s="58" t="n">
        <x:v>586.189</x:v>
      </x:c>
      <x:c r="G26" s="58" t="n">
        <x:v>636.189</x:v>
      </x:c>
      <x:c r="H26" s="58" t="n">
        <x:v>50</x:v>
      </x:c>
      <x:c r="I26" s="58" t="n">
        <x:v>21.91425322479859</x:v>
      </x:c>
      <x:c r="J26" s="58" t="str">
        <x:v>57</x:v>
      </x:c>
      <x:c r="K26" s="58" t="str">
        <x:v>18</x:v>
      </x:c>
      <x:c r="L26" s="58" t="n">
        <x:v>-0.7061752905375749</x:v>
      </x:c>
      <x:c r="M26" s="58" t="n">
        <x:v>21.865988864566166</x:v>
      </x:c>
      <x:c r="N26" s="58" t="n">
        <x:v>21.761170245241534</x:v>
      </x:c>
      <x:c r="O26" s="58" t="n">
        <x:v>21.865988864566166</x:v>
      </x:c>
      <x:c r="P26" s="58" t="n">
        <x:v>0.1530829795570554</x:v>
      </x:c>
      <x:c r="Q26" s="58" t="n">
        <x:v>0.04826436023242309</x:v>
      </x:c>
      <x:c r="R26" s="58" t="n">
        <x:v>0.04826436023242309</x:v>
      </x:c>
      <x:c r="S26" s="58" t="str">
        <x:v>1.7931716852923865</x:v>
      </x:c>
      <x:c r="T26" s="58" t="str">
        <x:v>0.0</x:v>
      </x:c>
      <x:c r="U26" s="58" t="n">
        <x:v>0.7427211583406583</x:v>
      </x:c>
      <x:c r="V26" s="58" t="n">
        <x:v>0.0845276342525685</x:v>
      </x:c>
      <x:c r="W26" s="58" t="n">
        <x:v>0.21268617075402554</x:v>
      </x:c>
      <x:c r="X26" s="59" t="n">
        <x:v>0.03223443199016499</x:v>
      </x:c>
    </x:row>
    <x:row r="27">
      <x:c r="A27" s="57" t="str">
        <x:v>S07_KDM</x:v>
      </x:c>
      <x:c r="B27" s="58" t="str">
        <x:v>S02</x:v>
      </x:c>
      <x:c r="C27" s="58" t="str">
        <x:v>POST_EXERCISE</x:v>
      </x:c>
      <x:c r="D27" s="58" t="str"/>
      <x:c r="E27" s="58" t="n">
        <x:v>2</x:v>
      </x:c>
      <x:c r="F27" s="58" t="n">
        <x:v>586.189</x:v>
      </x:c>
      <x:c r="G27" s="58" t="n">
        <x:v>636.189</x:v>
      </x:c>
      <x:c r="H27" s="58" t="n">
        <x:v>50</x:v>
      </x:c>
      <x:c r="I27" s="58" t="n">
        <x:v>21.91425322479859</x:v>
      </x:c>
      <x:c r="J27" s="58" t="str">
        <x:v>64</x:v>
      </x:c>
      <x:c r="K27" s="58" t="str">
        <x:v>30</x:v>
      </x:c>
      <x:c r="L27" s="58" t="n">
        <x:v>-0.49273123471845476</x:v>
      </x:c>
      <x:c r="M27" s="58" t="n">
        <x:v>21.816557644302314</x:v>
      </x:c>
      <x:c r="N27" s="58" t="n">
        <x:v>21.821437548902374</x:v>
      </x:c>
      <x:c r="O27" s="58" t="n">
        <x:v>21.816557644302314</x:v>
      </x:c>
      <x:c r="P27" s="58" t="n">
        <x:v>0.09281567589621531</x:v>
      </x:c>
      <x:c r="Q27" s="58" t="n">
        <x:v>0.09769558049627491</x:v>
      </x:c>
      <x:c r="R27" s="58" t="n">
        <x:v>0.09769558049627491</x:v>
      </x:c>
      <x:c r="S27" s="58" t="str">
        <x:v>2.386918116424145</x:v>
      </x:c>
      <x:c r="T27" s="58" t="str">
        <x:v>0.006</x:v>
      </x:c>
      <x:c r="U27" s="58" t="n">
        <x:v>0.7322142220435196</x:v>
      </x:c>
      <x:c r="V27" s="58" t="n">
        <x:v>0.08363047292080313</x:v>
      </x:c>
      <x:c r="W27" s="58" t="n">
        <x:v>0.2136906258150396</x:v>
      </x:c>
      <x:c r="X27" s="59" t="n">
        <x:v>0.02947640688418858</x:v>
      </x:c>
    </x:row>
    <x:row r="28">
      <x:c r="A28" s="57" t="str">
        <x:v>S07_KDM</x:v>
      </x:c>
      <x:c r="B28" s="58" t="str">
        <x:v>S02</x:v>
      </x:c>
      <x:c r="C28" s="58" t="str">
        <x:v>POST_EXERCISE</x:v>
      </x:c>
      <x:c r="D28" s="58" t="str"/>
      <x:c r="E28" s="58" t="n">
        <x:v>3</x:v>
      </x:c>
      <x:c r="F28" s="58" t="n">
        <x:v>586.189</x:v>
      </x:c>
      <x:c r="G28" s="58" t="n">
        <x:v>636.189</x:v>
      </x:c>
      <x:c r="H28" s="58" t="n">
        <x:v>50</x:v>
      </x:c>
      <x:c r="I28" s="58" t="n">
        <x:v>21.91425322479859</x:v>
      </x:c>
      <x:c r="J28" s="58" t="str">
        <x:v>58</x:v>
      </x:c>
      <x:c r="K28" s="58" t="str">
        <x:v>25</x:v>
      </x:c>
      <x:c r="L28" s="58" t="n">
        <x:v>0.7599957419456671</x:v>
      </x:c>
      <x:c r="M28" s="58" t="n">
        <x:v>21.824771350105706</x:v>
      </x:c>
      <x:c r="N28" s="58" t="n">
        <x:v>21.843624895986313</x:v>
      </x:c>
      <x:c r="O28" s="58" t="n">
        <x:v>21.824771350105706</x:v>
      </x:c>
      <x:c r="P28" s="58" t="n">
        <x:v>0.07062832881227621</x:v>
      </x:c>
      <x:c r="Q28" s="58" t="n">
        <x:v>0.08948187469288271</x:v>
      </x:c>
      <x:c r="R28" s="58" t="n">
        <x:v>0.08948187469288271</x:v>
      </x:c>
      <x:c r="S28" s="58" t="str">
        <x:v>2.397515776520744</x:v>
      </x:c>
      <x:c r="T28" s="58" t="str">
        <x:v>0.0</x:v>
      </x:c>
      <x:c r="U28" s="58" t="n">
        <x:v>0.727556423811413</x:v>
      </x:c>
      <x:c r="V28" s="58" t="n">
        <x:v>0.10429207789755009</x:v>
      </x:c>
      <x:c r="W28" s="58" t="n">
        <x:v>0.2140604149331052</x:v>
      </x:c>
      <x:c r="X28" s="59" t="n">
        <x:v>0.031254719766247926</x:v>
      </x:c>
    </x:row>
    <x:row r="29">
      <x:c r="A29" s="57" t="str">
        <x:v>S08_MDO</x:v>
      </x:c>
      <x:c r="B29" s="58" t="str">
        <x:v>S01</x:v>
      </x:c>
      <x:c r="C29" s="58" t="str">
        <x:v>FACE_R1</x:v>
      </x:c>
      <x:c r="D29" s="58" t="n">
        <x:v>1</x:v>
      </x:c>
      <x:c r="E29" s="58" t="n">
        <x:v>1</x:v>
      </x:c>
      <x:c r="F29" s="58" t="n">
        <x:v>36.98</x:v>
      </x:c>
      <x:c r="G29" s="58" t="n">
        <x:v>85.1</x:v>
      </x:c>
      <x:c r="H29" s="58" t="n">
        <x:v>48.12</x:v>
      </x:c>
      <x:c r="I29" s="58" t="n">
        <x:v>10.29027485935016</x:v>
      </x:c>
      <x:c r="J29" s="58" t="str">
        <x:v>14</x:v>
      </x:c>
      <x:c r="K29" s="58" t="str">
        <x:v>28</x:v>
      </x:c>
      <x:c r="L29" s="58" t="n">
        <x:v>-0.8654539916514835</x:v>
      </x:c>
      <x:c r="M29" s="58" t="n">
        <x:v>10.316209732783708</x:v>
      </x:c>
      <x:c r="N29" s="58" t="n">
        <x:v>10.300654521063798</x:v>
      </x:c>
      <x:c r="O29" s="58" t="n">
        <x:v>10.316209732783708</x:v>
      </x:c>
      <x:c r="P29" s="58" t="n">
        <x:v>0.01037966171363891</x:v>
      </x:c>
      <x:c r="Q29" s="58" t="n">
        <x:v>0.025934873433548944</x:v>
      </x:c>
      <x:c r="R29" s="58" t="n">
        <x:v>0.025934873433548944</x:v>
      </x:c>
      <x:c r="S29" s="58" t="str">
        <x:v>2.055364330274059</x:v>
      </x:c>
      <x:c r="T29" s="58" t="str">
        <x:v>0.0015592515592515593</x:v>
      </x:c>
      <x:c r="U29" s="58" t="n">
        <x:v>0.6697399236439318</x:v>
      </x:c>
      <x:c r="V29" s="58" t="n">
        <x:v>0.12528861703619246</x:v>
      </x:c>
      <x:c r="W29" s="58" t="n">
        <x:v>0.021677575351063322</x:v>
      </x:c>
      <x:c r="X29" s="59" t="n">
        <x:v>0.025058694709114798</x:v>
      </x:c>
    </x:row>
    <x:row r="30">
      <x:c r="A30" s="57" t="str">
        <x:v>S08_MDO</x:v>
      </x:c>
      <x:c r="B30" s="58" t="str">
        <x:v>S01</x:v>
      </x:c>
      <x:c r="C30" s="58" t="str">
        <x:v>FACE_R1</x:v>
      </x:c>
      <x:c r="D30" s="58" t="n">
        <x:v>1</x:v>
      </x:c>
      <x:c r="E30" s="58" t="n">
        <x:v>2</x:v>
      </x:c>
      <x:c r="F30" s="58" t="n">
        <x:v>36.98</x:v>
      </x:c>
      <x:c r="G30" s="58" t="n">
        <x:v>85.1</x:v>
      </x:c>
      <x:c r="H30" s="58" t="n">
        <x:v>48.12</x:v>
      </x:c>
      <x:c r="I30" s="58" t="n">
        <x:v>10.29027485935016</x:v>
      </x:c>
      <x:c r="J30" s="58" t="str">
        <x:v>19</x:v>
      </x:c>
      <x:c r="K30" s="58" t="str">
        <x:v>68</x:v>
      </x:c>
      <x:c r="L30" s="58" t="n">
        <x:v>-0.7685668634886125</x:v>
      </x:c>
      <x:c r="M30" s="58" t="n">
        <x:v>10.460556956398449</x:v>
      </x:c>
      <x:c r="N30" s="58" t="n">
        <x:v>10.540892747581532</x:v>
      </x:c>
      <x:c r="O30" s="58" t="n">
        <x:v>10.460556956398449</x:v>
      </x:c>
      <x:c r="P30" s="58" t="n">
        <x:v>0.250617888231373</x:v>
      </x:c>
      <x:c r="Q30" s="58" t="n">
        <x:v>0.17028209704828967</x:v>
      </x:c>
      <x:c r="R30" s="58" t="n">
        <x:v>0.17028209704828967</x:v>
      </x:c>
      <x:c r="S30" s="58" t="str">
        <x:v>1.0257568773283763</x:v>
      </x:c>
      <x:c r="T30" s="58" t="str">
        <x:v>0.0</x:v>
      </x:c>
      <x:c r="U30" s="58" t="n">
        <x:v>0.7355553681034277</x:v>
      </x:c>
      <x:c r="V30" s="58" t="n">
        <x:v>0.10085234998748019</x:v>
      </x:c>
      <x:c r="W30" s="58" t="n">
        <x:v>0.025681545793025534</x:v>
      </x:c>
      <x:c r="X30" s="59" t="n">
        <x:v>0.028124239322730536</x:v>
      </x:c>
    </x:row>
    <x:row r="31">
      <x:c r="A31" s="57" t="str">
        <x:v>S08_MDO</x:v>
      </x:c>
      <x:c r="B31" s="58" t="str">
        <x:v>S01</x:v>
      </x:c>
      <x:c r="C31" s="58" t="str">
        <x:v>FACE_R1</x:v>
      </x:c>
      <x:c r="D31" s="58" t="n">
        <x:v>1</x:v>
      </x:c>
      <x:c r="E31" s="58" t="n">
        <x:v>3</x:v>
      </x:c>
      <x:c r="F31" s="58" t="n">
        <x:v>36.98</x:v>
      </x:c>
      <x:c r="G31" s="58" t="n">
        <x:v>85.1</x:v>
      </x:c>
      <x:c r="H31" s="58" t="n">
        <x:v>48.12</x:v>
      </x:c>
      <x:c r="I31" s="58" t="n">
        <x:v>10.29027485935016</x:v>
      </x:c>
      <x:c r="J31" s="58" t="str">
        <x:v>59</x:v>
      </x:c>
      <x:c r="K31" s="58" t="str">
        <x:v>68</x:v>
      </x:c>
      <x:c r="L31" s="58" t="n">
        <x:v>0.8274466989502351</x:v>
      </x:c>
      <x:c r="M31" s="58" t="n">
        <x:v>11.033513720191307</x:v>
      </x:c>
      <x:c r="N31" s="58" t="n">
        <x:v>11.128124102304296</x:v>
      </x:c>
      <x:c r="O31" s="58" t="n">
        <x:v>11.033513720191307</x:v>
      </x:c>
      <x:c r="P31" s="58" t="n">
        <x:v>0.8378492429541371</x:v>
      </x:c>
      <x:c r="Q31" s="58" t="n">
        <x:v>0.7432388608411475</x:v>
      </x:c>
      <x:c r="R31" s="58" t="n">
        <x:v>0.7432388608411475</x:v>
      </x:c>
      <x:c r="S31" s="58" t="str">
        <x:v>0.7793156484050936</x:v>
      </x:c>
      <x:c r="T31" s="58" t="str">
        <x:v>0.0</x:v>
      </x:c>
      <x:c r="U31" s="58" t="n">
        <x:v>0.8131330288462332</x:v>
      </x:c>
      <x:c r="V31" s="58" t="n">
        <x:v>0.07737125022626588</x:v>
      </x:c>
      <x:c r="W31" s="58" t="n">
        <x:v>0.03546873503840495</x:v>
      </x:c>
      <x:c r="X31" s="59" t="n">
        <x:v>0.019185552304850848</x:v>
      </x:c>
    </x:row>
    <x:row r="32">
      <x:c r="A32" s="57" t="str">
        <x:v>S08_MDO</x:v>
      </x:c>
      <x:c r="B32" s="58" t="str">
        <x:v>S01</x:v>
      </x:c>
      <x:c r="C32" s="58" t="str">
        <x:v>FACE_R2</x:v>
      </x:c>
      <x:c r="D32" s="58" t="n">
        <x:v>2</x:v>
      </x:c>
      <x:c r="E32" s="58" t="n">
        <x:v>1</x:v>
      </x:c>
      <x:c r="F32" s="58" t="n">
        <x:v>95.1</x:v>
      </x:c>
      <x:c r="G32" s="58" t="n">
        <x:v>146.8</x:v>
      </x:c>
      <x:c r="H32" s="58" t="n">
        <x:v>51.7</x:v>
      </x:c>
      <x:c r="I32" s="58" t="n">
        <x:v>10.43325073219125</x:v>
      </x:c>
      <x:c r="J32" s="58" t="str">
        <x:v>57</x:v>
      </x:c>
      <x:c r="K32" s="58" t="str">
        <x:v>78</x:v>
      </x:c>
      <x:c r="L32" s="58" t="n">
        <x:v>-0.8472767458031665</x:v>
      </x:c>
      <x:c r="M32" s="58" t="n">
        <x:v>10.48272568931189</x:v>
      </x:c>
      <x:c r="N32" s="58" t="n">
        <x:v>10.614739980322593</x:v>
      </x:c>
      <x:c r="O32" s="58" t="n">
        <x:v>10.48272568931189</x:v>
      </x:c>
      <x:c r="P32" s="58" t="n">
        <x:v>0.18148924813134215</x:v>
      </x:c>
      <x:c r="Q32" s="58" t="n">
        <x:v>0.04947495712063876</x:v>
      </x:c>
      <x:c r="R32" s="58" t="n">
        <x:v>0.04947495712063876</x:v>
      </x:c>
      <x:c r="S32" s="58" t="str">
        <x:v>1.2481445089428156</x:v>
      </x:c>
      <x:c r="T32" s="58" t="str">
        <x:v>0.0</x:v>
      </x:c>
      <x:c r="U32" s="58" t="n">
        <x:v>0.7360564387746137</x:v>
      </x:c>
      <x:c r="V32" s="58" t="n">
        <x:v>0.1077611124059658</x:v>
      </x:c>
      <x:c r="W32" s="58" t="n">
        <x:v>0.02691233300537657</x:v>
      </x:c>
      <x:c r="X32" s="59" t="n">
        <x:v>0.027306642173599748</x:v>
      </x:c>
    </x:row>
    <x:row r="33">
      <x:c r="A33" s="57" t="str">
        <x:v>S08_MDO</x:v>
      </x:c>
      <x:c r="B33" s="58" t="str">
        <x:v>S01</x:v>
      </x:c>
      <x:c r="C33" s="58" t="str">
        <x:v>FACE_R2</x:v>
      </x:c>
      <x:c r="D33" s="58" t="n">
        <x:v>2</x:v>
      </x:c>
      <x:c r="E33" s="58" t="n">
        <x:v>2</x:v>
      </x:c>
      <x:c r="F33" s="58" t="n">
        <x:v>95.1</x:v>
      </x:c>
      <x:c r="G33" s="58" t="n">
        <x:v>146.8</x:v>
      </x:c>
      <x:c r="H33" s="58" t="n">
        <x:v>51.7</x:v>
      </x:c>
      <x:c r="I33" s="58" t="n">
        <x:v>10.43325073219125</x:v>
      </x:c>
      <x:c r="J33" s="58" t="str">
        <x:v>20</x:v>
      </x:c>
      <x:c r="K33" s="58" t="str">
        <x:v>30</x:v>
      </x:c>
      <x:c r="L33" s="58" t="n">
        <x:v>-0.8882005819148711</x:v>
      </x:c>
      <x:c r="M33" s="58" t="n">
        <x:v>10.381755086219787</x:v>
      </x:c>
      <x:c r="N33" s="58" t="n">
        <x:v>10.381010169211434</x:v>
      </x:c>
      <x:c r="O33" s="58" t="n">
        <x:v>10.381755086219787</x:v>
      </x:c>
      <x:c r="P33" s="58" t="n">
        <x:v>0.05224056297981683</x:v>
      </x:c>
      <x:c r="Q33" s="58" t="n">
        <x:v>0.051495645971463944</x:v>
      </x:c>
      <x:c r="R33" s="58" t="n">
        <x:v>0.051495645971463944</x:v>
      </x:c>
      <x:c r="S33" s="58" t="str">
        <x:v>1.9796188658651315</x:v>
      </x:c>
      <x:c r="T33" s="58" t="str">
        <x:v>0.0</x:v>
      </x:c>
      <x:c r="U33" s="58" t="n">
        <x:v>0.6622770882423631</x:v>
      </x:c>
      <x:c r="V33" s="58" t="n">
        <x:v>0.12974169579380454</x:v>
      </x:c>
      <x:c r="W33" s="58" t="n">
        <x:v>0.0230168361535239</x:v>
      </x:c>
      <x:c r="X33" s="59" t="n">
        <x:v>0.035140236897146904</x:v>
      </x:c>
    </x:row>
    <x:row r="34">
      <x:c r="A34" s="57" t="str">
        <x:v>S08_MDO</x:v>
      </x:c>
      <x:c r="B34" s="58" t="str">
        <x:v>S01</x:v>
      </x:c>
      <x:c r="C34" s="58" t="str">
        <x:v>FACE_R2</x:v>
      </x:c>
      <x:c r="D34" s="58" t="n">
        <x:v>2</x:v>
      </x:c>
      <x:c r="E34" s="58" t="n">
        <x:v>3</x:v>
      </x:c>
      <x:c r="F34" s="58" t="n">
        <x:v>95.1</x:v>
      </x:c>
      <x:c r="G34" s="58" t="n">
        <x:v>146.8</x:v>
      </x:c>
      <x:c r="H34" s="58" t="n">
        <x:v>51.7</x:v>
      </x:c>
      <x:c r="I34" s="58" t="n">
        <x:v>10.43325073219125</x:v>
      </x:c>
      <x:c r="J34" s="58" t="str">
        <x:v>59</x:v>
      </x:c>
      <x:c r="K34" s="58" t="str">
        <x:v>22</x:v>
      </x:c>
      <x:c r="L34" s="58" t="n">
        <x:v>0.8373675190933335</x:v>
      </x:c>
      <x:c r="M34" s="58" t="n">
        <x:v>10.251072300200622</x:v>
      </x:c>
      <x:c r="N34" s="58" t="n">
        <x:v>10.243153098644013</x:v>
      </x:c>
      <x:c r="O34" s="58" t="n">
        <x:v>10.251072300200622</x:v>
      </x:c>
      <x:c r="P34" s="58" t="n">
        <x:v>0.19009763354723752</x:v>
      </x:c>
      <x:c r="Q34" s="58" t="n">
        <x:v>0.18217843199062855</x:v>
      </x:c>
      <x:c r="R34" s="58" t="n">
        <x:v>0.18217843199062855</x:v>
      </x:c>
      <x:c r="S34" s="58" t="str">
        <x:v>1.8726191982985916</x:v>
      </x:c>
      <x:c r="T34" s="58" t="str">
        <x:v>0.0</x:v>
      </x:c>
      <x:c r="U34" s="58" t="n">
        <x:v>0.6203928645389654</x:v>
      </x:c>
      <x:c r="V34" s="58" t="n">
        <x:v>0.14071900337020987</x:v>
      </x:c>
      <x:c r="W34" s="58" t="n">
        <x:v>0.02071921831073356</x:v>
      </x:c>
      <x:c r="X34" s="59" t="n">
        <x:v>0.022442727061960172</x:v>
      </x:c>
    </x:row>
    <x:row r="35">
      <x:c r="A35" s="57" t="str">
        <x:v>S08_MDO</x:v>
      </x:c>
      <x:c r="B35" s="58" t="str">
        <x:v>S01</x:v>
      </x:c>
      <x:c r="C35" s="58" t="str">
        <x:v>FACE_R3</x:v>
      </x:c>
      <x:c r="D35" s="58" t="n">
        <x:v>3</x:v>
      </x:c>
      <x:c r="E35" s="58" t="n">
        <x:v>1</x:v>
      </x:c>
      <x:c r="F35" s="58" t="n">
        <x:v>156.8</x:v>
      </x:c>
      <x:c r="G35" s="58" t="n">
        <x:v>215.164</x:v>
      </x:c>
      <x:c r="H35" s="58" t="n">
        <x:v>58.364</x:v>
      </x:c>
      <x:c r="I35" s="58" t="n">
        <x:v>10.780079135691457</x:v>
      </x:c>
      <x:c r="J35" s="58" t="str">
        <x:v>62</x:v>
      </x:c>
      <x:c r="K35" s="58" t="str">
        <x:v>12</x:v>
      </x:c>
      <x:c r="L35" s="58" t="n">
        <x:v>-0.7652727375942459</x:v>
      </x:c>
      <x:c r="M35" s="58" t="n">
        <x:v>10.832059389777248</x:v>
      </x:c>
      <x:c r="N35" s="58" t="n">
        <x:v>10.78190175982999</x:v>
      </x:c>
      <x:c r="O35" s="58" t="n">
        <x:v>10.832059389777248</x:v>
      </x:c>
      <x:c r="P35" s="58" t="n">
        <x:v>0.001822624138533513</x:v>
      </x:c>
      <x:c r="Q35" s="58" t="n">
        <x:v>0.05198025408579099</x:v>
      </x:c>
      <x:c r="R35" s="58" t="n">
        <x:v>0.05198025408579099</x:v>
      </x:c>
      <x:c r="S35" s="58" t="str">
        <x:v>1.8928539549703798</x:v>
      </x:c>
      <x:c r="T35" s="58" t="str">
        <x:v>0.005569837189374464</x:v>
      </x:c>
      <x:c r="U35" s="58" t="n">
        <x:v>0.6620103118014466</x:v>
      </x:c>
      <x:c r="V35" s="58" t="n">
        <x:v>0.1842293980258182</x:v>
      </x:c>
      <x:c r="W35" s="58" t="n">
        <x:v>0.02969836266383319</x:v>
      </x:c>
      <x:c r="X35" s="59" t="n">
        <x:v>0.030115209105469866</x:v>
      </x:c>
    </x:row>
    <x:row r="36">
      <x:c r="A36" s="57" t="str">
        <x:v>S08_MDO</x:v>
      </x:c>
      <x:c r="B36" s="58" t="str">
        <x:v>S01</x:v>
      </x:c>
      <x:c r="C36" s="58" t="str">
        <x:v>FACE_R3</x:v>
      </x:c>
      <x:c r="D36" s="58" t="n">
        <x:v>3</x:v>
      </x:c>
      <x:c r="E36" s="58" t="n">
        <x:v>2</x:v>
      </x:c>
      <x:c r="F36" s="58" t="n">
        <x:v>156.8</x:v>
      </x:c>
      <x:c r="G36" s="58" t="n">
        <x:v>215.164</x:v>
      </x:c>
      <x:c r="H36" s="58" t="n">
        <x:v>58.364</x:v>
      </x:c>
      <x:c r="I36" s="58" t="n">
        <x:v>10.780079135691457</x:v>
      </x:c>
      <x:c r="J36" s="58" t="str">
        <x:v>21</x:v>
      </x:c>
      <x:c r="K36" s="58" t="str">
        <x:v>67</x:v>
      </x:c>
      <x:c r="L36" s="58" t="n">
        <x:v>0.7621597386666366</x:v>
      </x:c>
      <x:c r="M36" s="58" t="n">
        <x:v>10.873484896705975</x:v>
      </x:c>
      <x:c r="N36" s="58" t="n">
        <x:v>11.009800618990308</x:v>
      </x:c>
      <x:c r="O36" s="58" t="n">
        <x:v>10.873484896705975</x:v>
      </x:c>
      <x:c r="P36" s="58" t="n">
        <x:v>0.22972148329885123</x:v>
      </x:c>
      <x:c r="Q36" s="58" t="n">
        <x:v>0.09340576101451781</x:v>
      </x:c>
      <x:c r="R36" s="58" t="n">
        <x:v>0.09340576101451781</x:v>
      </x:c>
      <x:c r="S36" s="58" t="str">
        <x:v>2.7815626930026696</x:v>
      </x:c>
      <x:c r="T36" s="58" t="str">
        <x:v>0.000856898029134533</x:v>
      </x:c>
      <x:c r="U36" s="58" t="n">
        <x:v>0.6683742314791432</x:v>
      </x:c>
      <x:c r="V36" s="58" t="n">
        <x:v>0.15114047170779651</x:v>
      </x:c>
      <x:c r="W36" s="58" t="n">
        <x:v>0.0334966769831718</x:v>
      </x:c>
      <x:c r="X36" s="59" t="n">
        <x:v>0.029680259780802735</x:v>
      </x:c>
    </x:row>
    <x:row r="37">
      <x:c r="A37" s="57" t="str">
        <x:v>S08_MDO</x:v>
      </x:c>
      <x:c r="B37" s="58" t="str">
        <x:v>S01</x:v>
      </x:c>
      <x:c r="C37" s="58" t="str">
        <x:v>FACE_R3</x:v>
      </x:c>
      <x:c r="D37" s="58" t="n">
        <x:v>3</x:v>
      </x:c>
      <x:c r="E37" s="58" t="n">
        <x:v>3</x:v>
      </x:c>
      <x:c r="F37" s="58" t="n">
        <x:v>156.8</x:v>
      </x:c>
      <x:c r="G37" s="58" t="n">
        <x:v>215.164</x:v>
      </x:c>
      <x:c r="H37" s="58" t="n">
        <x:v>58.364</x:v>
      </x:c>
      <x:c r="I37" s="58" t="n">
        <x:v>10.780079135691457</x:v>
      </x:c>
      <x:c r="J37" s="58" t="str">
        <x:v>60</x:v>
      </x:c>
      <x:c r="K37" s="58" t="str">
        <x:v>72</x:v>
      </x:c>
      <x:c r="L37" s="58" t="n">
        <x:v>0.6175049005983374</x:v>
      </x:c>
      <x:c r="M37" s="58" t="n">
        <x:v>10.68788727544601</x:v>
      </x:c>
      <x:c r="N37" s="58" t="n">
        <x:v>10.6398868618324</x:v>
      </x:c>
      <x:c r="O37" s="58" t="n">
        <x:v>10.68788727544601</x:v>
      </x:c>
      <x:c r="P37" s="58" t="n">
        <x:v>0.14019227385905708</x:v>
      </x:c>
      <x:c r="Q37" s="58" t="n">
        <x:v>0.09219186024544612</x:v>
      </x:c>
      <x:c r="R37" s="58" t="n">
        <x:v>0.09219186024544612</x:v>
      </x:c>
      <x:c r="S37" s="58" t="str">
        <x:v>2.1035140908760614</x:v>
      </x:c>
      <x:c r="T37" s="58" t="str">
        <x:v>0.0021422450728363325</x:v>
      </x:c>
      <x:c r="U37" s="58" t="n">
        <x:v>0.7117905491863732</x:v>
      </x:c>
      <x:c r="V37" s="58" t="n">
        <x:v>0.11882406158326225</x:v>
      </x:c>
      <x:c r="W37" s="58" t="n">
        <x:v>0.027331447697206662</x:v>
      </x:c>
      <x:c r="X37" s="59" t="n">
        <x:v>0.025555554653032126</x:v>
      </x:c>
    </x:row>
    <x:row r="38">
      <x:c r="A38" s="57" t="str">
        <x:v>S08_MDO</x:v>
      </x:c>
      <x:c r="B38" s="58" t="str">
        <x:v>S02</x:v>
      </x:c>
      <x:c r="C38" s="58" t="str">
        <x:v>NORMAL</x:v>
      </x:c>
      <x:c r="D38" s="58" t="str"/>
      <x:c r="E38" s="58" t="n">
        <x:v>1</x:v>
      </x:c>
      <x:c r="F38" s="58" t="n">
        <x:v>278.17</x:v>
      </x:c>
      <x:c r="G38" s="58" t="n">
        <x:v>328.17</x:v>
      </x:c>
      <x:c r="H38" s="58" t="n">
        <x:v>50</x:v>
      </x:c>
      <x:c r="I38" s="58" t="n">
        <x:v>18.438432477242742</x:v>
      </x:c>
      <x:c r="J38" s="58" t="str">
        <x:v>21</x:v>
      </x:c>
      <x:c r="K38" s="58" t="str">
        <x:v>14</x:v>
      </x:c>
      <x:c r="L38" s="58" t="n">
        <x:v>-0.7764378408723672</x:v>
      </x:c>
      <x:c r="M38" s="58" t="n">
        <x:v>18.420810447973277</x:v>
      </x:c>
      <x:c r="N38" s="58" t="n">
        <x:v>18.453349786668948</x:v>
      </x:c>
      <x:c r="O38" s="58" t="n">
        <x:v>18.420810447973277</x:v>
      </x:c>
      <x:c r="P38" s="58" t="n">
        <x:v>0.01491730942620606</x:v>
      </x:c>
      <x:c r="Q38" s="58" t="n">
        <x:v>0.017622029269464434</x:v>
      </x:c>
      <x:c r="R38" s="58" t="n">
        <x:v>0.017622029269464434</x:v>
      </x:c>
      <x:c r="S38" s="58" t="str">
        <x:v>2.6846135445376107</x:v>
      </x:c>
      <x:c r="T38" s="58" t="str">
        <x:v>0.0005</x:v>
      </x:c>
      <x:c r="U38" s="58" t="n">
        <x:v>0.685628534402008</x:v>
      </x:c>
      <x:c r="V38" s="58" t="n">
        <x:v>0.1228054303758496</x:v>
      </x:c>
      <x:c r="W38" s="58" t="n">
        <x:v>0.15755582977781582</x:v>
      </x:c>
      <x:c r="X38" s="59" t="n">
        <x:v>0.031204141591562175</x:v>
      </x:c>
    </x:row>
    <x:row r="39">
      <x:c r="A39" s="57" t="str">
        <x:v>S08_MDO</x:v>
      </x:c>
      <x:c r="B39" s="58" t="str">
        <x:v>S02</x:v>
      </x:c>
      <x:c r="C39" s="58" t="str">
        <x:v>NORMAL</x:v>
      </x:c>
      <x:c r="D39" s="58" t="str"/>
      <x:c r="E39" s="58" t="n">
        <x:v>2</x:v>
      </x:c>
      <x:c r="F39" s="58" t="n">
        <x:v>278.17</x:v>
      </x:c>
      <x:c r="G39" s="58" t="n">
        <x:v>328.17</x:v>
      </x:c>
      <x:c r="H39" s="58" t="n">
        <x:v>50</x:v>
      </x:c>
      <x:c r="I39" s="58" t="n">
        <x:v>18.438432477242742</x:v>
      </x:c>
      <x:c r="J39" s="58" t="str">
        <x:v>65</x:v>
      </x:c>
      <x:c r="K39" s="58" t="str">
        <x:v>27</x:v>
      </x:c>
      <x:c r="L39" s="58" t="n">
        <x:v>-0.685752876392038</x:v>
      </x:c>
      <x:c r="M39" s="58" t="n">
        <x:v>18.45763828955135</x:v>
      </x:c>
      <x:c r="N39" s="58" t="n">
        <x:v>18.456982594825085</x:v>
      </x:c>
      <x:c r="O39" s="58" t="n">
        <x:v>18.45763828955135</x:v>
      </x:c>
      <x:c r="P39" s="58" t="n">
        <x:v>0.018550117582343262</x:v>
      </x:c>
      <x:c r="Q39" s="58" t="n">
        <x:v>0.019205812308609183</x:v>
      </x:c>
      <x:c r="R39" s="58" t="n">
        <x:v>0.019205812308609183</x:v>
      </x:c>
      <x:c r="S39" s="58" t="str">
        <x:v>4.785483956035966</x:v>
      </x:c>
      <x:c r="T39" s="58" t="str">
        <x:v>0.0095</x:v>
      </x:c>
      <x:c r="U39" s="58" t="n">
        <x:v>0.6262225394448444</x:v>
      </x:c>
      <x:c r="V39" s="58" t="n">
        <x:v>0.14154776805425995</x:v>
      </x:c>
      <x:c r="W39" s="58" t="n">
        <x:v>0.15761637658041808</x:v>
      </x:c>
      <x:c r="X39" s="59" t="n">
        <x:v>0.031353275359122953</x:v>
      </x:c>
    </x:row>
    <x:row r="40">
      <x:c r="A40" s="57" t="str">
        <x:v>S08_MDO</x:v>
      </x:c>
      <x:c r="B40" s="58" t="str">
        <x:v>S02</x:v>
      </x:c>
      <x:c r="C40" s="58" t="str">
        <x:v>NORMAL</x:v>
      </x:c>
      <x:c r="D40" s="58" t="str"/>
      <x:c r="E40" s="58" t="n">
        <x:v>3</x:v>
      </x:c>
      <x:c r="F40" s="58" t="n">
        <x:v>278.17</x:v>
      </x:c>
      <x:c r="G40" s="58" t="n">
        <x:v>328.17</x:v>
      </x:c>
      <x:c r="H40" s="58" t="n">
        <x:v>50</x:v>
      </x:c>
      <x:c r="I40" s="58" t="n">
        <x:v>18.438432477242742</x:v>
      </x:c>
      <x:c r="J40" s="58" t="str">
        <x:v>85</x:v>
      </x:c>
      <x:c r="K40" s="58" t="str">
        <x:v>74</x:v>
      </x:c>
      <x:c r="L40" s="58" t="n">
        <x:v>0.7262871393513369</x:v>
      </x:c>
      <x:c r="M40" s="58" t="n">
        <x:v>18.599924721340336</x:v>
      </x:c>
      <x:c r="N40" s="58" t="n">
        <x:v>18.69261852330761</x:v>
      </x:c>
      <x:c r="O40" s="58" t="n">
        <x:v>18.599924721340336</x:v>
      </x:c>
      <x:c r="P40" s="58" t="n">
        <x:v>0.2541860460648664</x:v>
      </x:c>
      <x:c r="Q40" s="58" t="n">
        <x:v>0.16149224409759455</x:v>
      </x:c>
      <x:c r="R40" s="58" t="n">
        <x:v>0.16149224409759455</x:v>
      </x:c>
      <x:c r="S40" s="58" t="str">
        <x:v>1.032656550537584</x:v>
      </x:c>
      <x:c r="T40" s="58" t="str">
        <x:v>0.0</x:v>
      </x:c>
      <x:c r="U40" s="58" t="n">
        <x:v>0.6956337618257106</x:v>
      </x:c>
      <x:c r="V40" s="58" t="n">
        <x:v>0.1354684851171969</x:v>
      </x:c>
      <x:c r="W40" s="58" t="n">
        <x:v>0.1615436420551268</x:v>
      </x:c>
      <x:c r="X40" s="59" t="n">
        <x:v>0.021178582263167173</x:v>
      </x:c>
    </x:row>
    <x:row r="41">
      <x:c r="A41" s="57" t="str">
        <x:v>S08_MDO</x:v>
      </x:c>
      <x:c r="B41" s="58" t="str">
        <x:v>S02</x:v>
      </x:c>
      <x:c r="C41" s="58" t="str">
        <x:v>SLOW</x:v>
      </x:c>
      <x:c r="D41" s="58" t="str"/>
      <x:c r="E41" s="58" t="n">
        <x:v>1</x:v>
      </x:c>
      <x:c r="F41" s="58" t="n">
        <x:v>338.17</x:v>
      </x:c>
      <x:c r="G41" s="58" t="n">
        <x:v>388.17</x:v>
      </x:c>
      <x:c r="H41" s="58" t="n">
        <x:v>50</x:v>
      </x:c>
      <x:c r="I41" s="58" t="n">
        <x:v>5.965978585691494</x:v>
      </x:c>
      <x:c r="J41" s="58" t="str">
        <x:v>64</x:v>
      </x:c>
      <x:c r="K41" s="58" t="str">
        <x:v>60</x:v>
      </x:c>
      <x:c r="L41" s="58" t="n">
        <x:v>0.849561865947645</x:v>
      </x:c>
      <x:c r="M41" s="58" t="n">
        <x:v>5.957399958198621</x:v>
      </x:c>
      <x:c r="N41" s="58" t="n">
        <x:v>5.932879805107895</x:v>
      </x:c>
      <x:c r="O41" s="58" t="n">
        <x:v>5.957399958198621</x:v>
      </x:c>
      <x:c r="P41" s="58" t="n">
        <x:v>0.033098780583599385</x:v>
      </x:c>
      <x:c r="Q41" s="58" t="n">
        <x:v>0.008578627492873636</x:v>
      </x:c>
      <x:c r="R41" s="58" t="n">
        <x:v>0.008578627492873636</x:v>
      </x:c>
      <x:c r="S41" s="58" t="str">
        <x:v>3.535171257255561</x:v>
      </x:c>
      <x:c r="T41" s="58" t="str">
        <x:v>0.0</x:v>
      </x:c>
      <x:c r="U41" s="58" t="n">
        <x:v>0.5830559306522499</x:v>
      </x:c>
      <x:c r="V41" s="58" t="n">
        <x:v>0.14886228571456372</x:v>
      </x:c>
      <x:c r="W41" s="58" t="n">
        <x:v>0.02888133008513158</x:v>
      </x:c>
      <x:c r="X41" s="59" t="n">
        <x:v>0.027327518695638674</x:v>
      </x:c>
    </x:row>
    <x:row r="42">
      <x:c r="A42" s="57" t="str">
        <x:v>S08_MDO</x:v>
      </x:c>
      <x:c r="B42" s="58" t="str">
        <x:v>S02</x:v>
      </x:c>
      <x:c r="C42" s="58" t="str">
        <x:v>SLOW</x:v>
      </x:c>
      <x:c r="D42" s="58" t="str"/>
      <x:c r="E42" s="58" t="n">
        <x:v>2</x:v>
      </x:c>
      <x:c r="F42" s="58" t="n">
        <x:v>338.17</x:v>
      </x:c>
      <x:c r="G42" s="58" t="n">
        <x:v>388.17</x:v>
      </x:c>
      <x:c r="H42" s="58" t="n">
        <x:v>50</x:v>
      </x:c>
      <x:c r="I42" s="58" t="n">
        <x:v>5.965978585691494</x:v>
      </x:c>
      <x:c r="J42" s="58" t="str">
        <x:v>33</x:v>
      </x:c>
      <x:c r="K42" s="58" t="str">
        <x:v>24</x:v>
      </x:c>
      <x:c r="L42" s="58" t="n">
        <x:v>0.8562002382710779</x:v>
      </x:c>
      <x:c r="M42" s="58" t="n">
        <x:v>6.061275812579944</x:v>
      </x:c>
      <x:c r="N42" s="58" t="n">
        <x:v>6.085333528767447</x:v>
      </x:c>
      <x:c r="O42" s="58" t="n">
        <x:v>6.061275812579944</x:v>
      </x:c>
      <x:c r="P42" s="58" t="n">
        <x:v>0.11935494307595285</x:v>
      </x:c>
      <x:c r="Q42" s="58" t="n">
        <x:v>0.09529722688844977</x:v>
      </x:c>
      <x:c r="R42" s="58" t="n">
        <x:v>0.09529722688844977</x:v>
      </x:c>
      <x:c r="S42" s="58" t="str">
        <x:v>3.389414770531751</x:v>
      </x:c>
      <x:c r="T42" s="58" t="str">
        <x:v>0.0</x:v>
      </x:c>
      <x:c r="U42" s="58" t="n">
        <x:v>0.6879253318305383</x:v>
      </x:c>
      <x:c r="V42" s="58" t="n">
        <x:v>0.13696515667390188</x:v>
      </x:c>
      <x:c r="W42" s="58" t="n">
        <x:v>0.031422225479457444</x:v>
      </x:c>
      <x:c r="X42" s="59" t="n">
        <x:v>0.028562169925724232</x:v>
      </x:c>
    </x:row>
    <x:row r="43">
      <x:c r="A43" s="57" t="str">
        <x:v>S08_MDO</x:v>
      </x:c>
      <x:c r="B43" s="58" t="str">
        <x:v>S02</x:v>
      </x:c>
      <x:c r="C43" s="58" t="str">
        <x:v>SLOW</x:v>
      </x:c>
      <x:c r="D43" s="58" t="str"/>
      <x:c r="E43" s="58" t="n">
        <x:v>3</x:v>
      </x:c>
      <x:c r="F43" s="58" t="n">
        <x:v>338.17</x:v>
      </x:c>
      <x:c r="G43" s="58" t="n">
        <x:v>388.17</x:v>
      </x:c>
      <x:c r="H43" s="58" t="n">
        <x:v>50</x:v>
      </x:c>
      <x:c r="I43" s="58" t="n">
        <x:v>5.965978585691494</x:v>
      </x:c>
      <x:c r="J43" s="58" t="str">
        <x:v>16</x:v>
      </x:c>
      <x:c r="K43" s="58" t="str">
        <x:v>29</x:v>
      </x:c>
      <x:c r="L43" s="58" t="n">
        <x:v>0.7413814884693578</x:v>
      </x:c>
      <x:c r="M43" s="58" t="n">
        <x:v>5.965778727445448</x:v>
      </x:c>
      <x:c r="N43" s="58" t="n">
        <x:v>5.899393030896503</x:v>
      </x:c>
      <x:c r="O43" s="58" t="n">
        <x:v>5.965778727445448</x:v>
      </x:c>
      <x:c r="P43" s="58" t="n">
        <x:v>0.06658555479499118</x:v>
      </x:c>
      <x:c r="Q43" s="58" t="n">
        <x:v>0.0001998582460460696</x:v>
      </x:c>
      <x:c r="R43" s="58" t="n">
        <x:v>0.0001998582460460696</x:v>
      </x:c>
      <x:c r="S43" s="58" t="str">
        <x:v>4.65161934686562</x:v>
      </x:c>
      <x:c r="T43" s="58" t="str">
        <x:v>0.0005</x:v>
      </x:c>
      <x:c r="U43" s="58" t="n">
        <x:v>0.6490475376292574</x:v>
      </x:c>
      <x:c r="V43" s="58" t="n">
        <x:v>0.13206581779741614</x:v>
      </x:c>
      <x:c r="W43" s="58" t="n">
        <x:v>0.02832321718160838</x:v>
      </x:c>
      <x:c r="X43" s="59" t="n">
        <x:v>0.024553685087952623</x:v>
      </x:c>
    </x:row>
    <x:row r="44">
      <x:c r="A44" s="57" t="str">
        <x:v>S08_MDO</x:v>
      </x:c>
      <x:c r="B44" s="58" t="str">
        <x:v>S02</x:v>
      </x:c>
      <x:c r="C44" s="58" t="str">
        <x:v>POST_HOLD</x:v>
      </x:c>
      <x:c r="D44" s="58" t="str"/>
      <x:c r="E44" s="58" t="n">
        <x:v>1</x:v>
      </x:c>
      <x:c r="F44" s="58" t="n">
        <x:v>423.17</x:v>
      </x:c>
      <x:c r="G44" s="58" t="n">
        <x:v>478.17</x:v>
      </x:c>
      <x:c r="H44" s="58" t="n">
        <x:v>55</x:v>
      </x:c>
      <x:c r="I44" s="58" t="n">
        <x:v>11.31868496074228</x:v>
      </x:c>
      <x:c r="J44" s="58" t="str">
        <x:v>12</x:v>
      </x:c>
      <x:c r="K44" s="58" t="str">
        <x:v>28</x:v>
      </x:c>
      <x:c r="L44" s="58" t="n">
        <x:v>0.6494937712431297</x:v>
      </x:c>
      <x:c r="M44" s="58" t="n">
        <x:v>11.304347948532838</x:v>
      </x:c>
      <x:c r="N44" s="58" t="n">
        <x:v>11.403421278014536</x:v>
      </x:c>
      <x:c r="O44" s="58" t="n">
        <x:v>11.304347948532838</x:v>
      </x:c>
      <x:c r="P44" s="58" t="n">
        <x:v>0.08473631727225595</x:v>
      </x:c>
      <x:c r="Q44" s="58" t="n">
        <x:v>0.014337012209441724</x:v>
      </x:c>
      <x:c r="R44" s="58" t="n">
        <x:v>0.014337012209441724</x:v>
      </x:c>
      <x:c r="S44" s="58" t="str">
        <x:v>5.07472581920337</x:v>
      </x:c>
      <x:c r="T44" s="58" t="str">
        <x:v>0.01</x:v>
      </x:c>
      <x:c r="U44" s="58" t="n">
        <x:v>0.6417875363442407</x:v>
      </x:c>
      <x:c r="V44" s="58" t="n">
        <x:v>0.15126960710264384</x:v>
      </x:c>
      <x:c r="W44" s="58" t="n">
        <x:v>0.040057021300242274</x:v>
      </x:c>
      <x:c r="X44" s="59" t="n">
        <x:v>0.02820957417543861</x:v>
      </x:c>
    </x:row>
    <x:row r="45">
      <x:c r="A45" s="57" t="str">
        <x:v>S08_MDO</x:v>
      </x:c>
      <x:c r="B45" s="58" t="str">
        <x:v>S02</x:v>
      </x:c>
      <x:c r="C45" s="58" t="str">
        <x:v>POST_HOLD</x:v>
      </x:c>
      <x:c r="D45" s="58" t="str"/>
      <x:c r="E45" s="58" t="n">
        <x:v>2</x:v>
      </x:c>
      <x:c r="F45" s="58" t="n">
        <x:v>423.17</x:v>
      </x:c>
      <x:c r="G45" s="58" t="n">
        <x:v>478.17</x:v>
      </x:c>
      <x:c r="H45" s="58" t="n">
        <x:v>55</x:v>
      </x:c>
      <x:c r="I45" s="58" t="n">
        <x:v>11.31868496074228</x:v>
      </x:c>
      <x:c r="J45" s="58" t="str">
        <x:v>18</x:v>
      </x:c>
      <x:c r="K45" s="58" t="str">
        <x:v>69</x:v>
      </x:c>
      <x:c r="L45" s="58" t="n">
        <x:v>-0.7393018683146332</x:v>
      </x:c>
      <x:c r="M45" s="58" t="n">
        <x:v>11.326606335972635</x:v>
      </x:c>
      <x:c r="N45" s="58" t="n">
        <x:v>11.359357690782618</x:v>
      </x:c>
      <x:c r="O45" s="58" t="n">
        <x:v>11.326606335972635</x:v>
      </x:c>
      <x:c r="P45" s="58" t="n">
        <x:v>0.04067273004033822</x:v>
      </x:c>
      <x:c r="Q45" s="58" t="n">
        <x:v>0.007921375230354855</x:v>
      </x:c>
      <x:c r="R45" s="58" t="n">
        <x:v>0.007921375230354855</x:v>
      </x:c>
      <x:c r="S45" s="58" t="str">
        <x:v>4.145808914747647</x:v>
      </x:c>
      <x:c r="T45" s="58" t="str">
        <x:v>0.004090909090909091</x:v>
      </x:c>
      <x:c r="U45" s="58" t="n">
        <x:v>0.6668037831714372</x:v>
      </x:c>
      <x:c r="V45" s="58" t="n">
        <x:v>0.13272030607638677</x:v>
      </x:c>
      <x:c r="W45" s="58" t="n">
        <x:v>0.0393226281797103</x:v>
      </x:c>
      <x:c r="X45" s="59" t="n">
        <x:v>0.03206071553324758</x:v>
      </x:c>
    </x:row>
    <x:row r="46">
      <x:c r="A46" s="57" t="str">
        <x:v>S08_MDO</x:v>
      </x:c>
      <x:c r="B46" s="58" t="str">
        <x:v>S02</x:v>
      </x:c>
      <x:c r="C46" s="58" t="str">
        <x:v>POST_HOLD</x:v>
      </x:c>
      <x:c r="D46" s="58" t="str"/>
      <x:c r="E46" s="58" t="n">
        <x:v>3</x:v>
      </x:c>
      <x:c r="F46" s="58" t="n">
        <x:v>423.17</x:v>
      </x:c>
      <x:c r="G46" s="58" t="n">
        <x:v>478.17</x:v>
      </x:c>
      <x:c r="H46" s="58" t="n">
        <x:v>55</x:v>
      </x:c>
      <x:c r="I46" s="58" t="n">
        <x:v>11.31868496074228</x:v>
      </x:c>
      <x:c r="J46" s="58" t="str">
        <x:v>29</x:v>
      </x:c>
      <x:c r="K46" s="58" t="str">
        <x:v>70</x:v>
      </x:c>
      <x:c r="L46" s="58" t="n">
        <x:v>-0.9057043404816891</x:v>
      </x:c>
      <x:c r="M46" s="58" t="n">
        <x:v>11.312425880546812</x:v>
      </x:c>
      <x:c r="N46" s="58" t="n">
        <x:v>11.32450550843654</x:v>
      </x:c>
      <x:c r="O46" s="58" t="n">
        <x:v>11.312425880546812</x:v>
      </x:c>
      <x:c r="P46" s="58" t="n">
        <x:v>0.005820547694259659</x:v>
      </x:c>
      <x:c r="Q46" s="58" t="n">
        <x:v>0.006259080195468059</x:v>
      </x:c>
      <x:c r="R46" s="58" t="n">
        <x:v>0.006259080195468059</x:v>
      </x:c>
      <x:c r="S46" s="58" t="str">
        <x:v>2.5337788100714476</x:v>
      </x:c>
      <x:c r="T46" s="58" t="str">
        <x:v>0.00045454545454545455</x:v>
      </x:c>
      <x:c r="U46" s="58" t="n">
        <x:v>0.574892648819556</x:v>
      </x:c>
      <x:c r="V46" s="58" t="n">
        <x:v>0.1572885629220031</x:v>
      </x:c>
      <x:c r="W46" s="58" t="n">
        <x:v>0.03874175847394232</x:v>
      </x:c>
      <x:c r="X46" s="59" t="n">
        <x:v>0.02656150611627845</x:v>
      </x:c>
    </x:row>
    <x:row r="47">
      <x:c r="A47" s="57" t="str">
        <x:v>S08_MDO</x:v>
      </x:c>
      <x:c r="B47" s="58" t="str">
        <x:v>S02</x:v>
      </x:c>
      <x:c r="C47" s="58" t="str">
        <x:v>SQUAT</x:v>
      </x:c>
      <x:c r="D47" s="58" t="str"/>
      <x:c r="E47" s="58" t="n">
        <x:v>1</x:v>
      </x:c>
      <x:c r="F47" s="58" t="n">
        <x:v>503.17</x:v>
      </x:c>
      <x:c r="G47" s="58" t="n">
        <x:v>553.17</x:v>
      </x:c>
      <x:c r="H47" s="58" t="n">
        <x:v>50</x:v>
      </x:c>
      <x:c r="I47" s="58" t="n">
        <x:v>11.753087734905593</x:v>
      </x:c>
      <x:c r="J47" s="58" t="str">
        <x:v>33</x:v>
      </x:c>
      <x:c r="K47" s="58" t="str">
        <x:v>82</x:v>
      </x:c>
      <x:c r="L47" s="58" t="n">
        <x:v>-0.7367541011617476</x:v>
      </x:c>
      <x:c r="M47" s="58" t="n">
        <x:v>31.407981053911527</x:v>
      </x:c>
      <x:c r="N47" s="58" t="n">
        <x:v>31.4184028964185</x:v>
      </x:c>
      <x:c r="O47" s="58" t="n">
        <x:v>31.407981053911527</x:v>
      </x:c>
      <x:c r="P47" s="58" t="n">
        <x:v>19.665315161512908</x:v>
      </x:c>
      <x:c r="Q47" s="58" t="n">
        <x:v>19.654893319005936</x:v>
      </x:c>
      <x:c r="R47" s="58" t="n">
        <x:v>19.654893319005936</x:v>
      </x:c>
      <x:c r="S47" s="58" t="str">
        <x:v>1.1024897717896054</x:v>
      </x:c>
      <x:c r="T47" s="58" t="str">
        <x:v>0.002</x:v>
      </x:c>
      <x:c r="U47" s="58" t="n">
        <x:v>0.763193309528307</x:v>
      </x:c>
      <x:c r="V47" s="58" t="n">
        <x:v>0.08971530412120564</x:v>
      </x:c>
      <x:c r="W47" s="58" t="n">
        <x:v>0.3736400482736416</x:v>
      </x:c>
      <x:c r="X47" s="59" t="n">
        <x:v>0.07587107317531636</x:v>
      </x:c>
    </x:row>
    <x:row r="48">
      <x:c r="A48" s="57" t="str">
        <x:v>S08_MDO</x:v>
      </x:c>
      <x:c r="B48" s="58" t="str">
        <x:v>S02</x:v>
      </x:c>
      <x:c r="C48" s="58" t="str">
        <x:v>SQUAT</x:v>
      </x:c>
      <x:c r="D48" s="58" t="str"/>
      <x:c r="E48" s="58" t="n">
        <x:v>2</x:v>
      </x:c>
      <x:c r="F48" s="58" t="n">
        <x:v>503.17</x:v>
      </x:c>
      <x:c r="G48" s="58" t="n">
        <x:v>553.17</x:v>
      </x:c>
      <x:c r="H48" s="58" t="n">
        <x:v>50</x:v>
      </x:c>
      <x:c r="I48" s="58" t="n">
        <x:v>11.753087734905593</x:v>
      </x:c>
      <x:c r="J48" s="58" t="str">
        <x:v>85</x:v>
      </x:c>
      <x:c r="K48" s="58" t="str"/>
      <x:c r="L48" s="58" t="str"/>
      <x:c r="M48" s="58" t="n">
        <x:v>11.81053063120179</x:v>
      </x:c>
      <x:c r="N48" s="58" t="n">
        <x:v>11.811306256014195</x:v>
      </x:c>
      <x:c r="O48" s="58" t="n">
        <x:v>11.81053063120179</x:v>
      </x:c>
      <x:c r="P48" s="58" t="n">
        <x:v>0.058218521108601706</x:v>
      </x:c>
      <x:c r="Q48" s="58" t="n">
        <x:v>0.057442896296196366</x:v>
      </x:c>
      <x:c r="R48" s="58" t="n">
        <x:v>0.057442896296196366</x:v>
      </x:c>
      <x:c r="S48" s="58" t="str">
        <x:v>1.2431846323145237</x:v>
      </x:c>
      <x:c r="T48" s="58" t="str">
        <x:v>0.0335</x:v>
      </x:c>
      <x:c r="U48" s="58" t="n">
        <x:v>0.8157193054272353</x:v>
      </x:c>
      <x:c r="V48" s="58" t="n">
        <x:v>0.07786956621535711</x:v>
      </x:c>
      <x:c r="W48" s="58" t="n">
        <x:v>0.04685510426690326</x:v>
      </x:c>
      <x:c r="X48" s="59" t="n">
        <x:v>0.0933885345805278</x:v>
      </x:c>
    </x:row>
    <x:row r="49">
      <x:c r="A49" s="57" t="str">
        <x:v>S08_MDO</x:v>
      </x:c>
      <x:c r="B49" s="58" t="str">
        <x:v>S02</x:v>
      </x:c>
      <x:c r="C49" s="58" t="str">
        <x:v>SQUAT</x:v>
      </x:c>
      <x:c r="D49" s="58" t="str"/>
      <x:c r="E49" s="58" t="n">
        <x:v>3</x:v>
      </x:c>
      <x:c r="F49" s="58" t="n">
        <x:v>503.17</x:v>
      </x:c>
      <x:c r="G49" s="58" t="n">
        <x:v>553.17</x:v>
      </x:c>
      <x:c r="H49" s="58" t="n">
        <x:v>50</x:v>
      </x:c>
      <x:c r="I49" s="58" t="n">
        <x:v>11.753087734905593</x:v>
      </x:c>
      <x:c r="J49" s="58" t="str">
        <x:v>30</x:v>
      </x:c>
      <x:c r="K49" s="58" t="str">
        <x:v>58</x:v>
      </x:c>
      <x:c r="L49" s="58" t="n">
        <x:v>0.4485683718366121</x:v>
      </x:c>
      <x:c r="M49" s="58" t="n">
        <x:v>12.149960091634824</x:v>
      </x:c>
      <x:c r="N49" s="58" t="n">
        <x:v>11.489405460082056</x:v>
      </x:c>
      <x:c r="O49" s="58" t="n">
        <x:v>12.149960091634824</x:v>
      </x:c>
      <x:c r="P49" s="58" t="n">
        <x:v>0.26368227482353745</x:v>
      </x:c>
      <x:c r="Q49" s="58" t="n">
        <x:v>0.39687235672923116</x:v>
      </x:c>
      <x:c r="R49" s="58" t="n">
        <x:v>0.39687235672923116</x:v>
      </x:c>
      <x:c r="S49" s="58" t="str">
        <x:v>0.8213203156553501</x:v>
      </x:c>
      <x:c r="T49" s="58" t="str">
        <x:v>0.039</x:v>
      </x:c>
      <x:c r="U49" s="58" t="n">
        <x:v>0.8923774864968782</x:v>
      </x:c>
      <x:c r="V49" s="58" t="n">
        <x:v>0.05504962153021756</x:v>
      </x:c>
      <x:c r="W49" s="58" t="n">
        <x:v>0.04149009100136761</x:v>
      </x:c>
      <x:c r="X49" s="59" t="n">
        <x:v>0.11934260381525164</x:v>
      </x:c>
    </x:row>
    <x:row r="50">
      <x:c r="A50" s="57" t="str">
        <x:v>S08_MDO</x:v>
      </x:c>
      <x:c r="B50" s="58" t="str">
        <x:v>S02</x:v>
      </x:c>
      <x:c r="C50" s="58" t="str">
        <x:v>POST_EXERCISE</x:v>
      </x:c>
      <x:c r="D50" s="58" t="str"/>
      <x:c r="E50" s="58" t="n">
        <x:v>1</x:v>
      </x:c>
      <x:c r="F50" s="58" t="n">
        <x:v>578.17</x:v>
      </x:c>
      <x:c r="G50" s="58" t="n">
        <x:v>628.17</x:v>
      </x:c>
      <x:c r="H50" s="58" t="n">
        <x:v>50</x:v>
      </x:c>
      <x:c r="I50" s="58" t="n">
        <x:v>28.269240448874818</x:v>
      </x:c>
      <x:c r="J50" s="58" t="str">
        <x:v>17</x:v>
      </x:c>
      <x:c r="K50" s="58" t="str">
        <x:v>13</x:v>
      </x:c>
      <x:c r="L50" s="58" t="n">
        <x:v>-0.8357305470418542</x:v>
      </x:c>
      <x:c r="M50" s="58" t="n">
        <x:v>28.333469500756784</x:v>
      </x:c>
      <x:c r="N50" s="58" t="n">
        <x:v>28.37330734837188</x:v>
      </x:c>
      <x:c r="O50" s="58" t="n">
        <x:v>28.333469500756784</x:v>
      </x:c>
      <x:c r="P50" s="58" t="n">
        <x:v>0.10406689949706305</x:v>
      </x:c>
      <x:c r="Q50" s="58" t="n">
        <x:v>0.06422905188196637</x:v>
      </x:c>
      <x:c r="R50" s="58" t="n">
        <x:v>0.06422905188196637</x:v>
      </x:c>
      <x:c r="S50" s="58" t="str">
        <x:v>2.0213073918928366</x:v>
      </x:c>
      <x:c r="T50" s="58" t="str">
        <x:v>0.0</x:v>
      </x:c>
      <x:c r="U50" s="58" t="n">
        <x:v>0.6965478306729693</x:v>
      </x:c>
      <x:c r="V50" s="58" t="n">
        <x:v>0.11484942407445732</x:v>
      </x:c>
      <x:c r="W50" s="58" t="n">
        <x:v>0.32288845580619807</x:v>
      </x:c>
      <x:c r="X50" s="59" t="n">
        <x:v>0.029752511604214632</x:v>
      </x:c>
    </x:row>
    <x:row r="51">
      <x:c r="A51" s="57" t="str">
        <x:v>S08_MDO</x:v>
      </x:c>
      <x:c r="B51" s="58" t="str">
        <x:v>S02</x:v>
      </x:c>
      <x:c r="C51" s="58" t="str">
        <x:v>POST_EXERCISE</x:v>
      </x:c>
      <x:c r="D51" s="58" t="str"/>
      <x:c r="E51" s="58" t="n">
        <x:v>2</x:v>
      </x:c>
      <x:c r="F51" s="58" t="n">
        <x:v>578.17</x:v>
      </x:c>
      <x:c r="G51" s="58" t="n">
        <x:v>628.17</x:v>
      </x:c>
      <x:c r="H51" s="58" t="n">
        <x:v>50</x:v>
      </x:c>
      <x:c r="I51" s="58" t="n">
        <x:v>28.269240448874818</x:v>
      </x:c>
      <x:c r="J51" s="58" t="str">
        <x:v>20</x:v>
      </x:c>
      <x:c r="K51" s="58" t="str">
        <x:v>69</x:v>
      </x:c>
      <x:c r="L51" s="58" t="n">
        <x:v>-0.566350800406886</x:v>
      </x:c>
      <x:c r="M51" s="58" t="n">
        <x:v>28.265085755721216</x:v>
      </x:c>
      <x:c r="N51" s="58" t="n">
        <x:v>28.236975331353246</x:v>
      </x:c>
      <x:c r="O51" s="58" t="n">
        <x:v>28.265085755721216</x:v>
      </x:c>
      <x:c r="P51" s="58" t="n">
        <x:v>0.032265117521571796</x:v>
      </x:c>
      <x:c r="Q51" s="58" t="n">
        <x:v>0.0041546931536018405</x:v>
      </x:c>
      <x:c r="R51" s="58" t="n">
        <x:v>0.0041546931536018405</x:v>
      </x:c>
      <x:c r="S51" s="58" t="str">
        <x:v>4.816573778007068</x:v>
      </x:c>
      <x:c r="T51" s="58" t="str">
        <x:v>0.005</x:v>
      </x:c>
      <x:c r="U51" s="58" t="n">
        <x:v>0.6472762722001858</x:v>
      </x:c>
      <x:c r="V51" s="58" t="n">
        <x:v>0.11549036502268105</x:v>
      </x:c>
      <x:c r="W51" s="58" t="n">
        <x:v>0.3206162555225541</x:v>
      </x:c>
      <x:c r="X51" s="59" t="n">
        <x:v>0.03365849726771007</x:v>
      </x:c>
    </x:row>
    <x:row r="52">
      <x:c r="A52" s="57" t="str">
        <x:v>S08_MDO</x:v>
      </x:c>
      <x:c r="B52" s="58" t="str">
        <x:v>S02</x:v>
      </x:c>
      <x:c r="C52" s="58" t="str">
        <x:v>POST_EXERCISE</x:v>
      </x:c>
      <x:c r="D52" s="58" t="str"/>
      <x:c r="E52" s="58" t="n">
        <x:v>3</x:v>
      </x:c>
      <x:c r="F52" s="58" t="n">
        <x:v>578.17</x:v>
      </x:c>
      <x:c r="G52" s="58" t="n">
        <x:v>628.17</x:v>
      </x:c>
      <x:c r="H52" s="58" t="n">
        <x:v>50</x:v>
      </x:c>
      <x:c r="I52" s="58" t="n">
        <x:v>28.269240448874818</x:v>
      </x:c>
      <x:c r="J52" s="58" t="str">
        <x:v>42</x:v>
      </x:c>
      <x:c r="K52" s="58" t="str">
        <x:v>14</x:v>
      </x:c>
      <x:c r="L52" s="58" t="n">
        <x:v>-0.6774759864526804</x:v>
      </x:c>
      <x:c r="M52" s="58" t="n">
        <x:v>28.2492264641026</x:v>
      </x:c>
      <x:c r="N52" s="58" t="n">
        <x:v>28.21353271113405</x:v>
      </x:c>
      <x:c r="O52" s="58" t="n">
        <x:v>28.2492264641026</x:v>
      </x:c>
      <x:c r="P52" s="58" t="n">
        <x:v>0.05570773774076798</x:v>
      </x:c>
      <x:c r="Q52" s="58" t="n">
        <x:v>0.02001398477221983</x:v>
      </x:c>
      <x:c r="R52" s="58" t="n">
        <x:v>0.02001398477221983</x:v>
      </x:c>
      <x:c r="S52" s="58" t="str">
        <x:v>1.4107005020357026</x:v>
      </x:c>
      <x:c r="T52" s="58" t="str">
        <x:v>0.0</x:v>
      </x:c>
      <x:c r="U52" s="58" t="n">
        <x:v>0.715700176912119</x:v>
      </x:c>
      <x:c r="V52" s="58" t="n">
        <x:v>0.11593936989361574</x:v>
      </x:c>
      <x:c r="W52" s="58" t="n">
        <x:v>0.32022554518556756</x:v>
      </x:c>
      <x:c r="X52" s="59" t="n">
        <x:v>0.026002281082646912</x:v>
      </x:c>
    </x:row>
    <x:row r="53">
      <x:c r="A53" s="57" t="str">
        <x:v>S09_HDH</x:v>
      </x:c>
      <x:c r="B53" s="58" t="str">
        <x:v>S01</x:v>
      </x:c>
      <x:c r="C53" s="58" t="str">
        <x:v>FACE_R1</x:v>
      </x:c>
      <x:c r="D53" s="58" t="n">
        <x:v>1</x:v>
      </x:c>
      <x:c r="E53" s="58" t="n">
        <x:v>1</x:v>
      </x:c>
      <x:c r="F53" s="58" t="n">
        <x:v>28.37</x:v>
      </x:c>
      <x:c r="G53" s="58" t="n">
        <x:v>80.9</x:v>
      </x:c>
      <x:c r="H53" s="58" t="n">
        <x:v>52.53</x:v>
      </x:c>
      <x:c r="I53" s="58" t="n">
        <x:v>14.614891895336134</x:v>
      </x:c>
      <x:c r="J53" s="58" t="str">
        <x:v>72</x:v>
      </x:c>
      <x:c r="K53" s="58" t="str">
        <x:v>16</x:v>
      </x:c>
      <x:c r="L53" s="58" t="n">
        <x:v>0.7854248172702277</x:v>
      </x:c>
      <x:c r="M53" s="58" t="n">
        <x:v>14.676989020523655</x:v>
      </x:c>
      <x:c r="N53" s="58" t="n">
        <x:v>14.618189050345343</x:v>
      </x:c>
      <x:c r="O53" s="58" t="n">
        <x:v>14.676989020523655</x:v>
      </x:c>
      <x:c r="P53" s="58" t="n">
        <x:v>0.0032971550092089075</x:v>
      </x:c>
      <x:c r="Q53" s="58" t="n">
        <x:v>0.06209712518752042</x:v>
      </x:c>
      <x:c r="R53" s="58" t="n">
        <x:v>0.06209712518752042</x:v>
      </x:c>
      <x:c r="S53" s="58" t="str">
        <x:v>2.6858890173387238</x:v>
      </x:c>
      <x:c r="T53" s="58" t="str">
        <x:v>0.0009519276534983341</x:v>
      </x:c>
      <x:c r="U53" s="58" t="n">
        <x:v>0.6713221169209163</x:v>
      </x:c>
      <x:c r="V53" s="58" t="n">
        <x:v>0.13905694163666918</x:v>
      </x:c>
      <x:c r="W53" s="58" t="n">
        <x:v>0.0936364841724224</x:v>
      </x:c>
      <x:c r="X53" s="59" t="n">
        <x:v>0.03063947911234608</x:v>
      </x:c>
    </x:row>
    <x:row r="54">
      <x:c r="A54" s="57" t="str">
        <x:v>S09_HDH</x:v>
      </x:c>
      <x:c r="B54" s="58" t="str">
        <x:v>S01</x:v>
      </x:c>
      <x:c r="C54" s="58" t="str">
        <x:v>FACE_R1</x:v>
      </x:c>
      <x:c r="D54" s="58" t="n">
        <x:v>1</x:v>
      </x:c>
      <x:c r="E54" s="58" t="n">
        <x:v>2</x:v>
      </x:c>
      <x:c r="F54" s="58" t="n">
        <x:v>28.37</x:v>
      </x:c>
      <x:c r="G54" s="58" t="n">
        <x:v>80.9</x:v>
      </x:c>
      <x:c r="H54" s="58" t="n">
        <x:v>52.53</x:v>
      </x:c>
      <x:c r="I54" s="58" t="n">
        <x:v>14.614891895336134</x:v>
      </x:c>
      <x:c r="J54" s="58" t="str">
        <x:v>65</x:v>
      </x:c>
      <x:c r="K54" s="58" t="str">
        <x:v>79</x:v>
      </x:c>
      <x:c r="L54" s="58" t="n">
        <x:v>-0.7770161167102176</x:v>
      </x:c>
      <x:c r="M54" s="58" t="n">
        <x:v>14.617072873329459</x:v>
      </x:c>
      <x:c r="N54" s="58" t="n">
        <x:v>14.622822022144197</x:v>
      </x:c>
      <x:c r="O54" s="58" t="n">
        <x:v>14.617072873329459</x:v>
      </x:c>
      <x:c r="P54" s="58" t="n">
        <x:v>0.00793012680806271</x:v>
      </x:c>
      <x:c r="Q54" s="58" t="n">
        <x:v>0.0021809779933246176</x:v>
      </x:c>
      <x:c r="R54" s="58" t="n">
        <x:v>0.0021809779933246176</x:v>
      </x:c>
      <x:c r="S54" s="58" t="str">
        <x:v>1.8084954149343537</x:v>
      </x:c>
      <x:c r="T54" s="58" t="str">
        <x:v>0.0</x:v>
      </x:c>
      <x:c r="U54" s="58" t="n">
        <x:v>0.7552701144373004</x:v>
      </x:c>
      <x:c r="V54" s="58" t="n">
        <x:v>0.12564568433874068</x:v>
      </x:c>
      <x:c r="W54" s="58" t="n">
        <x:v>0.09371370036906995</x:v>
      </x:c>
      <x:c r="X54" s="59" t="n">
        <x:v>0.034236768523588625</x:v>
      </x:c>
    </x:row>
    <x:row r="55">
      <x:c r="A55" s="57" t="str">
        <x:v>S09_HDH</x:v>
      </x:c>
      <x:c r="B55" s="58" t="str">
        <x:v>S01</x:v>
      </x:c>
      <x:c r="C55" s="58" t="str">
        <x:v>FACE_R1</x:v>
      </x:c>
      <x:c r="D55" s="58" t="n">
        <x:v>1</x:v>
      </x:c>
      <x:c r="E55" s="58" t="n">
        <x:v>3</x:v>
      </x:c>
      <x:c r="F55" s="58" t="n">
        <x:v>28.37</x:v>
      </x:c>
      <x:c r="G55" s="58" t="n">
        <x:v>80.9</x:v>
      </x:c>
      <x:c r="H55" s="58" t="n">
        <x:v>52.53</x:v>
      </x:c>
      <x:c r="I55" s="58" t="n">
        <x:v>14.614891895336134</x:v>
      </x:c>
      <x:c r="J55" s="58" t="str">
        <x:v>15</x:v>
      </x:c>
      <x:c r="K55" s="58" t="str">
        <x:v>68</x:v>
      </x:c>
      <x:c r="L55" s="58" t="n">
        <x:v>-0.7316176768851934</x:v>
      </x:c>
      <x:c r="M55" s="58" t="n">
        <x:v>14.738565718312964</x:v>
      </x:c>
      <x:c r="N55" s="58" t="n">
        <x:v>14.722666455012051</x:v>
      </x:c>
      <x:c r="O55" s="58" t="n">
        <x:v>14.738565718312964</x:v>
      </x:c>
      <x:c r="P55" s="58" t="n">
        <x:v>0.1077745596759172</x:v>
      </x:c>
      <x:c r="Q55" s="58" t="n">
        <x:v>0.12367382297682994</x:v>
      </x:c>
      <x:c r="R55" s="58" t="n">
        <x:v>0.12367382297682994</x:v>
      </x:c>
      <x:c r="S55" s="58" t="str">
        <x:v>1.0030751632747161</x:v>
      </x:c>
      <x:c r="T55" s="58" t="str">
        <x:v>0.0</x:v>
      </x:c>
      <x:c r="U55" s="58" t="n">
        <x:v>0.8607465876095394</x:v>
      </x:c>
      <x:c r="V55" s="58" t="n">
        <x:v>0.08705911459449471</x:v>
      </x:c>
      <x:c r="W55" s="58" t="n">
        <x:v>0.09537777425020086</x:v>
      </x:c>
      <x:c r="X55" s="59" t="n">
        <x:v>0.025703263465456466</x:v>
      </x:c>
    </x:row>
    <x:row r="56">
      <x:c r="A56" s="57" t="str">
        <x:v>S09_HDH</x:v>
      </x:c>
      <x:c r="B56" s="58" t="str">
        <x:v>S01</x:v>
      </x:c>
      <x:c r="C56" s="58" t="str">
        <x:v>FACE_R2</x:v>
      </x:c>
      <x:c r="D56" s="58" t="n">
        <x:v>2</x:v>
      </x:c>
      <x:c r="E56" s="58" t="n">
        <x:v>1</x:v>
      </x:c>
      <x:c r="F56" s="58" t="n">
        <x:v>90.9</x:v>
      </x:c>
      <x:c r="G56" s="58" t="n">
        <x:v>141.9</x:v>
      </x:c>
      <x:c r="H56" s="58" t="n">
        <x:v>51</x:v>
      </x:c>
      <x:c r="I56" s="58" t="n">
        <x:v>16.80295708097985</x:v>
      </x:c>
      <x:c r="J56" s="58" t="str">
        <x:v>61</x:v>
      </x:c>
      <x:c r="K56" s="58" t="str">
        <x:v>69</x:v>
      </x:c>
      <x:c r="L56" s="58" t="n">
        <x:v>0.6493820379830705</x:v>
      </x:c>
      <x:c r="M56" s="58" t="n">
        <x:v>16.761511801111677</x:v>
      </x:c>
      <x:c r="N56" s="58" t="n">
        <x:v>16.929712395436265</x:v>
      </x:c>
      <x:c r="O56" s="58" t="n">
        <x:v>16.761511801111677</x:v>
      </x:c>
      <x:c r="P56" s="58" t="n">
        <x:v>0.12675531445641397</x:v>
      </x:c>
      <x:c r="Q56" s="58" t="n">
        <x:v>0.04144527986817437</x:v>
      </x:c>
      <x:c r="R56" s="58" t="n">
        <x:v>0.04144527986817437</x:v>
      </x:c>
      <x:c r="S56" s="58" t="str">
        <x:v>0.8522791616956759</x:v>
      </x:c>
      <x:c r="T56" s="58" t="str">
        <x:v>0.000980872976949485</x:v>
      </x:c>
      <x:c r="U56" s="58" t="n">
        <x:v>0.8139322758915546</x:v>
      </x:c>
      <x:c r="V56" s="58" t="n">
        <x:v>0.08614772314889456</x:v>
      </x:c>
      <x:c r="W56" s="58" t="n">
        <x:v>0.1321618732572711</x:v>
      </x:c>
      <x:c r="X56" s="59" t="n">
        <x:v>0.027165917403763618</x:v>
      </x:c>
    </x:row>
    <x:row r="57">
      <x:c r="A57" s="57" t="str">
        <x:v>S09_HDH</x:v>
      </x:c>
      <x:c r="B57" s="58" t="str">
        <x:v>S01</x:v>
      </x:c>
      <x:c r="C57" s="58" t="str">
        <x:v>FACE_R2</x:v>
      </x:c>
      <x:c r="D57" s="58" t="n">
        <x:v>2</x:v>
      </x:c>
      <x:c r="E57" s="58" t="n">
        <x:v>2</x:v>
      </x:c>
      <x:c r="F57" s="58" t="n">
        <x:v>90.9</x:v>
      </x:c>
      <x:c r="G57" s="58" t="n">
        <x:v>141.9</x:v>
      </x:c>
      <x:c r="H57" s="58" t="n">
        <x:v>51</x:v>
      </x:c>
      <x:c r="I57" s="58" t="n">
        <x:v>16.80295708097985</x:v>
      </x:c>
      <x:c r="J57" s="58" t="str">
        <x:v>65</x:v>
      </x:c>
      <x:c r="K57" s="58" t="str">
        <x:v>25</x:v>
      </x:c>
      <x:c r="L57" s="58" t="n">
        <x:v>0.6521748463123165</x:v>
      </x:c>
      <x:c r="M57" s="58" t="n">
        <x:v>16.59218530378646</x:v>
      </x:c>
      <x:c r="N57" s="58" t="n">
        <x:v>17.165255858630353</x:v>
      </x:c>
      <x:c r="O57" s="58" t="n">
        <x:v>16.59218530378646</x:v>
      </x:c>
      <x:c r="P57" s="58" t="n">
        <x:v>0.36229877765050134</x:v>
      </x:c>
      <x:c r="Q57" s="58" t="n">
        <x:v>0.2107717771933899</x:v>
      </x:c>
      <x:c r="R57" s="58" t="n">
        <x:v>0.2107717771933899</x:v>
      </x:c>
      <x:c r="S57" s="58" t="str">
        <x:v>0.8536371167708448</x:v>
      </x:c>
      <x:c r="T57" s="58" t="str">
        <x:v>0.0</x:v>
      </x:c>
      <x:c r="U57" s="58" t="n">
        <x:v>0.8244887705796903</x:v>
      </x:c>
      <x:c r="V57" s="58" t="n">
        <x:v>0.06823237435416414</x:v>
      </x:c>
      <x:c r="W57" s="58" t="n">
        <x:v>0.13608759764383924</x:v>
      </x:c>
      <x:c r="X57" s="59" t="n">
        <x:v>0.028333323844759426</x:v>
      </x:c>
    </x:row>
    <x:row r="58">
      <x:c r="A58" s="57" t="str">
        <x:v>S09_HDH</x:v>
      </x:c>
      <x:c r="B58" s="58" t="str">
        <x:v>S01</x:v>
      </x:c>
      <x:c r="C58" s="58" t="str">
        <x:v>FACE_R2</x:v>
      </x:c>
      <x:c r="D58" s="58" t="n">
        <x:v>2</x:v>
      </x:c>
      <x:c r="E58" s="58" t="n">
        <x:v>3</x:v>
      </x:c>
      <x:c r="F58" s="58" t="n">
        <x:v>90.9</x:v>
      </x:c>
      <x:c r="G58" s="58" t="n">
        <x:v>141.9</x:v>
      </x:c>
      <x:c r="H58" s="58" t="n">
        <x:v>51</x:v>
      </x:c>
      <x:c r="I58" s="58" t="n">
        <x:v>16.80295708097985</x:v>
      </x:c>
      <x:c r="J58" s="58" t="str">
        <x:v>31</x:v>
      </x:c>
      <x:c r="K58" s="58" t="str">
        <x:v>77</x:v>
      </x:c>
      <x:c r="L58" s="58" t="n">
        <x:v>0.8376662109031531</x:v>
      </x:c>
      <x:c r="M58" s="58" t="n">
        <x:v>16.532136029193573</x:v>
      </x:c>
      <x:c r="N58" s="58" t="n">
        <x:v>16.601414404600906</x:v>
      </x:c>
      <x:c r="O58" s="58" t="n">
        <x:v>16.532136029193573</x:v>
      </x:c>
      <x:c r="P58" s="58" t="n">
        <x:v>0.20154267637894563</x:v>
      </x:c>
      <x:c r="Q58" s="58" t="n">
        <x:v>0.27082105178627813</x:v>
      </x:c>
      <x:c r="R58" s="58" t="n">
        <x:v>0.27082105178627813</x:v>
      </x:c>
      <x:c r="S58" s="58" t="str">
        <x:v>1.608099563116676</x:v>
      </x:c>
      <x:c r="T58" s="58" t="str">
        <x:v>0.00392349190779794</x:v>
      </x:c>
      <x:c r="U58" s="58" t="n">
        <x:v>0.7713995250381233</x:v>
      </x:c>
      <x:c r="V58" s="58" t="n">
        <x:v>0.10171088592579819</x:v>
      </x:c>
      <x:c r="W58" s="58" t="n">
        <x:v>0.12669024007668175</x:v>
      </x:c>
      <x:c r="X58" s="59" t="n">
        <x:v>0.02172538616811201</x:v>
      </x:c>
    </x:row>
    <x:row r="59">
      <x:c r="A59" s="57" t="str">
        <x:v>S09_HDH</x:v>
      </x:c>
      <x:c r="B59" s="58" t="str">
        <x:v>S01</x:v>
      </x:c>
      <x:c r="C59" s="58" t="str">
        <x:v>FACE_R3</x:v>
      </x:c>
      <x:c r="D59" s="58" t="n">
        <x:v>3</x:v>
      </x:c>
      <x:c r="E59" s="58" t="n">
        <x:v>1</x:v>
      </x:c>
      <x:c r="F59" s="58" t="n">
        <x:v>151.9</x:v>
      </x:c>
      <x:c r="G59" s="58" t="n">
        <x:v>204.824</x:v>
      </x:c>
      <x:c r="H59" s="58" t="n">
        <x:v>52.924</x:v>
      </x:c>
      <x:c r="I59" s="58" t="n">
        <x:v>18.045672503272286</x:v>
      </x:c>
      <x:c r="J59" s="58" t="str">
        <x:v>11</x:v>
      </x:c>
      <x:c r="K59" s="58" t="str">
        <x:v>72</x:v>
      </x:c>
      <x:c r="L59" s="58" t="n">
        <x:v>0.8810066905956432</x:v>
      </x:c>
      <x:c r="M59" s="58" t="n">
        <x:v>18.232616764067096</x:v>
      </x:c>
      <x:c r="N59" s="58" t="n">
        <x:v>18.179114723006606</x:v>
      </x:c>
      <x:c r="O59" s="58" t="n">
        <x:v>18.232616764067096</x:v>
      </x:c>
      <x:c r="P59" s="58" t="n">
        <x:v>0.13344221973432013</x:v>
      </x:c>
      <x:c r="Q59" s="58" t="n">
        <x:v>0.1869442607948102</x:v>
      </x:c>
      <x:c r="R59" s="58" t="n">
        <x:v>0.1869442607948102</x:v>
      </x:c>
      <x:c r="S59" s="58" t="str">
        <x:v>1.0257635498581779</x:v>
      </x:c>
      <x:c r="T59" s="58" t="str">
        <x:v>0.0</x:v>
      </x:c>
      <x:c r="U59" s="58" t="n">
        <x:v>0.785250005492104</x:v>
      </x:c>
      <x:c r="V59" s="58" t="n">
        <x:v>0.11506130351186246</x:v>
      </x:c>
      <x:c r="W59" s="58" t="n">
        <x:v>0.1529852453834434</x:v>
      </x:c>
      <x:c r="X59" s="59" t="n">
        <x:v>0.025937237773582332</x:v>
      </x:c>
    </x:row>
    <x:row r="60">
      <x:c r="A60" s="57" t="str">
        <x:v>S09_HDH</x:v>
      </x:c>
      <x:c r="B60" s="58" t="str">
        <x:v>S01</x:v>
      </x:c>
      <x:c r="C60" s="58" t="str">
        <x:v>FACE_R3</x:v>
      </x:c>
      <x:c r="D60" s="58" t="n">
        <x:v>3</x:v>
      </x:c>
      <x:c r="E60" s="58" t="n">
        <x:v>2</x:v>
      </x:c>
      <x:c r="F60" s="58" t="n">
        <x:v>151.9</x:v>
      </x:c>
      <x:c r="G60" s="58" t="n">
        <x:v>204.824</x:v>
      </x:c>
      <x:c r="H60" s="58" t="n">
        <x:v>52.924</x:v>
      </x:c>
      <x:c r="I60" s="58" t="n">
        <x:v>18.045672503272286</x:v>
      </x:c>
      <x:c r="J60" s="58" t="str">
        <x:v>17</x:v>
      </x:c>
      <x:c r="K60" s="58" t="str">
        <x:v>77</x:v>
      </x:c>
      <x:c r="L60" s="58" t="n">
        <x:v>0.552131239826128</x:v>
      </x:c>
      <x:c r="M60" s="58" t="n">
        <x:v>18.103930421919458</x:v>
      </x:c>
      <x:c r="N60" s="58" t="n">
        <x:v>18.02487683397302</x:v>
      </x:c>
      <x:c r="O60" s="58" t="n">
        <x:v>18.103930421919458</x:v>
      </x:c>
      <x:c r="P60" s="58" t="n">
        <x:v>0.020795669299264574</x:v>
      </x:c>
      <x:c r="Q60" s="58" t="n">
        <x:v>0.05825791864717189</x:v>
      </x:c>
      <x:c r="R60" s="58" t="n">
        <x:v>0.05825791864717189</x:v>
      </x:c>
      <x:c r="S60" s="58" t="str">
        <x:v>0.9743835694573372</x:v>
      </x:c>
      <x:c r="T60" s="58" t="str">
        <x:v>0.005198487712665407</x:v>
      </x:c>
      <x:c r="U60" s="58" t="n">
        <x:v>0.8249182767483565</x:v>
      </x:c>
      <x:c r="V60" s="58" t="n">
        <x:v>0.08117213691616168</x:v>
      </x:c>
      <x:c r="W60" s="58" t="n">
        <x:v>0.15041461389955038</x:v>
      </x:c>
      <x:c r="X60" s="59" t="n">
        <x:v>0.028696222899824646</x:v>
      </x:c>
    </x:row>
    <x:row r="61">
      <x:c r="A61" s="57" t="str">
        <x:v>S09_HDH</x:v>
      </x:c>
      <x:c r="B61" s="58" t="str">
        <x:v>S01</x:v>
      </x:c>
      <x:c r="C61" s="58" t="str">
        <x:v>FACE_R3</x:v>
      </x:c>
      <x:c r="D61" s="58" t="n">
        <x:v>3</x:v>
      </x:c>
      <x:c r="E61" s="58" t="n">
        <x:v>3</x:v>
      </x:c>
      <x:c r="F61" s="58" t="n">
        <x:v>151.9</x:v>
      </x:c>
      <x:c r="G61" s="58" t="n">
        <x:v>204.824</x:v>
      </x:c>
      <x:c r="H61" s="58" t="n">
        <x:v>52.924</x:v>
      </x:c>
      <x:c r="I61" s="58" t="n">
        <x:v>18.045672503272286</x:v>
      </x:c>
      <x:c r="J61" s="58" t="str">
        <x:v>29</x:v>
      </x:c>
      <x:c r="K61" s="58" t="str">
        <x:v>12</x:v>
      </x:c>
      <x:c r="L61" s="58" t="n">
        <x:v>0.39378429286499184</x:v>
      </x:c>
      <x:c r="M61" s="58" t="n">
        <x:v>17.971573438868457</x:v>
      </x:c>
      <x:c r="N61" s="58" t="n">
        <x:v>17.895893553241436</x:v>
      </x:c>
      <x:c r="O61" s="58" t="n">
        <x:v>17.971573438868457</x:v>
      </x:c>
      <x:c r="P61" s="58" t="n">
        <x:v>0.14977895003084996</x:v>
      </x:c>
      <x:c r="Q61" s="58" t="n">
        <x:v>0.07409906440382841</x:v>
      </x:c>
      <x:c r="R61" s="58" t="n">
        <x:v>0.07409906440382841</x:v>
      </x:c>
      <x:c r="S61" s="58" t="str">
        <x:v>1.1798126325384095</x:v>
      </x:c>
      <x:c r="T61" s="58" t="str">
        <x:v>0.0</x:v>
      </x:c>
      <x:c r="U61" s="58" t="n">
        <x:v>0.7994036328660212</x:v>
      </x:c>
      <x:c r="V61" s="58" t="n">
        <x:v>0.11458182405203549</x:v>
      </x:c>
      <x:c r="W61" s="58" t="n">
        <x:v>0.14826489255402395</x:v>
      </x:c>
      <x:c r="X61" s="59" t="n">
        <x:v>0.021140725388463892</x:v>
      </x:c>
    </x:row>
    <x:row r="62">
      <x:c r="A62" s="57" t="str">
        <x:v>S09_HDH</x:v>
      </x:c>
      <x:c r="B62" s="58" t="str">
        <x:v>S02</x:v>
      </x:c>
      <x:c r="C62" s="58" t="str">
        <x:v>NORMAL</x:v>
      </x:c>
      <x:c r="D62" s="58" t="str"/>
      <x:c r="E62" s="58" t="n">
        <x:v>1</x:v>
      </x:c>
      <x:c r="F62" s="58" t="n">
        <x:v>284.862</x:v>
      </x:c>
      <x:c r="G62" s="58" t="n">
        <x:v>334.862</x:v>
      </x:c>
      <x:c r="H62" s="58" t="n">
        <x:v>50</x:v>
      </x:c>
      <x:c r="I62" s="58" t="n">
        <x:v>16.255141357535816</x:v>
      </x:c>
      <x:c r="J62" s="58" t="str">
        <x:v>60</x:v>
      </x:c>
      <x:c r="K62" s="58" t="str">
        <x:v>30</x:v>
      </x:c>
      <x:c r="L62" s="58" t="n">
        <x:v>0.872170119725684</x:v>
      </x:c>
      <x:c r="M62" s="58" t="n">
        <x:v>16.008600914962155</x:v>
      </x:c>
      <x:c r="N62" s="58" t="n">
        <x:v>16.095194562342694</x:v>
      </x:c>
      <x:c r="O62" s="58" t="n">
        <x:v>16.008600914962155</x:v>
      </x:c>
      <x:c r="P62" s="58" t="n">
        <x:v>0.15994679519312172</x:v>
      </x:c>
      <x:c r="Q62" s="58" t="n">
        <x:v>0.2465404425736608</x:v>
      </x:c>
      <x:c r="R62" s="58" t="n">
        <x:v>0.2465404425736608</x:v>
      </x:c>
      <x:c r="S62" s="58" t="str">
        <x:v>2.7972680481601335</x:v>
      </x:c>
      <x:c r="T62" s="58" t="str">
        <x:v>0.0</x:v>
      </x:c>
      <x:c r="U62" s="58" t="n">
        <x:v>0.6839912797409662</x:v>
      </x:c>
      <x:c r="V62" s="58" t="n">
        <x:v>0.12335492167675041</x:v>
      </x:c>
      <x:c r="W62" s="58" t="n">
        <x:v>0.11825324270571155</x:v>
      </x:c>
      <x:c r="X62" s="59" t="n">
        <x:v>0.02588152840099387</x:v>
      </x:c>
    </x:row>
    <x:row r="63">
      <x:c r="A63" s="57" t="str">
        <x:v>S09_HDH</x:v>
      </x:c>
      <x:c r="B63" s="58" t="str">
        <x:v>S02</x:v>
      </x:c>
      <x:c r="C63" s="58" t="str">
        <x:v>NORMAL</x:v>
      </x:c>
      <x:c r="D63" s="58" t="str"/>
      <x:c r="E63" s="58" t="n">
        <x:v>2</x:v>
      </x:c>
      <x:c r="F63" s="58" t="n">
        <x:v>284.862</x:v>
      </x:c>
      <x:c r="G63" s="58" t="n">
        <x:v>334.862</x:v>
      </x:c>
      <x:c r="H63" s="58" t="n">
        <x:v>50</x:v>
      </x:c>
      <x:c r="I63" s="58" t="n">
        <x:v>16.255141357535816</x:v>
      </x:c>
      <x:c r="J63" s="58" t="str">
        <x:v>65</x:v>
      </x:c>
      <x:c r="K63" s="58" t="str">
        <x:v>70</x:v>
      </x:c>
      <x:c r="L63" s="58" t="n">
        <x:v>-0.5995669312331322</x:v>
      </x:c>
      <x:c r="M63" s="58" t="n">
        <x:v>16.067042921438542</x:v>
      </x:c>
      <x:c r="N63" s="58" t="n">
        <x:v>16.128092183013838</x:v>
      </x:c>
      <x:c r="O63" s="58" t="n">
        <x:v>16.067042921438542</x:v>
      </x:c>
      <x:c r="P63" s="58" t="n">
        <x:v>0.12704917452197861</x:v>
      </x:c>
      <x:c r="Q63" s="58" t="n">
        <x:v>0.18809843609727395</x:v>
      </x:c>
      <x:c r="R63" s="58" t="n">
        <x:v>0.18809843609727395</x:v>
      </x:c>
      <x:c r="S63" s="58" t="str">
        <x:v>1.7167837580766911</x:v>
      </x:c>
      <x:c r="T63" s="58" t="str">
        <x:v>0.001</x:v>
      </x:c>
      <x:c r="U63" s="58" t="n">
        <x:v>0.7351930796650532</x:v>
      </x:c>
      <x:c r="V63" s="58" t="n">
        <x:v>0.12800757150522538</x:v>
      </x:c>
      <x:c r="W63" s="58" t="n">
        <x:v>0.11880153638356397</x:v>
      </x:c>
      <x:c r="X63" s="59" t="n">
        <x:v>0.02535937581008909</x:v>
      </x:c>
    </x:row>
    <x:row r="64">
      <x:c r="A64" s="57" t="str">
        <x:v>S09_HDH</x:v>
      </x:c>
      <x:c r="B64" s="58" t="str">
        <x:v>S02</x:v>
      </x:c>
      <x:c r="C64" s="58" t="str">
        <x:v>NORMAL</x:v>
      </x:c>
      <x:c r="D64" s="58" t="str"/>
      <x:c r="E64" s="58" t="n">
        <x:v>3</x:v>
      </x:c>
      <x:c r="F64" s="58" t="n">
        <x:v>284.862</x:v>
      </x:c>
      <x:c r="G64" s="58" t="n">
        <x:v>334.862</x:v>
      </x:c>
      <x:c r="H64" s="58" t="n">
        <x:v>50</x:v>
      </x:c>
      <x:c r="I64" s="58" t="n">
        <x:v>16.255141357535816</x:v>
      </x:c>
      <x:c r="J64" s="58" t="str">
        <x:v>65</x:v>
      </x:c>
      <x:c r="K64" s="58" t="str">
        <x:v>58</x:v>
      </x:c>
      <x:c r="L64" s="58" t="n">
        <x:v>0.8840790395454452</x:v>
      </x:c>
      <x:c r="M64" s="58" t="n">
        <x:v>16.168286183900477</x:v>
      </x:c>
      <x:c r="N64" s="58" t="n">
        <x:v>16.190135869959555</x:v>
      </x:c>
      <x:c r="O64" s="58" t="n">
        <x:v>16.168286183900477</x:v>
      </x:c>
      <x:c r="P64" s="58" t="n">
        <x:v>0.06500548757626134</x:v>
      </x:c>
      <x:c r="Q64" s="58" t="n">
        <x:v>0.0868551736353389</x:v>
      </x:c>
      <x:c r="R64" s="58" t="n">
        <x:v>0.0868551736353389</x:v>
      </x:c>
      <x:c r="S64" s="58" t="str">
        <x:v>1.6908144064875241</x:v>
      </x:c>
      <x:c r="T64" s="58" t="str">
        <x:v>0.0</x:v>
      </x:c>
      <x:c r="U64" s="58" t="n">
        <x:v>0.7023458757064439</x:v>
      </x:c>
      <x:c r="V64" s="58" t="n">
        <x:v>0.1357632293853475</x:v>
      </x:c>
      <x:c r="W64" s="58" t="n">
        <x:v>0.11983559783265926</x:v>
      </x:c>
      <x:c r="X64" s="59" t="n">
        <x:v>0.02303995642218292</x:v>
      </x:c>
    </x:row>
    <x:row r="65">
      <x:c r="A65" s="57" t="str">
        <x:v>S09_HDH</x:v>
      </x:c>
      <x:c r="B65" s="58" t="str">
        <x:v>S02</x:v>
      </x:c>
      <x:c r="C65" s="58" t="str">
        <x:v>SLOW</x:v>
      </x:c>
      <x:c r="D65" s="58" t="str"/>
      <x:c r="E65" s="58" t="n">
        <x:v>1</x:v>
      </x:c>
      <x:c r="F65" s="58" t="n">
        <x:v>344.862</x:v>
      </x:c>
      <x:c r="G65" s="58" t="n">
        <x:v>394.862</x:v>
      </x:c>
      <x:c r="H65" s="58" t="n">
        <x:v>50</x:v>
      </x:c>
      <x:c r="I65" s="58" t="n">
        <x:v>6.1271073947649475</x:v>
      </x:c>
      <x:c r="J65" s="58" t="str">
        <x:v>14</x:v>
      </x:c>
      <x:c r="K65" s="58" t="str">
        <x:v>64</x:v>
      </x:c>
      <x:c r="L65" s="58" t="n">
        <x:v>0.6934047879992362</x:v>
      </x:c>
      <x:c r="M65" s="58" t="n">
        <x:v>6.007542606888881</x:v>
      </x:c>
      <x:c r="N65" s="58" t="n">
        <x:v>5.987316800991805</x:v>
      </x:c>
      <x:c r="O65" s="58" t="n">
        <x:v>6.007542606888881</x:v>
      </x:c>
      <x:c r="P65" s="58" t="n">
        <x:v>0.1397905937731423</x:v>
      </x:c>
      <x:c r="Q65" s="58" t="n">
        <x:v>0.11956478787606617</x:v>
      </x:c>
      <x:c r="R65" s="58" t="n">
        <x:v>0.11956478787606617</x:v>
      </x:c>
      <x:c r="S65" s="58" t="str">
        <x:v>4.064880944523058</x:v>
      </x:c>
      <x:c r="T65" s="58" t="str">
        <x:v>0.002</x:v>
      </x:c>
      <x:c r="U65" s="58" t="n">
        <x:v>0.6543419016984968</x:v>
      </x:c>
      <x:c r="V65" s="58" t="n">
        <x:v>0.12224896235511068</x:v>
      </x:c>
      <x:c r="W65" s="58" t="n">
        <x:v>0.029788613349863408</x:v>
      </x:c>
      <x:c r="X65" s="59" t="n">
        <x:v>0.027751209276713373</x:v>
      </x:c>
    </x:row>
    <x:row r="66">
      <x:c r="A66" s="57" t="str">
        <x:v>S09_HDH</x:v>
      </x:c>
      <x:c r="B66" s="58" t="str">
        <x:v>S02</x:v>
      </x:c>
      <x:c r="C66" s="58" t="str">
        <x:v>SLOW</x:v>
      </x:c>
      <x:c r="D66" s="58" t="str"/>
      <x:c r="E66" s="58" t="n">
        <x:v>2</x:v>
      </x:c>
      <x:c r="F66" s="58" t="n">
        <x:v>344.862</x:v>
      </x:c>
      <x:c r="G66" s="58" t="n">
        <x:v>394.862</x:v>
      </x:c>
      <x:c r="H66" s="58" t="n">
        <x:v>50</x:v>
      </x:c>
      <x:c r="I66" s="58" t="n">
        <x:v>6.1271073947649475</x:v>
      </x:c>
      <x:c r="J66" s="58" t="str">
        <x:v>68</x:v>
      </x:c>
      <x:c r="K66" s="58" t="str">
        <x:v>20</x:v>
      </x:c>
      <x:c r="L66" s="58" t="n">
        <x:v>0.7129129927302184</x:v>
      </x:c>
      <x:c r="M66" s="58" t="n">
        <x:v>5.781016144803104</x:v>
      </x:c>
      <x:c r="N66" s="58" t="n">
        <x:v>5.823198998462338</x:v>
      </x:c>
      <x:c r="O66" s="58" t="n">
        <x:v>5.781016144803104</x:v>
      </x:c>
      <x:c r="P66" s="58" t="n">
        <x:v>0.30390839630260924</x:v>
      </x:c>
      <x:c r="Q66" s="58" t="n">
        <x:v>0.3460912499618436</x:v>
      </x:c>
      <x:c r="R66" s="58" t="n">
        <x:v>0.3460912499618436</x:v>
      </x:c>
      <x:c r="S66" s="58" t="str">
        <x:v>2.5046709299016845</x:v>
      </x:c>
      <x:c r="T66" s="58" t="str">
        <x:v>0.007</x:v>
      </x:c>
      <x:c r="U66" s="58" t="n">
        <x:v>0.7075867999453114</x:v>
      </x:c>
      <x:c r="V66" s="58" t="n">
        <x:v>0.1363388601730764</x:v>
      </x:c>
      <x:c r="W66" s="58" t="n">
        <x:v>0.027053316641038966</x:v>
      </x:c>
      <x:c r="X66" s="59" t="n">
        <x:v>0.026802068797495672</x:v>
      </x:c>
    </x:row>
    <x:row r="67">
      <x:c r="A67" s="57" t="str">
        <x:v>S09_HDH</x:v>
      </x:c>
      <x:c r="B67" s="58" t="str">
        <x:v>S02</x:v>
      </x:c>
      <x:c r="C67" s="58" t="str">
        <x:v>SLOW</x:v>
      </x:c>
      <x:c r="D67" s="58" t="str"/>
      <x:c r="E67" s="58" t="n">
        <x:v>3</x:v>
      </x:c>
      <x:c r="F67" s="58" t="n">
        <x:v>344.862</x:v>
      </x:c>
      <x:c r="G67" s="58" t="n">
        <x:v>394.862</x:v>
      </x:c>
      <x:c r="H67" s="58" t="n">
        <x:v>50</x:v>
      </x:c>
      <x:c r="I67" s="58" t="n">
        <x:v>6.1271073947649475</x:v>
      </x:c>
      <x:c r="J67" s="58" t="str">
        <x:v>60</x:v>
      </x:c>
      <x:c r="K67" s="58" t="str">
        <x:v>78</x:v>
      </x:c>
      <x:c r="L67" s="58" t="n">
        <x:v>-0.8551230276737375</x:v>
      </x:c>
      <x:c r="M67" s="58" t="n">
        <x:v>6.012381692418402</x:v>
      </x:c>
      <x:c r="N67" s="58" t="n">
        <x:v>6.053437074343189</x:v>
      </x:c>
      <x:c r="O67" s="58" t="n">
        <x:v>6.012381692418402</x:v>
      </x:c>
      <x:c r="P67" s="58" t="n">
        <x:v>0.07367032042175836</x:v>
      </x:c>
      <x:c r="Q67" s="58" t="n">
        <x:v>0.11472570234654533</x:v>
      </x:c>
      <x:c r="R67" s="58" t="n">
        <x:v>0.11472570234654533</x:v>
      </x:c>
      <x:c r="S67" s="58" t="str">
        <x:v>4.105847728110096</x:v>
      </x:c>
      <x:c r="T67" s="58" t="str">
        <x:v>0.002</x:v>
      </x:c>
      <x:c r="U67" s="58" t="n">
        <x:v>0.7081454976016643</x:v>
      </x:c>
      <x:c r="V67" s="58" t="n">
        <x:v>0.1332063998901793</x:v>
      </x:c>
      <x:c r="W67" s="58" t="n">
        <x:v>0.030890617905719814</x:v>
      </x:c>
      <x:c r="X67" s="59" t="n">
        <x:v>0.021267029662660652</x:v>
      </x:c>
    </x:row>
    <x:row r="68">
      <x:c r="A68" s="57" t="str">
        <x:v>S09_HDH</x:v>
      </x:c>
      <x:c r="B68" s="58" t="str">
        <x:v>S02</x:v>
      </x:c>
      <x:c r="C68" s="58" t="str">
        <x:v>POST_HOLD</x:v>
      </x:c>
      <x:c r="D68" s="58" t="str"/>
      <x:c r="E68" s="58" t="n">
        <x:v>1</x:v>
      </x:c>
      <x:c r="F68" s="58" t="n">
        <x:v>434.862</x:v>
      </x:c>
      <x:c r="G68" s="58" t="n">
        <x:v>484.862</x:v>
      </x:c>
      <x:c r="H68" s="58" t="n">
        <x:v>50</x:v>
      </x:c>
      <x:c r="I68" s="58" t="n">
        <x:v>11.707695644442687</x:v>
      </x:c>
      <x:c r="J68" s="58" t="str">
        <x:v>12</x:v>
      </x:c>
      <x:c r="K68" s="58" t="str">
        <x:v>71</x:v>
      </x:c>
      <x:c r="L68" s="58" t="n">
        <x:v>-0.8258892462093274</x:v>
      </x:c>
      <x:c r="M68" s="58" t="n">
        <x:v>11.665543334883754</x:v>
      </x:c>
      <x:c r="N68" s="58" t="n">
        <x:v>11.669049323287378</x:v>
      </x:c>
      <x:c r="O68" s="58" t="n">
        <x:v>11.665543334883754</x:v>
      </x:c>
      <x:c r="P68" s="58" t="n">
        <x:v>0.03864632115530853</x:v>
      </x:c>
      <x:c r="Q68" s="58" t="n">
        <x:v>0.0421523095589329</x:v>
      </x:c>
      <x:c r="R68" s="58" t="n">
        <x:v>0.0421523095589329</x:v>
      </x:c>
      <x:c r="S68" s="58" t="str">
        <x:v>2.871511422672272</x:v>
      </x:c>
      <x:c r="T68" s="58" t="str">
        <x:v>0.0</x:v>
      </x:c>
      <x:c r="U68" s="58" t="n">
        <x:v>0.7415597839520286</x:v>
      </x:c>
      <x:c r="V68" s="58" t="n">
        <x:v>0.11702864467518118</x:v>
      </x:c>
      <x:c r="W68" s="58" t="n">
        <x:v>0.044484155388122976</x:v>
      </x:c>
      <x:c r="X68" s="59" t="n">
        <x:v>0.028283974406827384</x:v>
      </x:c>
    </x:row>
    <x:row r="69">
      <x:c r="A69" s="57" t="str">
        <x:v>S09_HDH</x:v>
      </x:c>
      <x:c r="B69" s="58" t="str">
        <x:v>S02</x:v>
      </x:c>
      <x:c r="C69" s="58" t="str">
        <x:v>POST_HOLD</x:v>
      </x:c>
      <x:c r="D69" s="58" t="str"/>
      <x:c r="E69" s="58" t="n">
        <x:v>2</x:v>
      </x:c>
      <x:c r="F69" s="58" t="n">
        <x:v>434.862</x:v>
      </x:c>
      <x:c r="G69" s="58" t="n">
        <x:v>484.862</x:v>
      </x:c>
      <x:c r="H69" s="58" t="n">
        <x:v>50</x:v>
      </x:c>
      <x:c r="I69" s="58" t="n">
        <x:v>11.707695644442687</x:v>
      </x:c>
      <x:c r="J69" s="58" t="str">
        <x:v>65</x:v>
      </x:c>
      <x:c r="K69" s="58" t="str">
        <x:v>21</x:v>
      </x:c>
      <x:c r="L69" s="58" t="n">
        <x:v>-0.5887787395992482</x:v>
      </x:c>
      <x:c r="M69" s="58" t="n">
        <x:v>11.70194291981765</x:v>
      </x:c>
      <x:c r="N69" s="58" t="n">
        <x:v>11.813246783119272</x:v>
      </x:c>
      <x:c r="O69" s="58" t="n">
        <x:v>11.70194291981765</x:v>
      </x:c>
      <x:c r="P69" s="58" t="n">
        <x:v>0.10555113867658505</x:v>
      </x:c>
      <x:c r="Q69" s="58" t="n">
        <x:v>0.00575272462503662</x:v>
      </x:c>
      <x:c r="R69" s="58" t="n">
        <x:v>0.00575272462503662</x:v>
      </x:c>
      <x:c r="S69" s="58" t="str">
        <x:v>2.4982624446024775</x:v>
      </x:c>
      <x:c r="T69" s="58" t="str">
        <x:v>0.0</x:v>
      </x:c>
      <x:c r="U69" s="58" t="n">
        <x:v>0.7380032129698497</x:v>
      </x:c>
      <x:c r="V69" s="58" t="n">
        <x:v>0.10843216895901578</x:v>
      </x:c>
      <x:c r="W69" s="58" t="n">
        <x:v>0.04688744638532119</x:v>
      </x:c>
      <x:c r="X69" s="59" t="n">
        <x:v>0.027563429595128537</x:v>
      </x:c>
    </x:row>
    <x:row r="70">
      <x:c r="A70" s="57" t="str">
        <x:v>S09_HDH</x:v>
      </x:c>
      <x:c r="B70" s="58" t="str">
        <x:v>S02</x:v>
      </x:c>
      <x:c r="C70" s="58" t="str">
        <x:v>POST_HOLD</x:v>
      </x:c>
      <x:c r="D70" s="58" t="str"/>
      <x:c r="E70" s="58" t="n">
        <x:v>3</x:v>
      </x:c>
      <x:c r="F70" s="58" t="n">
        <x:v>434.862</x:v>
      </x:c>
      <x:c r="G70" s="58" t="n">
        <x:v>484.862</x:v>
      </x:c>
      <x:c r="H70" s="58" t="n">
        <x:v>50</x:v>
      </x:c>
      <x:c r="I70" s="58" t="n">
        <x:v>11.707695644442687</x:v>
      </x:c>
      <x:c r="J70" s="58" t="str">
        <x:v>61</x:v>
      </x:c>
      <x:c r="K70" s="58" t="str">
        <x:v>68</x:v>
      </x:c>
      <x:c r="L70" s="58" t="n">
        <x:v>0.790903179303993</x:v>
      </x:c>
      <x:c r="M70" s="58" t="n">
        <x:v>11.662015641617486</x:v>
      </x:c>
      <x:c r="N70" s="58" t="n">
        <x:v>11.739367172287848</x:v>
      </x:c>
      <x:c r="O70" s="58" t="n">
        <x:v>11.662015641617486</x:v>
      </x:c>
      <x:c r="P70" s="58" t="n">
        <x:v>0.031671527845160696</x:v>
      </x:c>
      <x:c r="Q70" s="58" t="n">
        <x:v>0.04568000282520046</x:v>
      </x:c>
      <x:c r="R70" s="58" t="n">
        <x:v>0.04568000282520046</x:v>
      </x:c>
      <x:c r="S70" s="58" t="str">
        <x:v>2.4545247662424683</x:v>
      </x:c>
      <x:c r="T70" s="58" t="str">
        <x:v>0.0</x:v>
      </x:c>
      <x:c r="U70" s="58" t="n">
        <x:v>0.7234686974223167</x:v>
      </x:c>
      <x:c r="V70" s="58" t="n">
        <x:v>0.1137160655373605</x:v>
      </x:c>
      <x:c r="W70" s="58" t="n">
        <x:v>0.04565611953813081</x:v>
      </x:c>
      <x:c r="X70" s="59" t="n">
        <x:v>0.021947209384768445</x:v>
      </x:c>
    </x:row>
    <x:row r="71">
      <x:c r="A71" s="57" t="str">
        <x:v>S09_HDH</x:v>
      </x:c>
      <x:c r="B71" s="58" t="str">
        <x:v>S02</x:v>
      </x:c>
      <x:c r="C71" s="58" t="str">
        <x:v>SQUAT</x:v>
      </x:c>
      <x:c r="D71" s="58" t="str"/>
      <x:c r="E71" s="58" t="n">
        <x:v>1</x:v>
      </x:c>
      <x:c r="F71" s="58" t="n">
        <x:v>509.862</x:v>
      </x:c>
      <x:c r="G71" s="58" t="n">
        <x:v>559.862</x:v>
      </x:c>
      <x:c r="H71" s="58" t="n">
        <x:v>50</x:v>
      </x:c>
      <x:c r="I71" s="58" t="n">
        <x:v>16.489152799504264</x:v>
      </x:c>
      <x:c r="J71" s="58" t="str">
        <x:v>37</x:v>
      </x:c>
      <x:c r="K71" s="58" t="str">
        <x:v>83</x:v>
      </x:c>
      <x:c r="L71" s="58" t="n">
        <x:v>-0.5299172275137288</x:v>
      </x:c>
      <x:c r="M71" s="58" t="n">
        <x:v>16.648298783765597</x:v>
      </x:c>
      <x:c r="N71" s="58" t="n">
        <x:v>16.602771543963257</x:v>
      </x:c>
      <x:c r="O71" s="58" t="n">
        <x:v>16.648298783765597</x:v>
      </x:c>
      <x:c r="P71" s="58" t="n">
        <x:v>0.11361874445899289</x:v>
      </x:c>
      <x:c r="Q71" s="58" t="n">
        <x:v>0.15914598426133253</x:v>
      </x:c>
      <x:c r="R71" s="58" t="n">
        <x:v>0.15914598426133253</x:v>
      </x:c>
      <x:c r="S71" s="58" t="str">
        <x:v>2.234064436607377</x:v>
      </x:c>
      <x:c r="T71" s="58" t="str">
        <x:v>0.007</x:v>
      </x:c>
      <x:c r="U71" s="58" t="n">
        <x:v>0.7360639312601717</x:v>
      </x:c>
      <x:c r="V71" s="58" t="n">
        <x:v>0.11552435509646446</x:v>
      </x:c>
      <x:c r="W71" s="58" t="n">
        <x:v>0.1267128590660543</x:v>
      </x:c>
      <x:c r="X71" s="59" t="n">
        <x:v>0.08783661927151913</x:v>
      </x:c>
    </x:row>
    <x:row r="72">
      <x:c r="A72" s="57" t="str">
        <x:v>S09_HDH</x:v>
      </x:c>
      <x:c r="B72" s="58" t="str">
        <x:v>S02</x:v>
      </x:c>
      <x:c r="C72" s="58" t="str">
        <x:v>SQUAT</x:v>
      </x:c>
      <x:c r="D72" s="58" t="str"/>
      <x:c r="E72" s="58" t="n">
        <x:v>2</x:v>
      </x:c>
      <x:c r="F72" s="58" t="n">
        <x:v>509.862</x:v>
      </x:c>
      <x:c r="G72" s="58" t="n">
        <x:v>559.862</x:v>
      </x:c>
      <x:c r="H72" s="58" t="n">
        <x:v>50</x:v>
      </x:c>
      <x:c r="I72" s="58" t="n">
        <x:v>16.489152799504264</x:v>
      </x:c>
      <x:c r="J72" s="58" t="str">
        <x:v>88</x:v>
      </x:c>
      <x:c r="K72" s="58" t="str">
        <x:v>32</x:v>
      </x:c>
      <x:c r="L72" s="58" t="n">
        <x:v>0.75727781826528</x:v>
      </x:c>
      <x:c r="M72" s="58" t="n">
        <x:v>16.914417886259397</x:v>
      </x:c>
      <x:c r="N72" s="58" t="n">
        <x:v>16.875984926528727</x:v>
      </x:c>
      <x:c r="O72" s="58" t="n">
        <x:v>16.914417886259397</x:v>
      </x:c>
      <x:c r="P72" s="58" t="n">
        <x:v>0.3868321270244621</x:v>
      </x:c>
      <x:c r="Q72" s="58" t="n">
        <x:v>0.4252650867551324</x:v>
      </x:c>
      <x:c r="R72" s="58" t="n">
        <x:v>0.4252650867551324</x:v>
      </x:c>
      <x:c r="S72" s="58" t="str">
        <x:v>1.4260736000963983</x:v>
      </x:c>
      <x:c r="T72" s="58" t="str">
        <x:v>0.0</x:v>
      </x:c>
      <x:c r="U72" s="58" t="n">
        <x:v>0.7410206277519932</x:v>
      </x:c>
      <x:c r="V72" s="58" t="n">
        <x:v>0.11010239534272273</x:v>
      </x:c>
      <x:c r="W72" s="58" t="n">
        <x:v>0.13126641544214543</x:v>
      </x:c>
      <x:c r="X72" s="59" t="n">
        <x:v>0.07855694143498577</x:v>
      </x:c>
    </x:row>
    <x:row r="73">
      <x:c r="A73" s="57" t="str">
        <x:v>S09_HDH</x:v>
      </x:c>
      <x:c r="B73" s="58" t="str">
        <x:v>S02</x:v>
      </x:c>
      <x:c r="C73" s="58" t="str">
        <x:v>SQUAT</x:v>
      </x:c>
      <x:c r="D73" s="58" t="str"/>
      <x:c r="E73" s="58" t="n">
        <x:v>3</x:v>
      </x:c>
      <x:c r="F73" s="58" t="n">
        <x:v>509.862</x:v>
      </x:c>
      <x:c r="G73" s="58" t="n">
        <x:v>559.862</x:v>
      </x:c>
      <x:c r="H73" s="58" t="n">
        <x:v>50</x:v>
      </x:c>
      <x:c r="I73" s="58" t="n">
        <x:v>16.489152799504264</x:v>
      </x:c>
      <x:c r="J73" s="58" t="str">
        <x:v>32</x:v>
      </x:c>
      <x:c r="K73" s="58" t="str">
        <x:v>11</x:v>
      </x:c>
      <x:c r="L73" s="58" t="n">
        <x:v>-0.8094722704636752</x:v>
      </x:c>
      <x:c r="M73" s="58" t="n">
        <x:v>16.78468713918341</x:v>
      </x:c>
      <x:c r="N73" s="58" t="n">
        <x:v>16.736255602229456</x:v>
      </x:c>
      <x:c r="O73" s="58" t="n">
        <x:v>16.78468713918341</x:v>
      </x:c>
      <x:c r="P73" s="58" t="n">
        <x:v>0.24710280272519114</x:v>
      </x:c>
      <x:c r="Q73" s="58" t="n">
        <x:v>0.295534339679147</x:v>
      </x:c>
      <x:c r="R73" s="58" t="n">
        <x:v>0.295534339679147</x:v>
      </x:c>
      <x:c r="S73" s="58" t="str">
        <x:v>3.109965003371318</x:v>
      </x:c>
      <x:c r="T73" s="58" t="str">
        <x:v>0.0</x:v>
      </x:c>
      <x:c r="U73" s="58" t="n">
        <x:v>0.7035080012556197</x:v>
      </x:c>
      <x:c r="V73" s="58" t="n">
        <x:v>0.12837397764764036</x:v>
      </x:c>
      <x:c r="W73" s="58" t="n">
        <x:v>0.1289375933704909</x:v>
      </x:c>
      <x:c r="X73" s="59" t="n">
        <x:v>0.09625056211906666</x:v>
      </x:c>
    </x:row>
    <x:row r="74">
      <x:c r="A74" s="57" t="str">
        <x:v>S09_HDH</x:v>
      </x:c>
      <x:c r="B74" s="58" t="str">
        <x:v>S02</x:v>
      </x:c>
      <x:c r="C74" s="58" t="str">
        <x:v>POST_EXERCISE</x:v>
      </x:c>
      <x:c r="D74" s="58" t="str"/>
      <x:c r="E74" s="58" t="n">
        <x:v>1</x:v>
      </x:c>
      <x:c r="F74" s="58" t="n">
        <x:v>584.862</x:v>
      </x:c>
      <x:c r="G74" s="58" t="n">
        <x:v>634.862</x:v>
      </x:c>
      <x:c r="H74" s="58" t="n">
        <x:v>50</x:v>
      </x:c>
      <x:c r="I74" s="58" t="n">
        <x:v>13.804994148803555</x:v>
      </x:c>
      <x:c r="J74" s="58" t="str">
        <x:v>73</x:v>
      </x:c>
      <x:c r="K74" s="58" t="str"/>
      <x:c r="L74" s="58" t="str"/>
      <x:c r="M74" s="58" t="n">
        <x:v>15.999591013224277</x:v>
      </x:c>
      <x:c r="N74" s="58" t="n">
        <x:v>16.000947896907878</x:v>
      </x:c>
      <x:c r="O74" s="58" t="n">
        <x:v>15.999591013224277</x:v>
      </x:c>
      <x:c r="P74" s="58" t="n">
        <x:v>2.1959537481043228</x:v>
      </x:c>
      <x:c r="Q74" s="58" t="n">
        <x:v>2.1945968644207223</x:v>
      </x:c>
      <x:c r="R74" s="58" t="n">
        <x:v>2.1945968644207223</x:v>
      </x:c>
      <x:c r="S74" s="58" t="str">
        <x:v>0.9924541493351505</x:v>
      </x:c>
      <x:c r="T74" s="58" t="str">
        <x:v>0.015</x:v>
      </x:c>
      <x:c r="U74" s="58" t="n">
        <x:v>0.7907465044018185</x:v>
      </x:c>
      <x:c r="V74" s="58" t="n">
        <x:v>0.0576213619420596</x:v>
      </x:c>
      <x:c r="W74" s="58" t="n">
        <x:v>0.11668246494846465</x:v>
      </x:c>
      <x:c r="X74" s="59" t="n">
        <x:v>0.034340075778692955</x:v>
      </x:c>
    </x:row>
    <x:row r="75">
      <x:c r="A75" s="57" t="str">
        <x:v>S09_HDH</x:v>
      </x:c>
      <x:c r="B75" s="58" t="str">
        <x:v>S02</x:v>
      </x:c>
      <x:c r="C75" s="58" t="str">
        <x:v>POST_EXERCISE</x:v>
      </x:c>
      <x:c r="D75" s="58" t="str"/>
      <x:c r="E75" s="58" t="n">
        <x:v>2</x:v>
      </x:c>
      <x:c r="F75" s="58" t="n">
        <x:v>584.862</x:v>
      </x:c>
      <x:c r="G75" s="58" t="n">
        <x:v>634.862</x:v>
      </x:c>
      <x:c r="H75" s="58" t="n">
        <x:v>50</x:v>
      </x:c>
      <x:c r="I75" s="58" t="n">
        <x:v>13.804994148803555</x:v>
      </x:c>
      <x:c r="J75" s="58" t="str">
        <x:v>20</x:v>
      </x:c>
      <x:c r="K75" s="58" t="str">
        <x:v>88</x:v>
      </x:c>
      <x:c r="L75" s="58" t="n">
        <x:v>0.3962800118112288</x:v>
      </x:c>
      <x:c r="M75" s="58" t="n">
        <x:v>11.483685257868462</x:v>
      </x:c>
      <x:c r="N75" s="58" t="n">
        <x:v>11.598241691995499</x:v>
      </x:c>
      <x:c r="O75" s="58" t="n">
        <x:v>11.483685257868462</x:v>
      </x:c>
      <x:c r="P75" s="58" t="n">
        <x:v>2.206752456808056</x:v>
      </x:c>
      <x:c r="Q75" s="58" t="n">
        <x:v>2.321308890935093</x:v>
      </x:c>
      <x:c r="R75" s="58" t="n">
        <x:v>2.321308890935093</x:v>
      </x:c>
      <x:c r="S75" s="58" t="str">
        <x:v>1.557404104082692</x:v>
      </x:c>
      <x:c r="T75" s="58" t="str">
        <x:v>0.026</x:v>
      </x:c>
      <x:c r="U75" s="58" t="n">
        <x:v>0.807691610434145</x:v>
      </x:c>
      <x:c r="V75" s="58" t="n">
        <x:v>0.08820150641840817</x:v>
      </x:c>
      <x:c r="W75" s="58" t="n">
        <x:v>0.04330402819992499</x:v>
      </x:c>
      <x:c r="X75" s="59" t="n">
        <x:v>0.032433695570086504</x:v>
      </x:c>
    </x:row>
    <x:row r="76">
      <x:c r="A76" s="57" t="str">
        <x:v>S09_HDH</x:v>
      </x:c>
      <x:c r="B76" s="58" t="str">
        <x:v>S02</x:v>
      </x:c>
      <x:c r="C76" s="58" t="str">
        <x:v>POST_EXERCISE</x:v>
      </x:c>
      <x:c r="D76" s="58" t="str"/>
      <x:c r="E76" s="58" t="n">
        <x:v>3</x:v>
      </x:c>
      <x:c r="F76" s="58" t="n">
        <x:v>584.862</x:v>
      </x:c>
      <x:c r="G76" s="58" t="n">
        <x:v>634.862</x:v>
      </x:c>
      <x:c r="H76" s="58" t="n">
        <x:v>50</x:v>
      </x:c>
      <x:c r="I76" s="58" t="n">
        <x:v>13.804994148803555</x:v>
      </x:c>
      <x:c r="J76" s="58" t="str">
        <x:v>15</x:v>
      </x:c>
      <x:c r="K76" s="58" t="str">
        <x:v>86</x:v>
      </x:c>
      <x:c r="L76" s="58" t="n">
        <x:v>0.45492920048169816</x:v>
      </x:c>
      <x:c r="M76" s="58" t="n">
        <x:v>10.717028259713812</x:v>
      </x:c>
      <x:c r="N76" s="58" t="n">
        <x:v>10.502264442800461</x:v>
      </x:c>
      <x:c r="O76" s="58" t="n">
        <x:v>10.717028259713812</x:v>
      </x:c>
      <x:c r="P76" s="58" t="n">
        <x:v>3.3027297060030936</x:v>
      </x:c>
      <x:c r="Q76" s="58" t="n">
        <x:v>3.087965889089743</x:v>
      </x:c>
      <x:c r="R76" s="58" t="n">
        <x:v>3.087965889089743</x:v>
      </x:c>
      <x:c r="S76" s="58" t="str">
        <x:v>1.0502811789917834</x:v>
      </x:c>
      <x:c r="T76" s="58" t="str">
        <x:v>0.0135</x:v>
      </x:c>
      <x:c r="U76" s="58" t="n">
        <x:v>0.7378129480376099</x:v>
      </x:c>
      <x:c r="V76" s="58" t="n">
        <x:v>0.06391650454893041</x:v>
      </x:c>
      <x:c r="W76" s="58" t="n">
        <x:v>0.025037740713341028</x:v>
      </x:c>
      <x:c r="X76" s="59" t="n">
        <x:v>0.030448023939360025</x:v>
      </x:c>
    </x:row>
    <x:row r="77">
      <x:c r="A77" s="57" t="str">
        <x:v>S17_RJS</x:v>
      </x:c>
      <x:c r="B77" s="58" t="str">
        <x:v>S01</x:v>
      </x:c>
      <x:c r="C77" s="58" t="str">
        <x:v>FACE_R1</x:v>
      </x:c>
      <x:c r="D77" s="58" t="n">
        <x:v>1</x:v>
      </x:c>
      <x:c r="E77" s="58" t="n">
        <x:v>1</x:v>
      </x:c>
      <x:c r="F77" s="58" t="n">
        <x:v>27.841</x:v>
      </x:c>
      <x:c r="G77" s="58" t="n">
        <x:v>81</x:v>
      </x:c>
      <x:c r="H77" s="58" t="n">
        <x:v>53.159</x:v>
      </x:c>
      <x:c r="I77" s="58" t="n">
        <x:v>14.667130578243356</x:v>
      </x:c>
      <x:c r="J77" s="58" t="str">
        <x:v>24</x:v>
      </x:c>
      <x:c r="K77" s="58" t="str">
        <x:v>20</x:v>
      </x:c>
      <x:c r="L77" s="58" t="n">
        <x:v>0.8914308770900654</x:v>
      </x:c>
      <x:c r="M77" s="58" t="n">
        <x:v>14.7794364200071</x:v>
      </x:c>
      <x:c r="N77" s="58" t="n">
        <x:v>14.860628067746651</x:v>
      </x:c>
      <x:c r="O77" s="58" t="n">
        <x:v>14.7794364200071</x:v>
      </x:c>
      <x:c r="P77" s="58" t="n">
        <x:v>0.19349748950329548</x:v>
      </x:c>
      <x:c r="Q77" s="58" t="n">
        <x:v>0.11230584176374414</x:v>
      </x:c>
      <x:c r="R77" s="58" t="n">
        <x:v>0.11230584176374414</x:v>
      </x:c>
      <x:c r="S77" s="58" t="str">
        <x:v>2.905587119223114</x:v>
      </x:c>
      <x:c r="T77" s="58" t="str">
        <x:v>0.0</x:v>
      </x:c>
      <x:c r="U77" s="58" t="n">
        <x:v>0.6002935428778697</x:v>
      </x:c>
      <x:c r="V77" s="58" t="n">
        <x:v>0.15660405286724516</x:v>
      </x:c>
      <x:c r="W77" s="58" t="n">
        <x:v>0.09767713446244419</x:v>
      </x:c>
      <x:c r="X77" s="59" t="n">
        <x:v>0.034420622578463546</x:v>
      </x:c>
    </x:row>
    <x:row r="78">
      <x:c r="A78" s="57" t="str">
        <x:v>S17_RJS</x:v>
      </x:c>
      <x:c r="B78" s="58" t="str">
        <x:v>S01</x:v>
      </x:c>
      <x:c r="C78" s="58" t="str">
        <x:v>FACE_R1</x:v>
      </x:c>
      <x:c r="D78" s="58" t="n">
        <x:v>1</x:v>
      </x:c>
      <x:c r="E78" s="58" t="n">
        <x:v>2</x:v>
      </x:c>
      <x:c r="F78" s="58" t="n">
        <x:v>27.841</x:v>
      </x:c>
      <x:c r="G78" s="58" t="n">
        <x:v>81</x:v>
      </x:c>
      <x:c r="H78" s="58" t="n">
        <x:v>53.159</x:v>
      </x:c>
      <x:c r="I78" s="58" t="n">
        <x:v>14.667130578243356</x:v>
      </x:c>
      <x:c r="J78" s="58" t="str">
        <x:v>29</x:v>
      </x:c>
      <x:c r="K78" s="58" t="str">
        <x:v>74</x:v>
      </x:c>
      <x:c r="L78" s="58" t="n">
        <x:v>-0.9246044573192365</x:v>
      </x:c>
      <x:c r="M78" s="58" t="n">
        <x:v>14.82174556437248</x:v>
      </x:c>
      <x:c r="N78" s="58" t="n">
        <x:v>14.839186386648885</x:v>
      </x:c>
      <x:c r="O78" s="58" t="n">
        <x:v>14.82174556437248</x:v>
      </x:c>
      <x:c r="P78" s="58" t="n">
        <x:v>0.17205580840552948</x:v>
      </x:c>
      <x:c r="Q78" s="58" t="n">
        <x:v>0.15461498612912372</x:v>
      </x:c>
      <x:c r="R78" s="58" t="n">
        <x:v>0.15461498612912372</x:v>
      </x:c>
      <x:c r="S78" s="58" t="str">
        <x:v>3.469244928312499</x:v>
      </x:c>
      <x:c r="T78" s="58" t="str">
        <x:v>0.0</x:v>
      </x:c>
      <x:c r="U78" s="58" t="n">
        <x:v>0.619424188967975</x:v>
      </x:c>
      <x:c r="V78" s="58" t="n">
        <x:v>0.1540787945990765</x:v>
      </x:c>
      <x:c r="W78" s="58" t="n">
        <x:v>0.09731977311081474</x:v>
      </x:c>
      <x:c r="X78" s="59" t="n">
        <x:v>0.02734239795783559</x:v>
      </x:c>
    </x:row>
    <x:row r="79">
      <x:c r="A79" s="57" t="str">
        <x:v>S17_RJS</x:v>
      </x:c>
      <x:c r="B79" s="58" t="str">
        <x:v>S01</x:v>
      </x:c>
      <x:c r="C79" s="58" t="str">
        <x:v>FACE_R1</x:v>
      </x:c>
      <x:c r="D79" s="58" t="n">
        <x:v>1</x:v>
      </x:c>
      <x:c r="E79" s="58" t="n">
        <x:v>3</x:v>
      </x:c>
      <x:c r="F79" s="58" t="n">
        <x:v>27.841</x:v>
      </x:c>
      <x:c r="G79" s="58" t="n">
        <x:v>81</x:v>
      </x:c>
      <x:c r="H79" s="58" t="n">
        <x:v>53.159</x:v>
      </x:c>
      <x:c r="I79" s="58" t="n">
        <x:v>14.667130578243356</x:v>
      </x:c>
      <x:c r="J79" s="58" t="str">
        <x:v>13</x:v>
      </x:c>
      <x:c r="K79" s="58" t="str">
        <x:v>88</x:v>
      </x:c>
      <x:c r="L79" s="58" t="n">
        <x:v>0.4470570556316183</x:v>
      </x:c>
      <x:c r="M79" s="58" t="n">
        <x:v>15.008802567282611</x:v>
      </x:c>
      <x:c r="N79" s="58" t="n">
        <x:v>14.739426553850844</x:v>
      </x:c>
      <x:c r="O79" s="58" t="n">
        <x:v>15.008802567282611</x:v>
      </x:c>
      <x:c r="P79" s="58" t="n">
        <x:v>0.07229597560748857</x:v>
      </x:c>
      <x:c r="Q79" s="58" t="n">
        <x:v>0.34167198903925566</x:v>
      </x:c>
      <x:c r="R79" s="58" t="n">
        <x:v>0.34167198903925566</x:v>
      </x:c>
      <x:c r="S79" s="58" t="str">
        <x:v>1.1038864994129036</x:v>
      </x:c>
      <x:c r="T79" s="58" t="str">
        <x:v>0.0</x:v>
      </x:c>
      <x:c r="U79" s="58" t="n">
        <x:v>0.6575628147435382</x:v>
      </x:c>
      <x:c r="V79" s="58" t="n">
        <x:v>0.12398483509505982</x:v>
      </x:c>
      <x:c r="W79" s="58" t="n">
        <x:v>0.09565710923084741</x:v>
      </x:c>
      <x:c r="X79" s="59" t="n">
        <x:v>0.01874854426456245</x:v>
      </x:c>
    </x:row>
    <x:row r="80">
      <x:c r="A80" s="57" t="str">
        <x:v>S17_RJS</x:v>
      </x:c>
      <x:c r="B80" s="58" t="str">
        <x:v>S01</x:v>
      </x:c>
      <x:c r="C80" s="58" t="str">
        <x:v>FACE_R2</x:v>
      </x:c>
      <x:c r="D80" s="58" t="n">
        <x:v>2</x:v>
      </x:c>
      <x:c r="E80" s="58" t="n">
        <x:v>1</x:v>
      </x:c>
      <x:c r="F80" s="58" t="n">
        <x:v>91</x:v>
      </x:c>
      <x:c r="G80" s="58" t="n">
        <x:v>143.2</x:v>
      </x:c>
      <x:c r="H80" s="58" t="n">
        <x:v>52.2</x:v>
      </x:c>
      <x:c r="I80" s="58" t="n">
        <x:v>13.30725372016571</x:v>
      </x:c>
      <x:c r="J80" s="58" t="str">
        <x:v>63</x:v>
      </x:c>
      <x:c r="K80" s="58" t="str">
        <x:v>23</x:v>
      </x:c>
      <x:c r="L80" s="58" t="n">
        <x:v>0.9688996346728692</x:v>
      </x:c>
      <x:c r="M80" s="58" t="n">
        <x:v>13.48722969407223</x:v>
      </x:c>
      <x:c r="N80" s="58" t="n">
        <x:v>13.4888953988349</x:v>
      </x:c>
      <x:c r="O80" s="58" t="n">
        <x:v>13.48722969407223</x:v>
      </x:c>
      <x:c r="P80" s="58" t="n">
        <x:v>0.181641678669191</x:v>
      </x:c>
      <x:c r="Q80" s="58" t="n">
        <x:v>0.17997597390652054</x:v>
      </x:c>
      <x:c r="R80" s="58" t="n">
        <x:v>0.17997597390652054</x:v>
      </x:c>
      <x:c r="S80" s="58" t="str">
        <x:v>3.729339579503941</x:v>
      </x:c>
      <x:c r="T80" s="58" t="str">
        <x:v>0.0</x:v>
      </x:c>
      <x:c r="U80" s="58" t="n">
        <x:v>0.6806042852447749</x:v>
      </x:c>
      <x:c r="V80" s="58" t="n">
        <x:v>0.13052335311345067</x:v>
      </x:c>
      <x:c r="W80" s="58" t="n">
        <x:v>0.07481492331391501</x:v>
      </x:c>
      <x:c r="X80" s="59" t="n">
        <x:v>0.030158551090406143</x:v>
      </x:c>
    </x:row>
    <x:row r="81">
      <x:c r="A81" s="57" t="str">
        <x:v>S17_RJS</x:v>
      </x:c>
      <x:c r="B81" s="58" t="str">
        <x:v>S01</x:v>
      </x:c>
      <x:c r="C81" s="58" t="str">
        <x:v>FACE_R2</x:v>
      </x:c>
      <x:c r="D81" s="58" t="n">
        <x:v>2</x:v>
      </x:c>
      <x:c r="E81" s="58" t="n">
        <x:v>2</x:v>
      </x:c>
      <x:c r="F81" s="58" t="n">
        <x:v>91</x:v>
      </x:c>
      <x:c r="G81" s="58" t="n">
        <x:v>143.2</x:v>
      </x:c>
      <x:c r="H81" s="58" t="n">
        <x:v>52.2</x:v>
      </x:c>
      <x:c r="I81" s="58" t="n">
        <x:v>13.30725372016571</x:v>
      </x:c>
      <x:c r="J81" s="58" t="str">
        <x:v>66</x:v>
      </x:c>
      <x:c r="K81" s="58" t="str">
        <x:v>22</x:v>
      </x:c>
      <x:c r="L81" s="58" t="n">
        <x:v>0.6063948367941735</x:v>
      </x:c>
      <x:c r="M81" s="58" t="n">
        <x:v>13.428374880382545</x:v>
      </x:c>
      <x:c r="N81" s="58" t="n">
        <x:v>13.511126638475588</x:v>
      </x:c>
      <x:c r="O81" s="58" t="n">
        <x:v>13.428374880382545</x:v>
      </x:c>
      <x:c r="P81" s="58" t="n">
        <x:v>0.20387291830987841</x:v>
      </x:c>
      <x:c r="Q81" s="58" t="n">
        <x:v>0.12112116021683583</x:v>
      </x:c>
      <x:c r="R81" s="58" t="n">
        <x:v>0.12112116021683583</x:v>
      </x:c>
      <x:c r="S81" s="58" t="str">
        <x:v>2.3118157307429708</x:v>
      </x:c>
      <x:c r="T81" s="58" t="str">
        <x:v>0.004312410158121706</x:v>
      </x:c>
      <x:c r="U81" s="58" t="n">
        <x:v>0.7502612219001371</x:v>
      </x:c>
      <x:c r="V81" s="58" t="n">
        <x:v>0.12817105819668317</x:v>
      </x:c>
      <x:c r="W81" s="58" t="n">
        <x:v>0.07518544397459315</x:v>
      </x:c>
      <x:c r="X81" s="59" t="n">
        <x:v>0.029757094260977186</x:v>
      </x:c>
    </x:row>
    <x:row r="82">
      <x:c r="A82" s="57" t="str">
        <x:v>S17_RJS</x:v>
      </x:c>
      <x:c r="B82" s="58" t="str">
        <x:v>S01</x:v>
      </x:c>
      <x:c r="C82" s="58" t="str">
        <x:v>FACE_R2</x:v>
      </x:c>
      <x:c r="D82" s="58" t="n">
        <x:v>2</x:v>
      </x:c>
      <x:c r="E82" s="58" t="n">
        <x:v>3</x:v>
      </x:c>
      <x:c r="F82" s="58" t="n">
        <x:v>91</x:v>
      </x:c>
      <x:c r="G82" s="58" t="n">
        <x:v>143.2</x:v>
      </x:c>
      <x:c r="H82" s="58" t="n">
        <x:v>52.2</x:v>
      </x:c>
      <x:c r="I82" s="58" t="n">
        <x:v>13.30725372016571</x:v>
      </x:c>
      <x:c r="J82" s="58" t="str">
        <x:v>26</x:v>
      </x:c>
      <x:c r="K82" s="58" t="str">
        <x:v>63</x:v>
      </x:c>
      <x:c r="L82" s="58" t="n">
        <x:v>-0.9401248727664107</x:v>
      </x:c>
      <x:c r="M82" s="58" t="n">
        <x:v>13.71829845028803</x:v>
      </x:c>
      <x:c r="N82" s="58" t="n">
        <x:v>13.822297440407985</x:v>
      </x:c>
      <x:c r="O82" s="58" t="n">
        <x:v>13.71829845028803</x:v>
      </x:c>
      <x:c r="P82" s="58" t="n">
        <x:v>0.5150437202422751</x:v>
      </x:c>
      <x:c r="Q82" s="58" t="n">
        <x:v>0.41104473012232035</x:v>
      </x:c>
      <x:c r="R82" s="58" t="n">
        <x:v>0.41104473012232035</x:v>
      </x:c>
      <x:c r="S82" s="58" t="str">
        <x:v>1.833099641442102</x:v>
      </x:c>
      <x:c r="T82" s="58" t="str">
        <x:v>0.0</x:v>
      </x:c>
      <x:c r="U82" s="58" t="n">
        <x:v>0.6973158208839957</x:v>
      </x:c>
      <x:c r="V82" s="58" t="n">
        <x:v>0.11598302170515495</x:v>
      </x:c>
      <x:c r="W82" s="58" t="n">
        <x:v>0.08037162400679976</x:v>
      </x:c>
      <x:c r="X82" s="59" t="n">
        <x:v>0.021519437895031135</x:v>
      </x:c>
    </x:row>
    <x:row r="83">
      <x:c r="A83" s="57" t="str">
        <x:v>S17_RJS</x:v>
      </x:c>
      <x:c r="B83" s="58" t="str">
        <x:v>S01</x:v>
      </x:c>
      <x:c r="C83" s="58" t="str">
        <x:v>FACE_R3</x:v>
      </x:c>
      <x:c r="D83" s="58" t="n">
        <x:v>3</x:v>
      </x:c>
      <x:c r="E83" s="58" t="n">
        <x:v>1</x:v>
      </x:c>
      <x:c r="F83" s="58" t="n">
        <x:v>153.2</x:v>
      </x:c>
      <x:c r="G83" s="58" t="n">
        <x:v>204.809</x:v>
      </x:c>
      <x:c r="H83" s="58" t="n">
        <x:v>51.609</x:v>
      </x:c>
      <x:c r="I83" s="58" t="n">
        <x:v>15.62581923061987</x:v>
      </x:c>
      <x:c r="J83" s="58" t="str">
        <x:v>61</x:v>
      </x:c>
      <x:c r="K83" s="58" t="str">
        <x:v>25</x:v>
      </x:c>
      <x:c r="L83" s="58" t="n">
        <x:v>0.5509586647528025</x:v>
      </x:c>
      <x:c r="M83" s="58" t="n">
        <x:v>15.38609894100075</x:v>
      </x:c>
      <x:c r="N83" s="58" t="n">
        <x:v>15.435188768827341</x:v>
      </x:c>
      <x:c r="O83" s="58" t="n">
        <x:v>15.38609894100075</x:v>
      </x:c>
      <x:c r="P83" s="58" t="n">
        <x:v>0.1906304617925283</x:v>
      </x:c>
      <x:c r="Q83" s="58" t="n">
        <x:v>0.23972028961911995</x:v>
      </x:c>
      <x:c r="R83" s="58" t="n">
        <x:v>0.23972028961911995</x:v>
      </x:c>
      <x:c r="S83" s="58" t="str">
        <x:v>0.7881399036677545</x:v>
      </x:c>
      <x:c r="T83" s="58" t="str">
        <x:v>0.00048449612403100775</x:v>
      </x:c>
      <x:c r="U83" s="58" t="n">
        <x:v>0.8293477600194742</x:v>
      </x:c>
      <x:c r="V83" s="58" t="n">
        <x:v>0.09533851877564617</x:v>
      </x:c>
      <x:c r="W83" s="58" t="n">
        <x:v>0.10725314614712236</x:v>
      </x:c>
      <x:c r="X83" s="59" t="n">
        <x:v>0.027525935412334016</x:v>
      </x:c>
    </x:row>
    <x:row r="84">
      <x:c r="A84" s="57" t="str">
        <x:v>S17_RJS</x:v>
      </x:c>
      <x:c r="B84" s="58" t="str">
        <x:v>S01</x:v>
      </x:c>
      <x:c r="C84" s="58" t="str">
        <x:v>FACE_R3</x:v>
      </x:c>
      <x:c r="D84" s="58" t="n">
        <x:v>3</x:v>
      </x:c>
      <x:c r="E84" s="58" t="n">
        <x:v>2</x:v>
      </x:c>
      <x:c r="F84" s="58" t="n">
        <x:v>153.2</x:v>
      </x:c>
      <x:c r="G84" s="58" t="n">
        <x:v>204.809</x:v>
      </x:c>
      <x:c r="H84" s="58" t="n">
        <x:v>51.609</x:v>
      </x:c>
      <x:c r="I84" s="58" t="n">
        <x:v>15.62581923061987</x:v>
      </x:c>
      <x:c r="J84" s="58" t="str">
        <x:v>24</x:v>
      </x:c>
      <x:c r="K84" s="58" t="str">
        <x:v>29</x:v>
      </x:c>
      <x:c r="L84" s="58" t="n">
        <x:v>-0.8203009239693321</x:v>
      </x:c>
      <x:c r="M84" s="58" t="n">
        <x:v>15.582700395344665</x:v>
      </x:c>
      <x:c r="N84" s="58" t="n">
        <x:v>15.606460977072537</x:v>
      </x:c>
      <x:c r="O84" s="58" t="n">
        <x:v>15.582700395344665</x:v>
      </x:c>
      <x:c r="P84" s="58" t="n">
        <x:v>0.019358253547332893</x:v>
      </x:c>
      <x:c r="Q84" s="58" t="n">
        <x:v>0.043118835275205214</x:v>
      </x:c>
      <x:c r="R84" s="58" t="n">
        <x:v>0.043118835275205214</x:v>
      </x:c>
      <x:c r="S84" s="58" t="str">
        <x:v>1.452277825103384</x:v>
      </x:c>
      <x:c r="T84" s="58" t="str">
        <x:v>0.0</x:v>
      </x:c>
      <x:c r="U84" s="58" t="n">
        <x:v>0.6991545778100346</x:v>
      </x:c>
      <x:c r="V84" s="58" t="n">
        <x:v>0.13857517746649367</x:v>
      </x:c>
      <x:c r="W84" s="58" t="n">
        <x:v>0.11010768295120896</x:v>
      </x:c>
      <x:c r="X84" s="59" t="n">
        <x:v>0.029265160350350483</x:v>
      </x:c>
    </x:row>
    <x:row r="85">
      <x:c r="A85" s="57" t="str">
        <x:v>S17_RJS</x:v>
      </x:c>
      <x:c r="B85" s="58" t="str">
        <x:v>S01</x:v>
      </x:c>
      <x:c r="C85" s="58" t="str">
        <x:v>FACE_R3</x:v>
      </x:c>
      <x:c r="D85" s="58" t="n">
        <x:v>3</x:v>
      </x:c>
      <x:c r="E85" s="58" t="n">
        <x:v>3</x:v>
      </x:c>
      <x:c r="F85" s="58" t="n">
        <x:v>153.2</x:v>
      </x:c>
      <x:c r="G85" s="58" t="n">
        <x:v>204.809</x:v>
      </x:c>
      <x:c r="H85" s="58" t="n">
        <x:v>51.609</x:v>
      </x:c>
      <x:c r="I85" s="58" t="n">
        <x:v>15.62581923061987</x:v>
      </x:c>
      <x:c r="J85" s="58" t="str">
        <x:v>64</x:v>
      </x:c>
      <x:c r="K85" s="58" t="str">
        <x:v>20</x:v>
      </x:c>
      <x:c r="L85" s="58" t="n">
        <x:v>-0.7404443900268989</x:v>
      </x:c>
      <x:c r="M85" s="58" t="n">
        <x:v>15.599849984519112</x:v>
      </x:c>
      <x:c r="N85" s="58" t="n">
        <x:v>15.63415285068757</x:v>
      </x:c>
      <x:c r="O85" s="58" t="n">
        <x:v>15.599849984519112</x:v>
      </x:c>
      <x:c r="P85" s="58" t="n">
        <x:v>0.008333620067700664</x:v>
      </x:c>
      <x:c r="Q85" s="58" t="n">
        <x:v>0.02596924610075746</x:v>
      </x:c>
      <x:c r="R85" s="58" t="n">
        <x:v>0.02596924610075746</x:v>
      </x:c>
      <x:c r="S85" s="58" t="str">
        <x:v>2.0976053242560972</x:v>
      </x:c>
      <x:c r="T85" s="58" t="str">
        <x:v>0.0</x:v>
      </x:c>
      <x:c r="U85" s="58" t="n">
        <x:v>0.6430949564314888</x:v>
      </x:c>
      <x:c r="V85" s="58" t="n">
        <x:v>0.12806260685401213</x:v>
      </x:c>
      <x:c r="W85" s="58" t="n">
        <x:v>0.11056921417812618</x:v>
      </x:c>
      <x:c r="X85" s="59" t="n">
        <x:v>0.02010281820022957</x:v>
      </x:c>
    </x:row>
    <x:row r="86">
      <x:c r="A86" s="57" t="str">
        <x:v>S17_RJS</x:v>
      </x:c>
      <x:c r="B86" s="58" t="str">
        <x:v>S02</x:v>
      </x:c>
      <x:c r="C86" s="58" t="str">
        <x:v>NORMAL</x:v>
      </x:c>
      <x:c r="D86" s="58" t="str"/>
      <x:c r="E86" s="58" t="n">
        <x:v>1</x:v>
      </x:c>
      <x:c r="F86" s="58" t="n">
        <x:v>243.63</x:v>
      </x:c>
      <x:c r="G86" s="58" t="n">
        <x:v>293.63</x:v>
      </x:c>
      <x:c r="H86" s="58" t="n">
        <x:v>50</x:v>
      </x:c>
      <x:c r="I86" s="58" t="n">
        <x:v>16.900553668324427</x:v>
      </x:c>
      <x:c r="J86" s="58" t="str">
        <x:v>60</x:v>
      </x:c>
      <x:c r="K86" s="58" t="str">
        <x:v>16</x:v>
      </x:c>
      <x:c r="L86" s="58" t="n">
        <x:v>0.5313639573787172</x:v>
      </x:c>
      <x:c r="M86" s="58" t="n">
        <x:v>16.930657712380782</x:v>
      </x:c>
      <x:c r="N86" s="58" t="n">
        <x:v>16.809567444030552</x:v>
      </x:c>
      <x:c r="O86" s="58" t="n">
        <x:v>16.930657712380782</x:v>
      </x:c>
      <x:c r="P86" s="58" t="n">
        <x:v>0.09098622429387504</x:v>
      </x:c>
      <x:c r="Q86" s="58" t="n">
        <x:v>0.030104044056354695</x:v>
      </x:c>
      <x:c r="R86" s="58" t="n">
        <x:v>0.030104044056354695</x:v>
      </x:c>
      <x:c r="S86" s="58" t="str">
        <x:v>2.051623052137789</x:v>
      </x:c>
      <x:c r="T86" s="58" t="str">
        <x:v>0.001</x:v>
      </x:c>
      <x:c r="U86" s="58" t="n">
        <x:v>0.6943269929629537</x:v>
      </x:c>
      <x:c r="V86" s="58" t="n">
        <x:v>0.10232308469259092</x:v>
      </x:c>
      <x:c r="W86" s="58" t="n">
        <x:v>0.1301594574005092</x:v>
      </x:c>
      <x:c r="X86" s="59" t="n">
        <x:v>0.029149334324580112</x:v>
      </x:c>
    </x:row>
    <x:row r="87">
      <x:c r="A87" s="57" t="str">
        <x:v>S17_RJS</x:v>
      </x:c>
      <x:c r="B87" s="58" t="str">
        <x:v>S02</x:v>
      </x:c>
      <x:c r="C87" s="58" t="str">
        <x:v>NORMAL</x:v>
      </x:c>
      <x:c r="D87" s="58" t="str"/>
      <x:c r="E87" s="58" t="n">
        <x:v>2</x:v>
      </x:c>
      <x:c r="F87" s="58" t="n">
        <x:v>243.63</x:v>
      </x:c>
      <x:c r="G87" s="58" t="n">
        <x:v>293.63</x:v>
      </x:c>
      <x:c r="H87" s="58" t="n">
        <x:v>50</x:v>
      </x:c>
      <x:c r="I87" s="58" t="n">
        <x:v>16.900553668324427</x:v>
      </x:c>
      <x:c r="J87" s="58" t="str">
        <x:v>22</x:v>
      </x:c>
      <x:c r="K87" s="58" t="str">
        <x:v>39</x:v>
      </x:c>
      <x:c r="L87" s="58" t="n">
        <x:v>0.7567862899153871</x:v>
      </x:c>
      <x:c r="M87" s="58" t="n">
        <x:v>17.382240037561616</x:v>
      </x:c>
      <x:c r="N87" s="58" t="n">
        <x:v>17.55217114602651</x:v>
      </x:c>
      <x:c r="O87" s="58" t="n">
        <x:v>17.382240037561616</x:v>
      </x:c>
      <x:c r="P87" s="58" t="n">
        <x:v>0.6516174777020822</x:v>
      </x:c>
      <x:c r="Q87" s="58" t="n">
        <x:v>0.4816863692371882</x:v>
      </x:c>
      <x:c r="R87" s="58" t="n">
        <x:v>0.4816863692371882</x:v>
      </x:c>
      <x:c r="S87" s="58" t="str">
        <x:v>1.0120458965228685</x:v>
      </x:c>
      <x:c r="T87" s="58" t="str">
        <x:v>0.0</x:v>
      </x:c>
      <x:c r="U87" s="58" t="n">
        <x:v>0.7568521831869861</x:v>
      </x:c>
      <x:c r="V87" s="58" t="n">
        <x:v>0.09599575875399277</x:v>
      </x:c>
      <x:c r="W87" s="58" t="n">
        <x:v>0.1425361857671085</x:v>
      </x:c>
      <x:c r="X87" s="59" t="n">
        <x:v>0.027289061876869587</x:v>
      </x:c>
    </x:row>
    <x:row r="88">
      <x:c r="A88" s="57" t="str">
        <x:v>S17_RJS</x:v>
      </x:c>
      <x:c r="B88" s="58" t="str">
        <x:v>S02</x:v>
      </x:c>
      <x:c r="C88" s="58" t="str">
        <x:v>NORMAL</x:v>
      </x:c>
      <x:c r="D88" s="58" t="str"/>
      <x:c r="E88" s="58" t="n">
        <x:v>3</x:v>
      </x:c>
      <x:c r="F88" s="58" t="n">
        <x:v>243.63</x:v>
      </x:c>
      <x:c r="G88" s="58" t="n">
        <x:v>293.63</x:v>
      </x:c>
      <x:c r="H88" s="58" t="n">
        <x:v>50</x:v>
      </x:c>
      <x:c r="I88" s="58" t="n">
        <x:v>16.900553668324427</x:v>
      </x:c>
      <x:c r="J88" s="58" t="str">
        <x:v>15</x:v>
      </x:c>
      <x:c r="K88" s="58" t="str">
        <x:v>77</x:v>
      </x:c>
      <x:c r="L88" s="58" t="n">
        <x:v>-0.940696122540324</x:v>
      </x:c>
      <x:c r="M88" s="58" t="n">
        <x:v>16.492692861138075</x:v>
      </x:c>
      <x:c r="N88" s="58" t="n">
        <x:v>16.460889635544767</x:v>
      </x:c>
      <x:c r="O88" s="58" t="n">
        <x:v>16.492692861138075</x:v>
      </x:c>
      <x:c r="P88" s="58" t="n">
        <x:v>0.4396640327796604</x:v>
      </x:c>
      <x:c r="Q88" s="58" t="n">
        <x:v>0.40786080718635276</x:v>
      </x:c>
      <x:c r="R88" s="58" t="n">
        <x:v>0.40786080718635276</x:v>
      </x:c>
      <x:c r="S88" s="58" t="str">
        <x:v>2.0415483035217896</x:v>
      </x:c>
      <x:c r="T88" s="58" t="str">
        <x:v>0.0</x:v>
      </x:c>
      <x:c r="U88" s="58" t="n">
        <x:v>0.7142261673783135</x:v>
      </x:c>
      <x:c r="V88" s="58" t="n">
        <x:v>0.11150812290799622</x:v>
      </x:c>
      <x:c r="W88" s="58" t="n">
        <x:v>0.1243481605924128</x:v>
      </x:c>
      <x:c r="X88" s="59" t="n">
        <x:v>0.02310450105921151</x:v>
      </x:c>
    </x:row>
    <x:row r="89">
      <x:c r="A89" s="57" t="str">
        <x:v>S17_RJS</x:v>
      </x:c>
      <x:c r="B89" s="58" t="str">
        <x:v>S02</x:v>
      </x:c>
      <x:c r="C89" s="58" t="str">
        <x:v>SLOW</x:v>
      </x:c>
      <x:c r="D89" s="58" t="str"/>
      <x:c r="E89" s="58" t="n">
        <x:v>1</x:v>
      </x:c>
      <x:c r="F89" s="58" t="n">
        <x:v>303.63</x:v>
      </x:c>
      <x:c r="G89" s="58" t="n">
        <x:v>353.63</x:v>
      </x:c>
      <x:c r="H89" s="58" t="n">
        <x:v>50</x:v>
      </x:c>
      <x:c r="I89" s="58" t="n">
        <x:v>5.988312667577404</x:v>
      </x:c>
      <x:c r="J89" s="58" t="str">
        <x:v>12</x:v>
      </x:c>
      <x:c r="K89" s="58" t="str">
        <x:v>20</x:v>
      </x:c>
      <x:c r="L89" s="58" t="n">
        <x:v>0.784238749722286</x:v>
      </x:c>
      <x:c r="M89" s="58" t="n">
        <x:v>5.980151878792473</x:v>
      </x:c>
      <x:c r="N89" s="58" t="n">
        <x:v>6.106628089845067</x:v>
      </x:c>
      <x:c r="O89" s="58" t="n">
        <x:v>5.980151878792473</x:v>
      </x:c>
      <x:c r="P89" s="58" t="n">
        <x:v>0.11831542226766345</x:v>
      </x:c>
      <x:c r="Q89" s="58" t="n">
        <x:v>0.008160788784930872</x:v>
      </x:c>
      <x:c r="R89" s="58" t="n">
        <x:v>0.008160788784930872</x:v>
      </x:c>
      <x:c r="S89" s="58" t="str">
        <x:v>4.915315888644183</x:v>
      </x:c>
      <x:c r="T89" s="58" t="str">
        <x:v>0.0</x:v>
      </x:c>
      <x:c r="U89" s="58" t="n">
        <x:v>0.6644498180788035</x:v>
      </x:c>
      <x:c r="V89" s="58" t="n">
        <x:v>0.1318080646678673</x:v>
      </x:c>
      <x:c r="W89" s="58" t="n">
        <x:v>0.031777134830751105</x:v>
      </x:c>
      <x:c r="X89" s="59" t="n">
        <x:v>0.028198922722325707</x:v>
      </x:c>
    </x:row>
    <x:row r="90">
      <x:c r="A90" s="57" t="str">
        <x:v>S17_RJS</x:v>
      </x:c>
      <x:c r="B90" s="58" t="str">
        <x:v>S02</x:v>
      </x:c>
      <x:c r="C90" s="58" t="str">
        <x:v>SLOW</x:v>
      </x:c>
      <x:c r="D90" s="58" t="str"/>
      <x:c r="E90" s="58" t="n">
        <x:v>2</x:v>
      </x:c>
      <x:c r="F90" s="58" t="n">
        <x:v>303.63</x:v>
      </x:c>
      <x:c r="G90" s="58" t="n">
        <x:v>353.63</x:v>
      </x:c>
      <x:c r="H90" s="58" t="n">
        <x:v>50</x:v>
      </x:c>
      <x:c r="I90" s="58" t="n">
        <x:v>5.988312667577404</x:v>
      </x:c>
      <x:c r="J90" s="58" t="str">
        <x:v>23</x:v>
      </x:c>
      <x:c r="K90" s="58" t="str">
        <x:v>19</x:v>
      </x:c>
      <x:c r="L90" s="58" t="n">
        <x:v>-0.831856633826155</x:v>
      </x:c>
      <x:c r="M90" s="58" t="n">
        <x:v>5.979428404663684</x:v>
      </x:c>
      <x:c r="N90" s="58" t="n">
        <x:v>5.955241114974384</x:v>
      </x:c>
      <x:c r="O90" s="58" t="n">
        <x:v>5.979428404663684</x:v>
      </x:c>
      <x:c r="P90" s="58" t="n">
        <x:v>0.03307155260301986</x:v>
      </x:c>
      <x:c r="Q90" s="58" t="n">
        <x:v>0.008884262913719354</x:v>
      </x:c>
      <x:c r="R90" s="58" t="n">
        <x:v>0.008884262913719354</x:v>
      </x:c>
      <x:c r="S90" s="58" t="str">
        <x:v>3.8689825218754685</x:v>
      </x:c>
      <x:c r="T90" s="58" t="str">
        <x:v>0.0015</x:v>
      </x:c>
      <x:c r="U90" s="58" t="n">
        <x:v>0.6253438129535721</x:v>
      </x:c>
      <x:c r="V90" s="58" t="n">
        <x:v>0.14884787653257592</x:v>
      </x:c>
      <x:c r="W90" s="58" t="n">
        <x:v>0.029254018582906396</x:v>
      </x:c>
      <x:c r="X90" s="59" t="n">
        <x:v>0.029808218570862285</x:v>
      </x:c>
    </x:row>
    <x:row r="91">
      <x:c r="A91" s="57" t="str">
        <x:v>S17_RJS</x:v>
      </x:c>
      <x:c r="B91" s="58" t="str">
        <x:v>S02</x:v>
      </x:c>
      <x:c r="C91" s="58" t="str">
        <x:v>SLOW</x:v>
      </x:c>
      <x:c r="D91" s="58" t="str"/>
      <x:c r="E91" s="58" t="n">
        <x:v>3</x:v>
      </x:c>
      <x:c r="F91" s="58" t="n">
        <x:v>303.63</x:v>
      </x:c>
      <x:c r="G91" s="58" t="n">
        <x:v>353.63</x:v>
      </x:c>
      <x:c r="H91" s="58" t="n">
        <x:v>50</x:v>
      </x:c>
      <x:c r="I91" s="58" t="n">
        <x:v>5.988312667577404</x:v>
      </x:c>
      <x:c r="J91" s="58" t="str">
        <x:v>77</x:v>
      </x:c>
      <x:c r="K91" s="58" t="str">
        <x:v>13</x:v>
      </x:c>
      <x:c r="L91" s="58" t="n">
        <x:v>0.8636647000281935</x:v>
      </x:c>
      <x:c r="M91" s="58" t="n">
        <x:v>5.99804096017776</x:v>
      </x:c>
      <x:c r="N91" s="58" t="n">
        <x:v>5.982154036940794</x:v>
      </x:c>
      <x:c r="O91" s="58" t="n">
        <x:v>5.99804096017776</x:v>
      </x:c>
      <x:c r="P91" s="58" t="n">
        <x:v>0.006158630636609708</x:v>
      </x:c>
      <x:c r="Q91" s="58" t="n">
        <x:v>0.009728292600356347</x:v>
      </x:c>
      <x:c r="R91" s="58" t="n">
        <x:v>0.009728292600356347</x:v>
      </x:c>
      <x:c r="S91" s="58" t="str">
        <x:v>4.100025296518376</x:v>
      </x:c>
      <x:c r="T91" s="58" t="str">
        <x:v>0.0</x:v>
      </x:c>
      <x:c r="U91" s="58" t="n">
        <x:v>0.6574805932056687</x:v>
      </x:c>
      <x:c r="V91" s="58" t="n">
        <x:v>0.13607880048320992</x:v>
      </x:c>
      <x:c r="W91" s="58" t="n">
        <x:v>0.029702567282346562</x:v>
      </x:c>
      <x:c r="X91" s="59" t="n">
        <x:v>0.023324458190804087</x:v>
      </x:c>
    </x:row>
    <x:row r="92">
      <x:c r="A92" s="57" t="str">
        <x:v>S17_RJS</x:v>
      </x:c>
      <x:c r="B92" s="58" t="str">
        <x:v>S02</x:v>
      </x:c>
      <x:c r="C92" s="58" t="str">
        <x:v>POST_HOLD</x:v>
      </x:c>
      <x:c r="D92" s="58" t="str"/>
      <x:c r="E92" s="58" t="n">
        <x:v>1</x:v>
      </x:c>
      <x:c r="F92" s="58" t="n">
        <x:v>393.25</x:v>
      </x:c>
      <x:c r="G92" s="58" t="n">
        <x:v>443.63</x:v>
      </x:c>
      <x:c r="H92" s="58" t="n">
        <x:v>50.38</x:v>
      </x:c>
      <x:c r="I92" s="58" t="n">
        <x:v>15.953071942182167</x:v>
      </x:c>
      <x:c r="J92" s="58" t="str">
        <x:v>69</x:v>
      </x:c>
      <x:c r="K92" s="58" t="str">
        <x:v>24</x:v>
      </x:c>
      <x:c r="L92" s="58" t="n">
        <x:v>0.7305934787373822</x:v>
      </x:c>
      <x:c r="M92" s="58" t="n">
        <x:v>12.32207915444225</x:v>
      </x:c>
      <x:c r="N92" s="58" t="n">
        <x:v>12.390901095765411</x:v>
      </x:c>
      <x:c r="O92" s="58" t="n">
        <x:v>12.32207915444225</x:v>
      </x:c>
      <x:c r="P92" s="58" t="n">
        <x:v>3.5621708464167554</x:v>
      </x:c>
      <x:c r="Q92" s="58" t="n">
        <x:v>3.630992787739917</x:v>
      </x:c>
      <x:c r="R92" s="58" t="n">
        <x:v>3.630992787739917</x:v>
      </x:c>
      <x:c r="S92" s="58" t="str">
        <x:v>0.7797739131259604</x:v>
      </x:c>
      <x:c r="T92" s="58" t="str">
        <x:v>0.0</x:v>
      </x:c>
      <x:c r="U92" s="58" t="n">
        <x:v>0.7936534793379146</x:v>
      </x:c>
      <x:c r="V92" s="58" t="n">
        <x:v>0.08428027630602779</x:v>
      </x:c>
      <x:c r="W92" s="58" t="n">
        <x:v>0.05651501826275687</x:v>
      </x:c>
      <x:c r="X92" s="59" t="n">
        <x:v>0.026706274910946997</x:v>
      </x:c>
    </x:row>
    <x:row r="93">
      <x:c r="A93" s="57" t="str">
        <x:v>S17_RJS</x:v>
      </x:c>
      <x:c r="B93" s="58" t="str">
        <x:v>S02</x:v>
      </x:c>
      <x:c r="C93" s="58" t="str">
        <x:v>POST_HOLD</x:v>
      </x:c>
      <x:c r="D93" s="58" t="str"/>
      <x:c r="E93" s="58" t="n">
        <x:v>2</x:v>
      </x:c>
      <x:c r="F93" s="58" t="n">
        <x:v>393.25</x:v>
      </x:c>
      <x:c r="G93" s="58" t="n">
        <x:v>443.63</x:v>
      </x:c>
      <x:c r="H93" s="58" t="n">
        <x:v>50.38</x:v>
      </x:c>
      <x:c r="I93" s="58" t="n">
        <x:v>15.953071942182167</x:v>
      </x:c>
      <x:c r="J93" s="58" t="str">
        <x:v>30</x:v>
      </x:c>
      <x:c r="K93" s="58" t="str">
        <x:v>21</x:v>
      </x:c>
      <x:c r="L93" s="58" t="n">
        <x:v>-0.8789465433018756</x:v>
      </x:c>
      <x:c r="M93" s="58" t="n">
        <x:v>12.271599918844977</x:v>
      </x:c>
      <x:c r="N93" s="58" t="n">
        <x:v>12.27813241640137</x:v>
      </x:c>
      <x:c r="O93" s="58" t="n">
        <x:v>12.271599918844977</x:v>
      </x:c>
      <x:c r="P93" s="58" t="n">
        <x:v>3.674939525780797</x:v>
      </x:c>
      <x:c r="Q93" s="58" t="n">
        <x:v>3.6814720233371894</x:v>
      </x:c>
      <x:c r="R93" s="58" t="n">
        <x:v>3.6814720233371894</x:v>
      </x:c>
      <x:c r="S93" s="58" t="str">
        <x:v>1.31943789949692</x:v>
      </x:c>
      <x:c r="T93" s="58" t="str">
        <x:v>0.0</x:v>
      </x:c>
      <x:c r="U93" s="58" t="n">
        <x:v>0.8038051117941614</x:v>
      </x:c>
      <x:c r="V93" s="58" t="n">
        <x:v>0.064868572027357</x:v>
      </x:c>
      <x:c r="W93" s="58" t="n">
        <x:v>0.05463554027335618</x:v>
      </x:c>
      <x:c r="X93" s="59" t="n">
        <x:v>0.029162789775595138</x:v>
      </x:c>
    </x:row>
    <x:row r="94">
      <x:c r="A94" s="57" t="str">
        <x:v>S17_RJS</x:v>
      </x:c>
      <x:c r="B94" s="58" t="str">
        <x:v>S02</x:v>
      </x:c>
      <x:c r="C94" s="58" t="str">
        <x:v>POST_HOLD</x:v>
      </x:c>
      <x:c r="D94" s="58" t="str"/>
      <x:c r="E94" s="58" t="n">
        <x:v>3</x:v>
      </x:c>
      <x:c r="F94" s="58" t="n">
        <x:v>393.25</x:v>
      </x:c>
      <x:c r="G94" s="58" t="n">
        <x:v>443.63</x:v>
      </x:c>
      <x:c r="H94" s="58" t="n">
        <x:v>50.38</x:v>
      </x:c>
      <x:c r="I94" s="58" t="n">
        <x:v>15.953071942182167</x:v>
      </x:c>
      <x:c r="J94" s="58" t="str">
        <x:v>59</x:v>
      </x:c>
      <x:c r="K94" s="58" t="str">
        <x:v>79</x:v>
      </x:c>
      <x:c r="L94" s="58" t="n">
        <x:v>0.8206337432305422</x:v>
      </x:c>
      <x:c r="M94" s="58" t="n">
        <x:v>12.146666118606456</x:v>
      </x:c>
      <x:c r="N94" s="58" t="n">
        <x:v>11.995747104372168</x:v>
      </x:c>
      <x:c r="O94" s="58" t="n">
        <x:v>12.146666118606456</x:v>
      </x:c>
      <x:c r="P94" s="58" t="n">
        <x:v>3.957324837809999</x:v>
      </x:c>
      <x:c r="Q94" s="58" t="n">
        <x:v>3.8064058235757106</x:v>
      </x:c>
      <x:c r="R94" s="58" t="n">
        <x:v>3.8064058235757106</x:v>
      </x:c>
      <x:c r="S94" s="58" t="str">
        <x:v>1.517438927358753</x:v>
      </x:c>
      <x:c r="T94" s="58" t="str">
        <x:v>0.0</x:v>
      </x:c>
      <x:c r="U94" s="58" t="n">
        <x:v>0.7601851252299467</x:v>
      </x:c>
      <x:c r="V94" s="58" t="n">
        <x:v>0.08057107072253167</x:v>
      </x:c>
      <x:c r="W94" s="58" t="n">
        <x:v>0.04992911840620279</x:v>
      </x:c>
      <x:c r="X94" s="59" t="n">
        <x:v>0.020610829388883405</x:v>
      </x:c>
    </x:row>
    <x:row r="95">
      <x:c r="A95" s="57" t="str">
        <x:v>S17_RJS</x:v>
      </x:c>
      <x:c r="B95" s="58" t="str">
        <x:v>S02</x:v>
      </x:c>
      <x:c r="C95" s="58" t="str">
        <x:v>SQUAT</x:v>
      </x:c>
      <x:c r="D95" s="58" t="str"/>
      <x:c r="E95" s="58" t="n">
        <x:v>1</x:v>
      </x:c>
      <x:c r="F95" s="58" t="n">
        <x:v>468.63</x:v>
      </x:c>
      <x:c r="G95" s="58" t="n">
        <x:v>518.63</x:v>
      </x:c>
      <x:c r="H95" s="58" t="n">
        <x:v>50</x:v>
      </x:c>
      <x:c r="I95" s="58" t="n">
        <x:v>32.958984375</x:v>
      </x:c>
      <x:c r="J95" s="58" t="str">
        <x:v>15</x:v>
      </x:c>
      <x:c r="K95" s="58" t="str"/>
      <x:c r="L95" s="58" t="str"/>
      <x:c r="M95" s="58" t="n">
        <x:v>10.795096493111219</x:v>
      </x:c>
      <x:c r="N95" s="58" t="n">
        <x:v>10.797465136744249</x:v>
      </x:c>
      <x:c r="O95" s="58" t="n">
        <x:v>10.795096493111219</x:v>
      </x:c>
      <x:c r="P95" s="58" t="n">
        <x:v>22.16151923825575</x:v>
      </x:c>
      <x:c r="Q95" s="58" t="n">
        <x:v>22.163887881888783</x:v>
      </x:c>
      <x:c r="R95" s="58" t="n">
        <x:v>22.163887881888783</x:v>
      </x:c>
      <x:c r="S95" s="58" t="str">
        <x:v>0.5578401239517632</x:v>
      </x:c>
      <x:c r="T95" s="58" t="str">
        <x:v>0.0875</x:v>
      </x:c>
      <x:c r="U95" s="58" t="n">
        <x:v>0.8767789598415369</x:v>
      </x:c>
      <x:c r="V95" s="58" t="n">
        <x:v>0.0660355839292357</x:v>
      </x:c>
      <x:c r="W95" s="58" t="n">
        <x:v>0.029957752279070826</x:v>
      </x:c>
      <x:c r="X95" s="59" t="n">
        <x:v>0.10750408954909686</x:v>
      </x:c>
    </x:row>
    <x:row r="96">
      <x:c r="A96" s="57" t="str">
        <x:v>S17_RJS</x:v>
      </x:c>
      <x:c r="B96" s="58" t="str">
        <x:v>S02</x:v>
      </x:c>
      <x:c r="C96" s="58" t="str">
        <x:v>SQUAT</x:v>
      </x:c>
      <x:c r="D96" s="58" t="str"/>
      <x:c r="E96" s="58" t="n">
        <x:v>2</x:v>
      </x:c>
      <x:c r="F96" s="58" t="n">
        <x:v>468.63</x:v>
      </x:c>
      <x:c r="G96" s="58" t="n">
        <x:v>518.63</x:v>
      </x:c>
      <x:c r="H96" s="58" t="n">
        <x:v>50</x:v>
      </x:c>
      <x:c r="I96" s="58" t="n">
        <x:v>32.958984375</x:v>
      </x:c>
      <x:c r="J96" s="58" t="str">
        <x:v>38</x:v>
      </x:c>
      <x:c r="K96" s="58" t="str">
        <x:v>83</x:v>
      </x:c>
      <x:c r="L96" s="58" t="n">
        <x:v>0.6574164190044703</x:v>
      </x:c>
      <x:c r="M96" s="58" t="n">
        <x:v>30.438557437203176</x:v>
      </x:c>
      <x:c r="N96" s="58" t="n">
        <x:v>30.36631240396118</x:v>
      </x:c>
      <x:c r="O96" s="58" t="n">
        <x:v>30.438557437203176</x:v>
      </x:c>
      <x:c r="P96" s="58" t="n">
        <x:v>2.5926719710388184</x:v>
      </x:c>
      <x:c r="Q96" s="58" t="n">
        <x:v>2.520426937796824</x:v>
      </x:c>
      <x:c r="R96" s="58" t="n">
        <x:v>2.520426937796824</x:v>
      </x:c>
      <x:c r="S96" s="58" t="str">
        <x:v>0.9479500015583082</x:v>
      </x:c>
      <x:c r="T96" s="58" t="str">
        <x:v>0.0015</x:v>
      </x:c>
      <x:c r="U96" s="58" t="n">
        <x:v>0.8022339250089991</x:v>
      </x:c>
      <x:c r="V96" s="58" t="n">
        <x:v>0.09919452795686116</x:v>
      </x:c>
      <x:c r="W96" s="58" t="n">
        <x:v>0.3561052067326863</x:v>
      </x:c>
      <x:c r="X96" s="59" t="n">
        <x:v>0.11812471417840514</x:v>
      </x:c>
    </x:row>
    <x:row r="97">
      <x:c r="A97" s="57" t="str">
        <x:v>S17_RJS</x:v>
      </x:c>
      <x:c r="B97" s="58" t="str">
        <x:v>S02</x:v>
      </x:c>
      <x:c r="C97" s="58" t="str">
        <x:v>SQUAT</x:v>
      </x:c>
      <x:c r="D97" s="58" t="str"/>
      <x:c r="E97" s="58" t="n">
        <x:v>3</x:v>
      </x:c>
      <x:c r="F97" s="58" t="n">
        <x:v>468.63</x:v>
      </x:c>
      <x:c r="G97" s="58" t="n">
        <x:v>518.63</x:v>
      </x:c>
      <x:c r="H97" s="58" t="n">
        <x:v>50</x:v>
      </x:c>
      <x:c r="I97" s="58" t="n">
        <x:v>32.958984375</x:v>
      </x:c>
      <x:c r="J97" s="58" t="str">
        <x:v>76</x:v>
      </x:c>
      <x:c r="K97" s="58" t="str">
        <x:v>80</x:v>
      </x:c>
      <x:c r="L97" s="58" t="n">
        <x:v>0.5002954908226371</x:v>
      </x:c>
      <x:c r="M97" s="58" t="n">
        <x:v>30.72386661215406</x:v>
      </x:c>
      <x:c r="N97" s="58" t="n">
        <x:v>30.70125683623046</x:v>
      </x:c>
      <x:c r="O97" s="58" t="n">
        <x:v>30.72386661215406</x:v>
      </x:c>
      <x:c r="P97" s="58" t="n">
        <x:v>2.25772753876954</x:v>
      </x:c>
      <x:c r="Q97" s="58" t="n">
        <x:v>2.2351177628459418</x:v>
      </x:c>
      <x:c r="R97" s="58" t="n">
        <x:v>2.2351177628459418</x:v>
      </x:c>
      <x:c r="S97" s="58" t="str">
        <x:v>1.2643641580799567</x:v>
      </x:c>
      <x:c r="T97" s="58" t="str">
        <x:v>0.038</x:v>
      </x:c>
      <x:c r="U97" s="58" t="n">
        <x:v>0.8276745805840116</x:v>
      </x:c>
      <x:c r="V97" s="58" t="n">
        <x:v>0.10298462276307595</x:v>
      </x:c>
      <x:c r="W97" s="58" t="n">
        <x:v>0.3616876139371743</x:v>
      </x:c>
      <x:c r="X97" s="59" t="n">
        <x:v>0.1822403848657225</x:v>
      </x:c>
    </x:row>
    <x:row r="98">
      <x:c r="A98" s="57" t="str">
        <x:v>S17_RJS</x:v>
      </x:c>
      <x:c r="B98" s="58" t="str">
        <x:v>S02</x:v>
      </x:c>
      <x:c r="C98" s="58" t="str">
        <x:v>POST_EXERCISE</x:v>
      </x:c>
      <x:c r="D98" s="58" t="str"/>
      <x:c r="E98" s="58" t="n">
        <x:v>1</x:v>
      </x:c>
      <x:c r="F98" s="58" t="n">
        <x:v>543.63</x:v>
      </x:c>
      <x:c r="G98" s="58" t="n">
        <x:v>593.63</x:v>
      </x:c>
      <x:c r="H98" s="58" t="n">
        <x:v>50</x:v>
      </x:c>
      <x:c r="I98" s="58" t="n">
        <x:v>25.94537086356089</x:v>
      </x:c>
      <x:c r="J98" s="58" t="str">
        <x:v>20</x:v>
      </x:c>
      <x:c r="K98" s="58" t="str">
        <x:v>73</x:v>
      </x:c>
      <x:c r="L98" s="58" t="n">
        <x:v>0.7621423869322427</x:v>
      </x:c>
      <x:c r="M98" s="58" t="n">
        <x:v>26.043384062514196</x:v>
      </x:c>
      <x:c r="N98" s="58" t="n">
        <x:v>25.95918909992297</x:v>
      </x:c>
      <x:c r="O98" s="58" t="n">
        <x:v>26.043384062514196</x:v>
      </x:c>
      <x:c r="P98" s="58" t="n">
        <x:v>0.013818236362080683</x:v>
      </x:c>
      <x:c r="Q98" s="58" t="n">
        <x:v>0.09801319895330707</x:v>
      </x:c>
      <x:c r="R98" s="58" t="n">
        <x:v>0.09801319895330707</x:v>
      </x:c>
      <x:c r="S98" s="58" t="str">
        <x:v>1.453661322033446</x:v>
      </x:c>
      <x:c r="T98" s="58" t="str">
        <x:v>0.0</x:v>
      </x:c>
      <x:c r="U98" s="58" t="n">
        <x:v>0.7062019554330953</x:v>
      </x:c>
      <x:c r="V98" s="58" t="n">
        <x:v>0.09238738629176192</x:v>
      </x:c>
      <x:c r="W98" s="58" t="n">
        <x:v>0.28265315166538285</x:v>
      </x:c>
      <x:c r="X98" s="59" t="n">
        <x:v>0.029704366613865378</x:v>
      </x:c>
    </x:row>
    <x:row r="99">
      <x:c r="A99" s="57" t="str">
        <x:v>S17_RJS</x:v>
      </x:c>
      <x:c r="B99" s="58" t="str">
        <x:v>S02</x:v>
      </x:c>
      <x:c r="C99" s="58" t="str">
        <x:v>POST_EXERCISE</x:v>
      </x:c>
      <x:c r="D99" s="58" t="str"/>
      <x:c r="E99" s="58" t="n">
        <x:v>2</x:v>
      </x:c>
      <x:c r="F99" s="58" t="n">
        <x:v>543.63</x:v>
      </x:c>
      <x:c r="G99" s="58" t="n">
        <x:v>593.63</x:v>
      </x:c>
      <x:c r="H99" s="58" t="n">
        <x:v>50</x:v>
      </x:c>
      <x:c r="I99" s="58" t="n">
        <x:v>25.94537086356089</x:v>
      </x:c>
      <x:c r="J99" s="58" t="str">
        <x:v>66</x:v>
      </x:c>
      <x:c r="K99" s="58" t="str">
        <x:v>24</x:v>
      </x:c>
      <x:c r="L99" s="58" t="n">
        <x:v>0.8557946014692153</x:v>
      </x:c>
      <x:c r="M99" s="58" t="n">
        <x:v>25.974929032168227</x:v>
      </x:c>
      <x:c r="N99" s="58" t="n">
        <x:v>25.99763964863772</x:v>
      </x:c>
      <x:c r="O99" s="58" t="n">
        <x:v>25.974929032168227</x:v>
      </x:c>
      <x:c r="P99" s="58" t="n">
        <x:v>0.05226878507682997</x:v>
      </x:c>
      <x:c r="Q99" s="58" t="n">
        <x:v>0.02955816860733762</x:v>
      </x:c>
      <x:c r="R99" s="58" t="n">
        <x:v>0.02955816860733762</x:v>
      </x:c>
      <x:c r="S99" s="58" t="str">
        <x:v>2.61183345232841</x:v>
      </x:c>
      <x:c r="T99" s="58" t="str">
        <x:v>0.0</x:v>
      </x:c>
      <x:c r="U99" s="58" t="n">
        <x:v>0.5496850853064056</x:v>
      </x:c>
      <x:c r="V99" s="58" t="n">
        <x:v>0.15126793595871882</x:v>
      </x:c>
      <x:c r="W99" s="58" t="n">
        <x:v>0.28329399414396195</x:v>
      </x:c>
      <x:c r="X99" s="59" t="n">
        <x:v>0.03144752288891961</x:v>
      </x:c>
    </x:row>
    <x:row r="100">
      <x:c r="A100" s="57" t="str">
        <x:v>S17_RJS</x:v>
      </x:c>
      <x:c r="B100" s="58" t="str">
        <x:v>S02</x:v>
      </x:c>
      <x:c r="C100" s="58" t="str">
        <x:v>POST_EXERCISE</x:v>
      </x:c>
      <x:c r="D100" s="58" t="str"/>
      <x:c r="E100" s="58" t="n">
        <x:v>3</x:v>
      </x:c>
      <x:c r="F100" s="58" t="n">
        <x:v>543.63</x:v>
      </x:c>
      <x:c r="G100" s="58" t="n">
        <x:v>593.63</x:v>
      </x:c>
      <x:c r="H100" s="58" t="n">
        <x:v>50</x:v>
      </x:c>
      <x:c r="I100" s="58" t="n">
        <x:v>25.94537086356089</x:v>
      </x:c>
      <x:c r="J100" s="58" t="str">
        <x:v>26</x:v>
      </x:c>
      <x:c r="K100" s="58" t="str">
        <x:v>16</x:v>
      </x:c>
      <x:c r="L100" s="58" t="n">
        <x:v>-0.8496739196161496</x:v>
      </x:c>
      <x:c r="M100" s="58" t="n">
        <x:v>25.92221964318432</x:v>
      </x:c>
      <x:c r="N100" s="58" t="n">
        <x:v>25.99749989205094</x:v>
      </x:c>
      <x:c r="O100" s="58" t="n">
        <x:v>25.92221964318432</x:v>
      </x:c>
      <x:c r="P100" s="58" t="n">
        <x:v>0.05212902849005019</x:v>
      </x:c>
      <x:c r="Q100" s="58" t="n">
        <x:v>0.023151220376568915</x:v>
      </x:c>
      <x:c r="R100" s="58" t="n">
        <x:v>0.023151220376568915</x:v>
      </x:c>
      <x:c r="S100" s="58" t="str">
        <x:v>3.0727155823904493</x:v>
      </x:c>
      <x:c r="T100" s="58" t="str">
        <x:v>0.0</x:v>
      </x:c>
      <x:c r="U100" s="58" t="n">
        <x:v>0.6010457987463932</x:v>
      </x:c>
      <x:c r="V100" s="58" t="n">
        <x:v>0.11992788608392642</x:v>
      </x:c>
      <x:c r="W100" s="58" t="n">
        <x:v>0.28329166486751567</x:v>
      </x:c>
      <x:c r="X100" s="59" t="n">
        <x:v>0.027052156498069035</x:v>
      </x:c>
    </x:row>
    <x:row r="101">
      <x:c r="A101" s="57" t="str">
        <x:v>S18_LJH</x:v>
      </x:c>
      <x:c r="B101" s="58" t="str">
        <x:v>S01</x:v>
      </x:c>
      <x:c r="C101" s="58" t="str">
        <x:v>FACE_R1</x:v>
      </x:c>
      <x:c r="D101" s="58" t="n">
        <x:v>1</x:v>
      </x:c>
      <x:c r="E101" s="58" t="n">
        <x:v>1</x:v>
      </x:c>
      <x:c r="F101" s="58" t="n">
        <x:v>28.488</x:v>
      </x:c>
      <x:c r="G101" s="58" t="n">
        <x:v>78</x:v>
      </x:c>
      <x:c r="H101" s="58" t="n">
        <x:v>49.512</x:v>
      </x:c>
      <x:c r="I101" s="58" t="n">
        <x:v>16.37375957159053</x:v>
      </x:c>
      <x:c r="J101" s="58" t="str">
        <x:v>17</x:v>
      </x:c>
      <x:c r="K101" s="58" t="str">
        <x:v>73</x:v>
      </x:c>
      <x:c r="L101" s="58" t="n">
        <x:v>0.9705204997249568</x:v>
      </x:c>
      <x:c r="M101" s="58" t="n">
        <x:v>16.345897573387493</x:v>
      </x:c>
      <x:c r="N101" s="58" t="n">
        <x:v>16.34919044507376</x:v>
      </x:c>
      <x:c r="O101" s="58" t="n">
        <x:v>16.345897573387493</x:v>
      </x:c>
      <x:c r="P101" s="58" t="n">
        <x:v>0.024569126516770012</x:v>
      </x:c>
      <x:c r="Q101" s="58" t="n">
        <x:v>0.027861998203036364</x:v>
      </x:c>
      <x:c r="R101" s="58" t="n">
        <x:v>0.027861998203036364</x:v>
      </x:c>
      <x:c r="S101" s="58" t="str">
        <x:v>3.9045211908812902</x:v>
      </x:c>
      <x:c r="T101" s="58" t="str">
        <x:v>0.0025252525252525255</x:v>
      </x:c>
      <x:c r="U101" s="58" t="n">
        <x:v>0.6975306051978226</x:v>
      </x:c>
      <x:c r="V101" s="58" t="n">
        <x:v>0.12445458177987372</x:v>
      </x:c>
      <x:c r="W101" s="58" t="n">
        <x:v>0.12248650741789599</x:v>
      </x:c>
      <x:c r="X101" s="59" t="n">
        <x:v>0.024844443404279715</x:v>
      </x:c>
    </x:row>
    <x:row r="102">
      <x:c r="A102" s="57" t="str">
        <x:v>S18_LJH</x:v>
      </x:c>
      <x:c r="B102" s="58" t="str">
        <x:v>S01</x:v>
      </x:c>
      <x:c r="C102" s="58" t="str">
        <x:v>FACE_R1</x:v>
      </x:c>
      <x:c r="D102" s="58" t="n">
        <x:v>1</x:v>
      </x:c>
      <x:c r="E102" s="58" t="n">
        <x:v>2</x:v>
      </x:c>
      <x:c r="F102" s="58" t="n">
        <x:v>28.488</x:v>
      </x:c>
      <x:c r="G102" s="58" t="n">
        <x:v>78</x:v>
      </x:c>
      <x:c r="H102" s="58" t="n">
        <x:v>49.512</x:v>
      </x:c>
      <x:c r="I102" s="58" t="n">
        <x:v>16.37375957159053</x:v>
      </x:c>
      <x:c r="J102" s="58" t="str">
        <x:v>65</x:v>
      </x:c>
      <x:c r="K102" s="58" t="str">
        <x:v>32</x:v>
      </x:c>
      <x:c r="L102" s="58" t="n">
        <x:v>0.8974007591257476</x:v>
      </x:c>
      <x:c r="M102" s="58" t="n">
        <x:v>16.38973966454355</x:v>
      </x:c>
      <x:c r="N102" s="58" t="n">
        <x:v>16.31160390000713</x:v>
      </x:c>
      <x:c r="O102" s="58" t="n">
        <x:v>16.38973966454355</x:v>
      </x:c>
      <x:c r="P102" s="58" t="n">
        <x:v>0.06215567158340107</x:v>
      </x:c>
      <x:c r="Q102" s="58" t="n">
        <x:v>0.01598009295302205</x:v>
      </x:c>
      <x:c r="R102" s="58" t="n">
        <x:v>0.01598009295302205</x:v>
      </x:c>
      <x:c r="S102" s="58" t="str">
        <x:v>2.6067979023615946</x:v>
      </x:c>
      <x:c r="T102" s="58" t="str">
        <x:v>0.007575757575757576</x:v>
      </x:c>
      <x:c r="U102" s="58" t="n">
        <x:v>0.7581251927824127</x:v>
      </x:c>
      <x:c r="V102" s="58" t="n">
        <x:v>0.1172290977348858</x:v>
      </x:c>
      <x:c r="W102" s="58" t="n">
        <x:v>0.12186006500011878</x:v>
      </x:c>
      <x:c r="X102" s="59" t="n">
        <x:v>0.031334668927641036</x:v>
      </x:c>
    </x:row>
    <x:row r="103">
      <x:c r="A103" s="57" t="str">
        <x:v>S18_LJH</x:v>
      </x:c>
      <x:c r="B103" s="58" t="str">
        <x:v>S01</x:v>
      </x:c>
      <x:c r="C103" s="58" t="str">
        <x:v>FACE_R1</x:v>
      </x:c>
      <x:c r="D103" s="58" t="n">
        <x:v>1</x:v>
      </x:c>
      <x:c r="E103" s="58" t="n">
        <x:v>3</x:v>
      </x:c>
      <x:c r="F103" s="58" t="n">
        <x:v>28.488</x:v>
      </x:c>
      <x:c r="G103" s="58" t="n">
        <x:v>78</x:v>
      </x:c>
      <x:c r="H103" s="58" t="n">
        <x:v>49.512</x:v>
      </x:c>
      <x:c r="I103" s="58" t="n">
        <x:v>16.37375957159053</x:v>
      </x:c>
      <x:c r="J103" s="58" t="str">
        <x:v>14</x:v>
      </x:c>
      <x:c r="K103" s="58" t="str">
        <x:v>42</x:v>
      </x:c>
      <x:c r="L103" s="58" t="n">
        <x:v>-0.46162339110897194</x:v>
      </x:c>
      <x:c r="M103" s="58" t="n">
        <x:v>16.091247564663977</x:v>
      </x:c>
      <x:c r="N103" s="58" t="n">
        <x:v>15.885103423386308</x:v>
      </x:c>
      <x:c r="O103" s="58" t="n">
        <x:v>16.091247564663977</x:v>
      </x:c>
      <x:c r="P103" s="58" t="n">
        <x:v>0.4886561482042211</x:v>
      </x:c>
      <x:c r="Q103" s="58" t="n">
        <x:v>0.2825120069265523</x:v>
      </x:c>
      <x:c r="R103" s="58" t="n">
        <x:v>0.2825120069265523</x:v>
      </x:c>
      <x:c r="S103" s="58" t="str">
        <x:v>1.4687942448364566</x:v>
      </x:c>
      <x:c r="T103" s="58" t="str">
        <x:v>0.007575757575757576</x:v>
      </x:c>
      <x:c r="U103" s="58" t="n">
        <x:v>0.782820925921028</x:v>
      </x:c>
      <x:c r="V103" s="58" t="n">
        <x:v>0.07699936677669696</x:v>
      </x:c>
      <x:c r="W103" s="58" t="n">
        <x:v>0.11475172372310513</x:v>
      </x:c>
      <x:c r="X103" s="59" t="n">
        <x:v>0.02543069901611758</x:v>
      </x:c>
    </x:row>
    <x:row r="104">
      <x:c r="A104" s="57" t="str">
        <x:v>S18_LJH</x:v>
      </x:c>
      <x:c r="B104" s="58" t="str">
        <x:v>S01</x:v>
      </x:c>
      <x:c r="C104" s="58" t="str">
        <x:v>FACE_R2</x:v>
      </x:c>
      <x:c r="D104" s="58" t="n">
        <x:v>2</x:v>
      </x:c>
      <x:c r="E104" s="58" t="n">
        <x:v>1</x:v>
      </x:c>
      <x:c r="F104" s="58" t="n">
        <x:v>88</x:v>
      </x:c>
      <x:c r="G104" s="58" t="n">
        <x:v>139.9</x:v>
      </x:c>
      <x:c r="H104" s="58" t="n">
        <x:v>51.9</x:v>
      </x:c>
      <x:c r="I104" s="58" t="n">
        <x:v>17.116628714455533</x:v>
      </x:c>
      <x:c r="J104" s="58" t="str">
        <x:v>72</x:v>
      </x:c>
      <x:c r="K104" s="58" t="str">
        <x:v>64</x:v>
      </x:c>
      <x:c r="L104" s="58" t="n">
        <x:v>-0.9329204560548239</x:v>
      </x:c>
      <x:c r="M104" s="58" t="n">
        <x:v>17.098856834386606</x:v>
      </x:c>
      <x:c r="N104" s="58" t="n">
        <x:v>17.10568132504556</x:v>
      </x:c>
      <x:c r="O104" s="58" t="n">
        <x:v>17.098856834386606</x:v>
      </x:c>
      <x:c r="P104" s="58" t="n">
        <x:v>0.010947389409974306</x:v>
      </x:c>
      <x:c r="Q104" s="58" t="n">
        <x:v>0.017771880068927715</x:v>
      </x:c>
      <x:c r="R104" s="58" t="n">
        <x:v>0.017771880068927715</x:v>
      </x:c>
      <x:c r="S104" s="58" t="str">
        <x:v>1.0958862634917415</x:v>
      </x:c>
      <x:c r="T104" s="58" t="str">
        <x:v>0.0</x:v>
      </x:c>
      <x:c r="U104" s="58" t="n">
        <x:v>0.8006601138418213</x:v>
      </x:c>
      <x:c r="V104" s="58" t="n">
        <x:v>0.09552213615796382</x:v>
      </x:c>
      <x:c r="W104" s="58" t="n">
        <x:v>0.13509468875075933</x:v>
      </x:c>
      <x:c r="X104" s="59" t="n">
        <x:v>0.030447776882153617</x:v>
      </x:c>
    </x:row>
    <x:row r="105">
      <x:c r="A105" s="57" t="str">
        <x:v>S18_LJH</x:v>
      </x:c>
      <x:c r="B105" s="58" t="str">
        <x:v>S01</x:v>
      </x:c>
      <x:c r="C105" s="58" t="str">
        <x:v>FACE_R2</x:v>
      </x:c>
      <x:c r="D105" s="58" t="n">
        <x:v>2</x:v>
      </x:c>
      <x:c r="E105" s="58" t="n">
        <x:v>2</x:v>
      </x:c>
      <x:c r="F105" s="58" t="n">
        <x:v>88</x:v>
      </x:c>
      <x:c r="G105" s="58" t="n">
        <x:v>139.9</x:v>
      </x:c>
      <x:c r="H105" s="58" t="n">
        <x:v>51.9</x:v>
      </x:c>
      <x:c r="I105" s="58" t="n">
        <x:v>17.116628714455533</x:v>
      </x:c>
      <x:c r="J105" s="58" t="str">
        <x:v>66</x:v>
      </x:c>
      <x:c r="K105" s="58" t="str">
        <x:v>19</x:v>
      </x:c>
      <x:c r="L105" s="58" t="n">
        <x:v>0.8301321715410153</x:v>
      </x:c>
      <x:c r="M105" s="58" t="n">
        <x:v>17.123670391205323</x:v>
      </x:c>
      <x:c r="N105" s="58" t="n">
        <x:v>17.12492030721135</x:v>
      </x:c>
      <x:c r="O105" s="58" t="n">
        <x:v>17.123670391205323</x:v>
      </x:c>
      <x:c r="P105" s="58" t="n">
        <x:v>0.00829159275581759</x:v>
      </x:c>
      <x:c r="Q105" s="58" t="n">
        <x:v>0.007041676749789616</x:v>
      </x:c>
      <x:c r="R105" s="58" t="n">
        <x:v>0.007041676749789616</x:v>
      </x:c>
      <x:c r="S105" s="58" t="str">
        <x:v>2.2812836660366362</x:v>
      </x:c>
      <x:c r="T105" s="58" t="str">
        <x:v>0.00048192771084337347</x:v>
      </x:c>
      <x:c r="U105" s="58" t="n">
        <x:v>0.805193840192216</x:v>
      </x:c>
      <x:c r="V105" s="58" t="n">
        <x:v>0.07835639308780538</x:v>
      </x:c>
      <x:c r="W105" s="58" t="n">
        <x:v>0.13541533845352252</x:v>
      </x:c>
      <x:c r="X105" s="59" t="n">
        <x:v>0.03185062525766785</x:v>
      </x:c>
    </x:row>
    <x:row r="106">
      <x:c r="A106" s="57" t="str">
        <x:v>S18_LJH</x:v>
      </x:c>
      <x:c r="B106" s="58" t="str">
        <x:v>S01</x:v>
      </x:c>
      <x:c r="C106" s="58" t="str">
        <x:v>FACE_R2</x:v>
      </x:c>
      <x:c r="D106" s="58" t="n">
        <x:v>2</x:v>
      </x:c>
      <x:c r="E106" s="58" t="n">
        <x:v>3</x:v>
      </x:c>
      <x:c r="F106" s="58" t="n">
        <x:v>88</x:v>
      </x:c>
      <x:c r="G106" s="58" t="n">
        <x:v>139.9</x:v>
      </x:c>
      <x:c r="H106" s="58" t="n">
        <x:v>51.9</x:v>
      </x:c>
      <x:c r="I106" s="58" t="n">
        <x:v>17.116628714455533</x:v>
      </x:c>
      <x:c r="J106" s="58" t="str">
        <x:v>14</x:v>
      </x:c>
      <x:c r="K106" s="58" t="str">
        <x:v>19</x:v>
      </x:c>
      <x:c r="L106" s="58" t="n">
        <x:v>-0.7906424484569768</x:v>
      </x:c>
      <x:c r="M106" s="58" t="n">
        <x:v>17.09579063239462</x:v>
      </x:c>
      <x:c r="N106" s="58" t="n">
        <x:v>17.074163719327036</x:v>
      </x:c>
      <x:c r="O106" s="58" t="n">
        <x:v>17.09579063239462</x:v>
      </x:c>
      <x:c r="P106" s="58" t="n">
        <x:v>0.04246499512849766</x:v>
      </x:c>
      <x:c r="Q106" s="58" t="n">
        <x:v>0.0208380820609122</x:v>
      </x:c>
      <x:c r="R106" s="58" t="n">
        <x:v>0.0208380820609122</x:v>
      </x:c>
      <x:c r="S106" s="58" t="str">
        <x:v>1.9690127750411117</x:v>
      </x:c>
      <x:c r="T106" s="58" t="str">
        <x:v>0.0</x:v>
      </x:c>
      <x:c r="U106" s="58" t="n">
        <x:v>0.7931905825953378</x:v>
      </x:c>
      <x:c r="V106" s="58" t="n">
        <x:v>0.1076566763221253</x:v>
      </x:c>
      <x:c r="W106" s="58" t="n">
        <x:v>0.13456939532211729</x:v>
      </x:c>
      <x:c r="X106" s="59" t="n">
        <x:v>0.022085248359367742</x:v>
      </x:c>
    </x:row>
    <x:row r="107">
      <x:c r="A107" s="57" t="str">
        <x:v>S18_LJH</x:v>
      </x:c>
      <x:c r="B107" s="58" t="str">
        <x:v>S01</x:v>
      </x:c>
      <x:c r="C107" s="58" t="str">
        <x:v>FACE_R3</x:v>
      </x:c>
      <x:c r="D107" s="58" t="n">
        <x:v>3</x:v>
      </x:c>
      <x:c r="E107" s="58" t="n">
        <x:v>1</x:v>
      </x:c>
      <x:c r="F107" s="58" t="n">
        <x:v>149.9</x:v>
      </x:c>
      <x:c r="G107" s="58" t="n">
        <x:v>206.68</x:v>
      </x:c>
      <x:c r="H107" s="58" t="n">
        <x:v>56.78</x:v>
      </x:c>
      <x:c r="I107" s="58" t="n">
        <x:v>14.818154883718202</x:v>
      </x:c>
      <x:c r="J107" s="58" t="str">
        <x:v>58</x:v>
      </x:c>
      <x:c r="K107" s="58" t="str">
        <x:v>23</x:v>
      </x:c>
      <x:c r="L107" s="58" t="n">
        <x:v>-0.8938366105042819</x:v>
      </x:c>
      <x:c r="M107" s="58" t="n">
        <x:v>14.768888237196556</x:v>
      </x:c>
      <x:c r="N107" s="58" t="n">
        <x:v>14.754848682859176</x:v>
      </x:c>
      <x:c r="O107" s="58" t="n">
        <x:v>14.768888237196556</x:v>
      </x:c>
      <x:c r="P107" s="58" t="n">
        <x:v>0.06330620085902616</x:v>
      </x:c>
      <x:c r="Q107" s="58" t="n">
        <x:v>0.04926664652164625</x:v>
      </x:c>
      <x:c r="R107" s="58" t="n">
        <x:v>0.04926664652164625</x:v>
      </x:c>
      <x:c r="S107" s="58" t="str">
        <x:v>1.2956763628627015</x:v>
      </x:c>
      <x:c r="T107" s="58" t="str">
        <x:v>0.0</x:v>
      </x:c>
      <x:c r="U107" s="58" t="n">
        <x:v>0.736775357508938</x:v>
      </x:c>
      <x:c r="V107" s="58" t="n">
        <x:v>0.15185262405633987</x:v>
      </x:c>
      <x:c r="W107" s="58" t="n">
        <x:v>0.09591414471431961</x:v>
      </x:c>
      <x:c r="X107" s="59" t="n">
        <x:v>0.025810634298736177</x:v>
      </x:c>
    </x:row>
    <x:row r="108">
      <x:c r="A108" s="57" t="str">
        <x:v>S18_LJH</x:v>
      </x:c>
      <x:c r="B108" s="58" t="str">
        <x:v>S01</x:v>
      </x:c>
      <x:c r="C108" s="58" t="str">
        <x:v>FACE_R3</x:v>
      </x:c>
      <x:c r="D108" s="58" t="n">
        <x:v>3</x:v>
      </x:c>
      <x:c r="E108" s="58" t="n">
        <x:v>2</x:v>
      </x:c>
      <x:c r="F108" s="58" t="n">
        <x:v>149.9</x:v>
      </x:c>
      <x:c r="G108" s="58" t="n">
        <x:v>206.68</x:v>
      </x:c>
      <x:c r="H108" s="58" t="n">
        <x:v>56.78</x:v>
      </x:c>
      <x:c r="I108" s="58" t="n">
        <x:v>14.818154883718202</x:v>
      </x:c>
      <x:c r="J108" s="58" t="str">
        <x:v>19</x:v>
      </x:c>
      <x:c r="K108" s="58" t="str">
        <x:v>67</x:v>
      </x:c>
      <x:c r="L108" s="58" t="n">
        <x:v>-0.9451083031915727</x:v>
      </x:c>
      <x:c r="M108" s="58" t="n">
        <x:v>14.754533672305925</x:v>
      </x:c>
      <x:c r="N108" s="58" t="n">
        <x:v>14.758106420008945</x:v>
      </x:c>
      <x:c r="O108" s="58" t="n">
        <x:v>14.754533672305925</x:v>
      </x:c>
      <x:c r="P108" s="58" t="n">
        <x:v>0.06004846370925776</x:v>
      </x:c>
      <x:c r="Q108" s="58" t="n">
        <x:v>0.06362121141227739</x:v>
      </x:c>
      <x:c r="R108" s="58" t="n">
        <x:v>0.06362121141227739</x:v>
      </x:c>
      <x:c r="S108" s="58" t="str">
        <x:v>1.4120509606236002</x:v>
      </x:c>
      <x:c r="T108" s="58" t="str">
        <x:v>0.0</x:v>
      </x:c>
      <x:c r="U108" s="58" t="n">
        <x:v>0.7918685022612291</x:v>
      </x:c>
      <x:c r="V108" s="58" t="n">
        <x:v>0.11529279181456822</x:v>
      </x:c>
      <x:c r="W108" s="58" t="n">
        <x:v>0.09596844033348242</x:v>
      </x:c>
      <x:c r="X108" s="59" t="n">
        <x:v>0.03001560117830074</x:v>
      </x:c>
    </x:row>
    <x:row r="109">
      <x:c r="A109" s="57" t="str">
        <x:v>S18_LJH</x:v>
      </x:c>
      <x:c r="B109" s="58" t="str">
        <x:v>S01</x:v>
      </x:c>
      <x:c r="C109" s="58" t="str">
        <x:v>FACE_R3</x:v>
      </x:c>
      <x:c r="D109" s="58" t="n">
        <x:v>3</x:v>
      </x:c>
      <x:c r="E109" s="58" t="n">
        <x:v>3</x:v>
      </x:c>
      <x:c r="F109" s="58" t="n">
        <x:v>149.9</x:v>
      </x:c>
      <x:c r="G109" s="58" t="n">
        <x:v>206.68</x:v>
      </x:c>
      <x:c r="H109" s="58" t="n">
        <x:v>56.78</x:v>
      </x:c>
      <x:c r="I109" s="58" t="n">
        <x:v>14.818154883718202</x:v>
      </x:c>
      <x:c r="J109" s="58" t="str">
        <x:v>15</x:v>
      </x:c>
      <x:c r="K109" s="58" t="str">
        <x:v>71</x:v>
      </x:c>
      <x:c r="L109" s="58" t="n">
        <x:v>0.9314903811504504</x:v>
      </x:c>
      <x:c r="M109" s="58" t="n">
        <x:v>14.724435036962097</x:v>
      </x:c>
      <x:c r="N109" s="58" t="n">
        <x:v>14.702653699146675</x:v>
      </x:c>
      <x:c r="O109" s="58" t="n">
        <x:v>14.724435036962097</x:v>
      </x:c>
      <x:c r="P109" s="58" t="n">
        <x:v>0.11550118457152792</x:v>
      </x:c>
      <x:c r="Q109" s="58" t="n">
        <x:v>0.09371984675610534</x:v>
      </x:c>
      <x:c r="R109" s="58" t="n">
        <x:v>0.09371984675610534</x:v>
      </x:c>
      <x:c r="S109" s="58" t="str">
        <x:v>2.3672327614250355</x:v>
      </x:c>
      <x:c r="T109" s="58" t="str">
        <x:v>0.00044033465433729633</x:v>
      </x:c>
      <x:c r="U109" s="58" t="n">
        <x:v>0.7802554393588537</x:v>
      </x:c>
      <x:c r="V109" s="58" t="n">
        <x:v>0.11849855528379027</x:v>
      </x:c>
      <x:c r="W109" s="58" t="n">
        <x:v>0.09504422831911125</x:v>
      </x:c>
      <x:c r="X109" s="59" t="n">
        <x:v>0.02116134055904893</x:v>
      </x:c>
    </x:row>
    <x:row r="110">
      <x:c r="A110" s="57" t="str">
        <x:v>S18_LJH</x:v>
      </x:c>
      <x:c r="B110" s="58" t="str">
        <x:v>S02</x:v>
      </x:c>
      <x:c r="C110" s="58" t="str">
        <x:v>NORMAL</x:v>
      </x:c>
      <x:c r="D110" s="58" t="str"/>
      <x:c r="E110" s="58" t="n">
        <x:v>1</x:v>
      </x:c>
      <x:c r="F110" s="58" t="n">
        <x:v>242.434</x:v>
      </x:c>
      <x:c r="G110" s="58" t="n">
        <x:v>292.434</x:v>
      </x:c>
      <x:c r="H110" s="58" t="n">
        <x:v>50</x:v>
      </x:c>
      <x:c r="I110" s="58" t="n">
        <x:v>17.881074466433297</x:v>
      </x:c>
      <x:c r="J110" s="58" t="str">
        <x:v>13</x:v>
      </x:c>
      <x:c r="K110" s="58" t="str">
        <x:v>62</x:v>
      </x:c>
      <x:c r="L110" s="58" t="n">
        <x:v>0.8174677517038865</x:v>
      </x:c>
      <x:c r="M110" s="58" t="n">
        <x:v>18.007338590028866</x:v>
      </x:c>
      <x:c r="N110" s="58" t="n">
        <x:v>17.961397424149094</x:v>
      </x:c>
      <x:c r="O110" s="58" t="n">
        <x:v>18.007338590028866</x:v>
      </x:c>
      <x:c r="P110" s="58" t="n">
        <x:v>0.08032295771579712</x:v>
      </x:c>
      <x:c r="Q110" s="58" t="n">
        <x:v>0.12626412359556838</x:v>
      </x:c>
      <x:c r="R110" s="58" t="n">
        <x:v>0.12626412359556838</x:v>
      </x:c>
      <x:c r="S110" s="58" t="str">
        <x:v>1.618721029727032</x:v>
      </x:c>
      <x:c r="T110" s="58" t="str">
        <x:v>0.0</x:v>
      </x:c>
      <x:c r="U110" s="58" t="n">
        <x:v>0.7189505706377536</x:v>
      </x:c>
      <x:c r="V110" s="58" t="n">
        <x:v>0.1206326959505446</x:v>
      </x:c>
      <x:c r="W110" s="58" t="n">
        <x:v>0.14935662373581823</x:v>
      </x:c>
      <x:c r="X110" s="59" t="n">
        <x:v>0.030864732031993816</x:v>
      </x:c>
    </x:row>
    <x:row r="111">
      <x:c r="A111" s="57" t="str">
        <x:v>S18_LJH</x:v>
      </x:c>
      <x:c r="B111" s="58" t="str">
        <x:v>S02</x:v>
      </x:c>
      <x:c r="C111" s="58" t="str">
        <x:v>NORMAL</x:v>
      </x:c>
      <x:c r="D111" s="58" t="str"/>
      <x:c r="E111" s="58" t="n">
        <x:v>2</x:v>
      </x:c>
      <x:c r="F111" s="58" t="n">
        <x:v>242.434</x:v>
      </x:c>
      <x:c r="G111" s="58" t="n">
        <x:v>292.434</x:v>
      </x:c>
      <x:c r="H111" s="58" t="n">
        <x:v>50</x:v>
      </x:c>
      <x:c r="I111" s="58" t="n">
        <x:v>17.881074466433297</x:v>
      </x:c>
      <x:c r="J111" s="58" t="str">
        <x:v>28</x:v>
      </x:c>
      <x:c r="K111" s="58" t="str">
        <x:v>21</x:v>
      </x:c>
      <x:c r="L111" s="58" t="n">
        <x:v>0.6723820789001355</x:v>
      </x:c>
      <x:c r="M111" s="58" t="n">
        <x:v>17.7979817671742</x:v>
      </x:c>
      <x:c r="N111" s="58" t="n">
        <x:v>17.843363594733923</x:v>
      </x:c>
      <x:c r="O111" s="58" t="n">
        <x:v>17.7979817671742</x:v>
      </x:c>
      <x:c r="P111" s="58" t="n">
        <x:v>0.03771087169937459</x:v>
      </x:c>
      <x:c r="Q111" s="58" t="n">
        <x:v>0.08309269925909746</x:v>
      </x:c>
      <x:c r="R111" s="58" t="n">
        <x:v>0.08309269925909746</x:v>
      </x:c>
      <x:c r="S111" s="58" t="str">
        <x:v>2.0545399080643767</x:v>
      </x:c>
      <x:c r="T111" s="58" t="str">
        <x:v>0.0005</x:v>
      </x:c>
      <x:c r="U111" s="58" t="n">
        <x:v>0.6844038350267536</x:v>
      </x:c>
      <x:c r="V111" s="58" t="n">
        <x:v>0.12897946725058151</x:v>
      </x:c>
      <x:c r="W111" s="58" t="n">
        <x:v>0.1473893932455654</x:v>
      </x:c>
      <x:c r="X111" s="59" t="n">
        <x:v>0.03246458063146836</x:v>
      </x:c>
    </x:row>
    <x:row r="112">
      <x:c r="A112" s="57" t="str">
        <x:v>S18_LJH</x:v>
      </x:c>
      <x:c r="B112" s="58" t="str">
        <x:v>S02</x:v>
      </x:c>
      <x:c r="C112" s="58" t="str">
        <x:v>NORMAL</x:v>
      </x:c>
      <x:c r="D112" s="58" t="str"/>
      <x:c r="E112" s="58" t="n">
        <x:v>3</x:v>
      </x:c>
      <x:c r="F112" s="58" t="n">
        <x:v>242.434</x:v>
      </x:c>
      <x:c r="G112" s="58" t="n">
        <x:v>292.434</x:v>
      </x:c>
      <x:c r="H112" s="58" t="n">
        <x:v>50</x:v>
      </x:c>
      <x:c r="I112" s="58" t="n">
        <x:v>17.881074466433297</x:v>
      </x:c>
      <x:c r="J112" s="58" t="str">
        <x:v>14</x:v>
      </x:c>
      <x:c r="K112" s="58" t="str">
        <x:v>79</x:v>
      </x:c>
      <x:c r="L112" s="58" t="n">
        <x:v>0.7283682533456967</x:v>
      </x:c>
      <x:c r="M112" s="58" t="n">
        <x:v>17.626722935227793</x:v>
      </x:c>
      <x:c r="N112" s="58" t="n">
        <x:v>17.598952598621917</x:v>
      </x:c>
      <x:c r="O112" s="58" t="n">
        <x:v>17.626722935227793</x:v>
      </x:c>
      <x:c r="P112" s="58" t="n">
        <x:v>0.28212186781138016</x:v>
      </x:c>
      <x:c r="Q112" s="58" t="n">
        <x:v>0.25435153120550424</x:v>
      </x:c>
      <x:c r="R112" s="58" t="n">
        <x:v>0.25435153120550424</x:v>
      </x:c>
      <x:c r="S112" s="58" t="str">
        <x:v>1.9343039070185672</x:v>
      </x:c>
      <x:c r="T112" s="58" t="str">
        <x:v>0.0</x:v>
      </x:c>
      <x:c r="U112" s="58" t="n">
        <x:v>0.7076463649789572</x:v>
      </x:c>
      <x:c r="V112" s="58" t="n">
        <x:v>0.107248325232161</x:v>
      </x:c>
      <x:c r="W112" s="58" t="n">
        <x:v>0.14331587664369863</x:v>
      </x:c>
      <x:c r="X112" s="59" t="n">
        <x:v>0.02558286973828038</x:v>
      </x:c>
    </x:row>
    <x:row r="113">
      <x:c r="A113" s="57" t="str">
        <x:v>S18_LJH</x:v>
      </x:c>
      <x:c r="B113" s="58" t="str">
        <x:v>S02</x:v>
      </x:c>
      <x:c r="C113" s="58" t="str">
        <x:v>SLOW</x:v>
      </x:c>
      <x:c r="D113" s="58" t="str"/>
      <x:c r="E113" s="58" t="n">
        <x:v>1</x:v>
      </x:c>
      <x:c r="F113" s="58" t="n">
        <x:v>302.434</x:v>
      </x:c>
      <x:c r="G113" s="58" t="n">
        <x:v>352.434</x:v>
      </x:c>
      <x:c r="H113" s="58" t="n">
        <x:v>50</x:v>
      </x:c>
      <x:c r="I113" s="58" t="n">
        <x:v>6.025287617438391</x:v>
      </x:c>
      <x:c r="J113" s="58" t="str">
        <x:v>58</x:v>
      </x:c>
      <x:c r="K113" s="58" t="str">
        <x:v>62</x:v>
      </x:c>
      <x:c r="L113" s="58" t="n">
        <x:v>0.7633746345357749</x:v>
      </x:c>
      <x:c r="M113" s="58" t="n">
        <x:v>6.023764350017574</x:v>
      </x:c>
      <x:c r="N113" s="58" t="n">
        <x:v>6.127924567423937</x:v>
      </x:c>
      <x:c r="O113" s="58" t="n">
        <x:v>6.023764350017574</x:v>
      </x:c>
      <x:c r="P113" s="58" t="n">
        <x:v>0.10263694998554662</x:v>
      </x:c>
      <x:c r="Q113" s="58" t="n">
        <x:v>0.0015232674208167651</x:v>
      </x:c>
      <x:c r="R113" s="58" t="n">
        <x:v>0.0015232674208167651</x:v>
      </x:c>
      <x:c r="S113" s="58" t="str">
        <x:v>3.2157404536894827</x:v>
      </x:c>
      <x:c r="T113" s="58" t="str">
        <x:v>0.0</x:v>
      </x:c>
      <x:c r="U113" s="58" t="n">
        <x:v>0.6742576001147558</x:v>
      </x:c>
      <x:c r="V113" s="58" t="n">
        <x:v>0.1474429646386588</x:v>
      </x:c>
      <x:c r="W113" s="58" t="n">
        <x:v>0.032132076123732284</x:v>
      </x:c>
      <x:c r="X113" s="59" t="n">
        <x:v>0.029945292490902643</x:v>
      </x:c>
    </x:row>
    <x:row r="114">
      <x:c r="A114" s="57" t="str">
        <x:v>S18_LJH</x:v>
      </x:c>
      <x:c r="B114" s="58" t="str">
        <x:v>S02</x:v>
      </x:c>
      <x:c r="C114" s="58" t="str">
        <x:v>SLOW</x:v>
      </x:c>
      <x:c r="D114" s="58" t="str"/>
      <x:c r="E114" s="58" t="n">
        <x:v>2</x:v>
      </x:c>
      <x:c r="F114" s="58" t="n">
        <x:v>302.434</x:v>
      </x:c>
      <x:c r="G114" s="58" t="n">
        <x:v>352.434</x:v>
      </x:c>
      <x:c r="H114" s="58" t="n">
        <x:v>50</x:v>
      </x:c>
      <x:c r="I114" s="58" t="n">
        <x:v>6.025287617438391</x:v>
      </x:c>
      <x:c r="J114" s="58" t="str">
        <x:v>22</x:v>
      </x:c>
      <x:c r="K114" s="58" t="str">
        <x:v>43</x:v>
      </x:c>
      <x:c r="L114" s="58" t="n">
        <x:v>0.7968983360932391</x:v>
      </x:c>
      <x:c r="M114" s="58" t="n">
        <x:v>6.042223369852989</x:v>
      </x:c>
      <x:c r="N114" s="58" t="n">
        <x:v>6.006993807905386</x:v>
      </x:c>
      <x:c r="O114" s="58" t="n">
        <x:v>6.042223369852989</x:v>
      </x:c>
      <x:c r="P114" s="58" t="n">
        <x:v>0.018293809533004968</x:v>
      </x:c>
      <x:c r="Q114" s="58" t="n">
        <x:v>0.016935752414598326</x:v>
      </x:c>
      <x:c r="R114" s="58" t="n">
        <x:v>0.016935752414598326</x:v>
      </x:c>
      <x:c r="S114" s="58" t="str">
        <x:v>5.247162590934457</x:v>
      </x:c>
      <x:c r="T114" s="58" t="str">
        <x:v>0.0035</x:v>
      </x:c>
      <x:c r="U114" s="58" t="n">
        <x:v>0.6731925977031921</x:v>
      </x:c>
      <x:c r="V114" s="58" t="n">
        <x:v>0.1335884900455859</x:v>
      </x:c>
      <x:c r="W114" s="58" t="n">
        <x:v>0.030116563465089757</x:v>
      </x:c>
      <x:c r="X114" s="59" t="n">
        <x:v>0.03207304772772626</x:v>
      </x:c>
    </x:row>
    <x:row r="115">
      <x:c r="A115" s="57" t="str">
        <x:v>S18_LJH</x:v>
      </x:c>
      <x:c r="B115" s="58" t="str">
        <x:v>S02</x:v>
      </x:c>
      <x:c r="C115" s="58" t="str">
        <x:v>SLOW</x:v>
      </x:c>
      <x:c r="D115" s="58" t="str"/>
      <x:c r="E115" s="58" t="n">
        <x:v>3</x:v>
      </x:c>
      <x:c r="F115" s="58" t="n">
        <x:v>302.434</x:v>
      </x:c>
      <x:c r="G115" s="58" t="n">
        <x:v>352.434</x:v>
      </x:c>
      <x:c r="H115" s="58" t="n">
        <x:v>50</x:v>
      </x:c>
      <x:c r="I115" s="58" t="n">
        <x:v>6.025287617438391</x:v>
      </x:c>
      <x:c r="J115" s="58" t="str">
        <x:v>59</x:v>
      </x:c>
      <x:c r="K115" s="58" t="str">
        <x:v>25</x:v>
      </x:c>
      <x:c r="L115" s="58" t="n">
        <x:v>-0.7651676952243877</x:v>
      </x:c>
      <x:c r="M115" s="58" t="n">
        <x:v>6.07395447541914</x:v>
      </x:c>
      <x:c r="N115" s="58" t="n">
        <x:v>6.118631713382634</x:v>
      </x:c>
      <x:c r="O115" s="58" t="n">
        <x:v>6.07395447541914</x:v>
      </x:c>
      <x:c r="P115" s="58" t="n">
        <x:v>0.09334409594424287</x:v>
      </x:c>
      <x:c r="Q115" s="58" t="n">
        <x:v>0.048666857980749434</x:v>
      </x:c>
      <x:c r="R115" s="58" t="n">
        <x:v>0.048666857980749434</x:v>
      </x:c>
      <x:c r="S115" s="58" t="str">
        <x:v>3.0600223956330472</x:v>
      </x:c>
      <x:c r="T115" s="58" t="str">
        <x:v>0.0</x:v>
      </x:c>
      <x:c r="U115" s="58" t="n">
        <x:v>0.646473325031243</x:v>
      </x:c>
      <x:c r="V115" s="58" t="n">
        <x:v>0.16779671548373443</x:v>
      </x:c>
      <x:c r="W115" s="58" t="n">
        <x:v>0.03197719522304389</x:v>
      </x:c>
      <x:c r="X115" s="59" t="n">
        <x:v>0.0268348979161672</x:v>
      </x:c>
    </x:row>
    <x:row r="116">
      <x:c r="A116" s="57" t="str">
        <x:v>S18_LJH</x:v>
      </x:c>
      <x:c r="B116" s="58" t="str">
        <x:v>S02</x:v>
      </x:c>
      <x:c r="C116" s="58" t="str">
        <x:v>POST_HOLD</x:v>
      </x:c>
      <x:c r="D116" s="58" t="str"/>
      <x:c r="E116" s="58" t="n">
        <x:v>1</x:v>
      </x:c>
      <x:c r="F116" s="58" t="n">
        <x:v>392.434</x:v>
      </x:c>
      <x:c r="G116" s="58" t="n">
        <x:v>442.434</x:v>
      </x:c>
      <x:c r="H116" s="58" t="n">
        <x:v>50</x:v>
      </x:c>
      <x:c r="I116" s="58" t="n">
        <x:v>14.469767103656892</x:v>
      </x:c>
      <x:c r="J116" s="58" t="str">
        <x:v>63</x:v>
      </x:c>
      <x:c r="K116" s="58" t="str">
        <x:v>79</x:v>
      </x:c>
      <x:c r="L116" s="58" t="n">
        <x:v>-0.8285557459093185</x:v>
      </x:c>
      <x:c r="M116" s="58" t="n">
        <x:v>14.50279740190554</x:v>
      </x:c>
      <x:c r="N116" s="58" t="n">
        <x:v>14.518540581395845</x:v>
      </x:c>
      <x:c r="O116" s="58" t="n">
        <x:v>14.50279740190554</x:v>
      </x:c>
      <x:c r="P116" s="58" t="n">
        <x:v>0.04877347773895302</x:v>
      </x:c>
      <x:c r="Q116" s="58" t="n">
        <x:v>0.03303029824864723</x:v>
      </x:c>
      <x:c r="R116" s="58" t="n">
        <x:v>0.03303029824864723</x:v>
      </x:c>
      <x:c r="S116" s="58" t="str">
        <x:v>1.2808057927287428</x:v>
      </x:c>
      <x:c r="T116" s="58" t="str">
        <x:v>0.0</x:v>
      </x:c>
      <x:c r="U116" s="58" t="n">
        <x:v>0.7753823856379134</x:v>
      </x:c>
      <x:c r="V116" s="58" t="n">
        <x:v>0.08503544226919701</x:v>
      </x:c>
      <x:c r="W116" s="58" t="n">
        <x:v>0.09197567635659742</x:v>
      </x:c>
      <x:c r="X116" s="59" t="n">
        <x:v>0.03069685024936097</x:v>
      </x:c>
    </x:row>
    <x:row r="117">
      <x:c r="A117" s="57" t="str">
        <x:v>S18_LJH</x:v>
      </x:c>
      <x:c r="B117" s="58" t="str">
        <x:v>S02</x:v>
      </x:c>
      <x:c r="C117" s="58" t="str">
        <x:v>POST_HOLD</x:v>
      </x:c>
      <x:c r="D117" s="58" t="str"/>
      <x:c r="E117" s="58" t="n">
        <x:v>2</x:v>
      </x:c>
      <x:c r="F117" s="58" t="n">
        <x:v>392.434</x:v>
      </x:c>
      <x:c r="G117" s="58" t="n">
        <x:v>442.434</x:v>
      </x:c>
      <x:c r="H117" s="58" t="n">
        <x:v>50</x:v>
      </x:c>
      <x:c r="I117" s="58" t="n">
        <x:v>14.469767103656892</x:v>
      </x:c>
      <x:c r="J117" s="58" t="str">
        <x:v>67</x:v>
      </x:c>
      <x:c r="K117" s="58" t="str">
        <x:v>32</x:v>
      </x:c>
      <x:c r="L117" s="58" t="n">
        <x:v>0.9272199812622588</x:v>
      </x:c>
      <x:c r="M117" s="58" t="n">
        <x:v>14.69620115117832</x:v>
      </x:c>
      <x:c r="N117" s="58" t="n">
        <x:v>14.7718296692682</x:v>
      </x:c>
      <x:c r="O117" s="58" t="n">
        <x:v>14.69620115117832</x:v>
      </x:c>
      <x:c r="P117" s="58" t="n">
        <x:v>0.3020625656113083</x:v>
      </x:c>
      <x:c r="Q117" s="58" t="n">
        <x:v>0.22643404752142793</x:v>
      </x:c>
      <x:c r="R117" s="58" t="n">
        <x:v>0.22643404752142793</x:v>
      </x:c>
      <x:c r="S117" s="58" t="str">
        <x:v>2.6706356843631043</x:v>
      </x:c>
      <x:c r="T117" s="58" t="str">
        <x:v>0.001</x:v>
      </x:c>
      <x:c r="U117" s="58" t="n">
        <x:v>0.7282165066443311</x:v>
      </x:c>
      <x:c r="V117" s="58" t="n">
        <x:v>0.09951503322548956</x:v>
      </x:c>
      <x:c r="W117" s="58" t="n">
        <x:v>0.09619716115447</x:v>
      </x:c>
      <x:c r="X117" s="59" t="n">
        <x:v>0.030602030695301125</x:v>
      </x:c>
    </x:row>
    <x:row r="118">
      <x:c r="A118" s="57" t="str">
        <x:v>S18_LJH</x:v>
      </x:c>
      <x:c r="B118" s="58" t="str">
        <x:v>S02</x:v>
      </x:c>
      <x:c r="C118" s="58" t="str">
        <x:v>POST_HOLD</x:v>
      </x:c>
      <x:c r="D118" s="58" t="str"/>
      <x:c r="E118" s="58" t="n">
        <x:v>3</x:v>
      </x:c>
      <x:c r="F118" s="58" t="n">
        <x:v>392.434</x:v>
      </x:c>
      <x:c r="G118" s="58" t="n">
        <x:v>442.434</x:v>
      </x:c>
      <x:c r="H118" s="58" t="n">
        <x:v>50</x:v>
      </x:c>
      <x:c r="I118" s="58" t="n">
        <x:v>14.469767103656892</x:v>
      </x:c>
      <x:c r="J118" s="58" t="str">
        <x:v>77</x:v>
      </x:c>
      <x:c r="K118" s="58" t="str">
        <x:v>87</x:v>
      </x:c>
      <x:c r="L118" s="58" t="n">
        <x:v>-0.8408722180046244</x:v>
      </x:c>
      <x:c r="M118" s="58" t="n">
        <x:v>14.351374787486924</x:v>
      </x:c>
      <x:c r="N118" s="58" t="n">
        <x:v>14.401010032235027</x:v>
      </x:c>
      <x:c r="O118" s="58" t="n">
        <x:v>14.351374787486924</x:v>
      </x:c>
      <x:c r="P118" s="58" t="n">
        <x:v>0.06875707142186549</x:v>
      </x:c>
      <x:c r="Q118" s="58" t="n">
        <x:v>0.11839231616996848</x:v>
      </x:c>
      <x:c r="R118" s="58" t="n">
        <x:v>0.11839231616996848</x:v>
      </x:c>
      <x:c r="S118" s="58" t="str">
        <x:v>2.8917827657177986</x:v>
      </x:c>
      <x:c r="T118" s="58" t="str">
        <x:v>0.0</x:v>
      </x:c>
      <x:c r="U118" s="58" t="n">
        <x:v>0.6610340149207472</x:v>
      </x:c>
      <x:c r="V118" s="58" t="n">
        <x:v>0.1285234395668946</x:v>
      </x:c>
      <x:c r="W118" s="58" t="n">
        <x:v>0.09001683387058379</x:v>
      </x:c>
      <x:c r="X118" s="59" t="n">
        <x:v>0.024336555031605693</x:v>
      </x:c>
    </x:row>
    <x:row r="119">
      <x:c r="A119" s="57" t="str">
        <x:v>S18_LJH</x:v>
      </x:c>
      <x:c r="B119" s="58" t="str">
        <x:v>S02</x:v>
      </x:c>
      <x:c r="C119" s="58" t="str">
        <x:v>SQUAT</x:v>
      </x:c>
      <x:c r="D119" s="58" t="str"/>
      <x:c r="E119" s="58" t="n">
        <x:v>1</x:v>
      </x:c>
      <x:c r="F119" s="58" t="n">
        <x:v>467.434</x:v>
      </x:c>
      <x:c r="G119" s="58" t="n">
        <x:v>517.434</x:v>
      </x:c>
      <x:c r="H119" s="58" t="n">
        <x:v>50</x:v>
      </x:c>
      <x:c r="I119" s="58" t="n">
        <x:v>12.571252571843711</x:v>
      </x:c>
      <x:c r="J119" s="58" t="str">
        <x:v>69</x:v>
      </x:c>
      <x:c r="K119" s="58" t="str">
        <x:v>24</x:v>
      </x:c>
      <x:c r="L119" s="58" t="n">
        <x:v>-0.6331203232821264</x:v>
      </x:c>
      <x:c r="M119" s="58" t="n">
        <x:v>11.334810848469695</x:v>
      </x:c>
      <x:c r="N119" s="58" t="n">
        <x:v>11.516549070459273</x:v>
      </x:c>
      <x:c r="O119" s="58" t="n">
        <x:v>11.334810848469695</x:v>
      </x:c>
      <x:c r="P119" s="58" t="n">
        <x:v>1.054703501384438</x:v>
      </x:c>
      <x:c r="Q119" s="58" t="n">
        <x:v>1.236441723374016</x:v>
      </x:c>
      <x:c r="R119" s="58" t="n">
        <x:v>1.236441723374016</x:v>
      </x:c>
      <x:c r="S119" s="58" t="str">
        <x:v>0.6116426680091944</x:v>
      </x:c>
      <x:c r="T119" s="58" t="str">
        <x:v>0.013</x:v>
      </x:c>
      <x:c r="U119" s="58" t="n">
        <x:v>0.860650761892164</x:v>
      </x:c>
      <x:c r="V119" s="58" t="n">
        <x:v>0.0702865053649691</x:v>
      </x:c>
      <x:c r="W119" s="58" t="n">
        <x:v>0.04194248450765456</x:v>
      </x:c>
      <x:c r="X119" s="59" t="n">
        <x:v>0.027738904680003833</x:v>
      </x:c>
    </x:row>
    <x:row r="120">
      <x:c r="A120" s="57" t="str">
        <x:v>S18_LJH</x:v>
      </x:c>
      <x:c r="B120" s="58" t="str">
        <x:v>S02</x:v>
      </x:c>
      <x:c r="C120" s="58" t="str">
        <x:v>SQUAT</x:v>
      </x:c>
      <x:c r="D120" s="58" t="str"/>
      <x:c r="E120" s="58" t="n">
        <x:v>2</x:v>
      </x:c>
      <x:c r="F120" s="58" t="n">
        <x:v>467.434</x:v>
      </x:c>
      <x:c r="G120" s="58" t="n">
        <x:v>517.434</x:v>
      </x:c>
      <x:c r="H120" s="58" t="n">
        <x:v>50</x:v>
      </x:c>
      <x:c r="I120" s="58" t="n">
        <x:v>12.571252571843711</x:v>
      </x:c>
      <x:c r="J120" s="58" t="str">
        <x:v>65</x:v>
      </x:c>
      <x:c r="K120" s="58" t="str">
        <x:v>16</x:v>
      </x:c>
      <x:c r="L120" s="58" t="n">
        <x:v>-0.4962526187018393</x:v>
      </x:c>
      <x:c r="M120" s="58" t="n">
        <x:v>9.08203125</x:v>
      </x:c>
      <x:c r="N120" s="58" t="n">
        <x:v>9.08203125</x:v>
      </x:c>
      <x:c r="O120" s="58" t="n">
        <x:v>9.08203125</x:v>
      </x:c>
      <x:c r="P120" s="58" t="n">
        <x:v>3.4892213218437114</x:v>
      </x:c>
      <x:c r="Q120" s="58" t="n">
        <x:v>3.4892213218437114</x:v>
      </x:c>
      <x:c r="R120" s="58" t="n">
        <x:v>3.4892213218437114</x:v>
      </x:c>
      <x:c r="S120" s="58" t="str">
        <x:v>0.4405957835601427</x:v>
      </x:c>
      <x:c r="T120" s="58" t="str">
        <x:v>0.0145</x:v>
      </x:c>
      <x:c r="U120" s="58" t="n">
        <x:v>0.4622767453161942</x:v>
      </x:c>
      <x:c r="V120" s="58" t="n">
        <x:v>0.2930442427884977</x:v>
      </x:c>
      <x:c r="W120" s="58" t="n">
        <x:v>0.0013671875000000056</x:v>
      </x:c>
      <x:c r="X120" s="59" t="n">
        <x:v>0.035468888449656316</x:v>
      </x:c>
    </x:row>
    <x:row r="121">
      <x:c r="A121" s="57" t="str">
        <x:v>S18_LJH</x:v>
      </x:c>
      <x:c r="B121" s="58" t="str">
        <x:v>S02</x:v>
      </x:c>
      <x:c r="C121" s="58" t="str">
        <x:v>SQUAT</x:v>
      </x:c>
      <x:c r="D121" s="58" t="str"/>
      <x:c r="E121" s="58" t="n">
        <x:v>3</x:v>
      </x:c>
      <x:c r="F121" s="58" t="n">
        <x:v>467.434</x:v>
      </x:c>
      <x:c r="G121" s="58" t="n">
        <x:v>517.434</x:v>
      </x:c>
      <x:c r="H121" s="58" t="n">
        <x:v>50</x:v>
      </x:c>
      <x:c r="I121" s="58" t="n">
        <x:v>12.571252571843711</x:v>
      </x:c>
      <x:c r="J121" s="58" t="str">
        <x:v>14</x:v>
      </x:c>
      <x:c r="K121" s="58" t="str">
        <x:v>32</x:v>
      </x:c>
      <x:c r="L121" s="58" t="n">
        <x:v>-0.6322278164288583</x:v>
      </x:c>
      <x:c r="M121" s="58" t="n">
        <x:v>32.8125</x:v>
      </x:c>
      <x:c r="N121" s="58" t="n">
        <x:v>32.8125</x:v>
      </x:c>
      <x:c r="O121" s="58" t="n">
        <x:v>32.8125</x:v>
      </x:c>
      <x:c r="P121" s="58" t="n">
        <x:v>20.24124742815629</x:v>
      </x:c>
      <x:c r="Q121" s="58" t="n">
        <x:v>20.24124742815629</x:v>
      </x:c>
      <x:c r="R121" s="58" t="n">
        <x:v>20.24124742815629</x:v>
      </x:c>
      <x:c r="S121" s="58" t="str">
        <x:v>1.6293525945273248</x:v>
      </x:c>
      <x:c r="T121" s="58" t="str">
        <x:v>0.013</x:v>
      </x:c>
      <x:c r="U121" s="58" t="n">
        <x:v>0.8729823668261474</x:v>
      </x:c>
      <x:c r="V121" s="58" t="n">
        <x:v>0.09316833864480505</x:v>
      </x:c>
      <x:c r="W121" s="58" t="n">
        <x:v>0.396875</x:v>
      </x:c>
      <x:c r="X121" s="59" t="n">
        <x:v>0.022729297966241478</x:v>
      </x:c>
    </x:row>
    <x:row r="122">
      <x:c r="A122" s="57" t="str">
        <x:v>S18_LJH</x:v>
      </x:c>
      <x:c r="B122" s="58" t="str">
        <x:v>S02</x:v>
      </x:c>
      <x:c r="C122" s="58" t="str">
        <x:v>POST_EXERCISE</x:v>
      </x:c>
      <x:c r="D122" s="58" t="str"/>
      <x:c r="E122" s="58" t="n">
        <x:v>1</x:v>
      </x:c>
      <x:c r="F122" s="58" t="n">
        <x:v>542.434</x:v>
      </x:c>
      <x:c r="G122" s="58" t="n">
        <x:v>592.434</x:v>
      </x:c>
      <x:c r="H122" s="58" t="n">
        <x:v>50</x:v>
      </x:c>
      <x:c r="I122" s="58" t="n">
        <x:v>16.282321635681996</x:v>
      </x:c>
      <x:c r="J122" s="58" t="str">
        <x:v>62</x:v>
      </x:c>
      <x:c r="K122" s="58" t="str">
        <x:v>12</x:v>
      </x:c>
      <x:c r="L122" s="58" t="n">
        <x:v>-0.8409288323646434</x:v>
      </x:c>
      <x:c r="M122" s="58" t="n">
        <x:v>16.264287101992803</x:v>
      </x:c>
      <x:c r="N122" s="58" t="n">
        <x:v>16.193458271039564</x:v>
      </x:c>
      <x:c r="O122" s="58" t="n">
        <x:v>16.264287101992803</x:v>
      </x:c>
      <x:c r="P122" s="58" t="n">
        <x:v>0.08886336464243172</x:v>
      </x:c>
      <x:c r="Q122" s="58" t="n">
        <x:v>0.0180345336891925</x:v>
      </x:c>
      <x:c r="R122" s="58" t="n">
        <x:v>0.0180345336891925</x:v>
      </x:c>
      <x:c r="S122" s="58" t="str">
        <x:v>2.4674458275303177</x:v>
      </x:c>
      <x:c r="T122" s="58" t="str">
        <x:v>0.0</x:v>
      </x:c>
      <x:c r="U122" s="58" t="n">
        <x:v>0.689243111343548</x:v>
      </x:c>
      <x:c r="V122" s="58" t="n">
        <x:v>0.09419945717586553</x:v>
      </x:c>
      <x:c r="W122" s="58" t="n">
        <x:v>0.11989097118399275</x:v>
      </x:c>
      <x:c r="X122" s="59" t="n">
        <x:v>0.029495146932051377</x:v>
      </x:c>
    </x:row>
    <x:row r="123">
      <x:c r="A123" s="57" t="str">
        <x:v>S18_LJH</x:v>
      </x:c>
      <x:c r="B123" s="58" t="str">
        <x:v>S02</x:v>
      </x:c>
      <x:c r="C123" s="58" t="str">
        <x:v>POST_EXERCISE</x:v>
      </x:c>
      <x:c r="D123" s="58" t="str"/>
      <x:c r="E123" s="58" t="n">
        <x:v>2</x:v>
      </x:c>
      <x:c r="F123" s="58" t="n">
        <x:v>542.434</x:v>
      </x:c>
      <x:c r="G123" s="58" t="n">
        <x:v>592.434</x:v>
      </x:c>
      <x:c r="H123" s="58" t="n">
        <x:v>50</x:v>
      </x:c>
      <x:c r="I123" s="58" t="n">
        <x:v>16.282321635681996</x:v>
      </x:c>
      <x:c r="J123" s="58" t="str">
        <x:v>21</x:v>
      </x:c>
      <x:c r="K123" s="58" t="str">
        <x:v>78</x:v>
      </x:c>
      <x:c r="L123" s="58" t="n">
        <x:v>-0.9608079817689597</x:v>
      </x:c>
      <x:c r="M123" s="58" t="n">
        <x:v>16.249438692130266</x:v>
      </x:c>
      <x:c r="N123" s="58" t="n">
        <x:v>16.281505328573527</x:v>
      </x:c>
      <x:c r="O123" s="58" t="n">
        <x:v>16.249438692130266</x:v>
      </x:c>
      <x:c r="P123" s="58" t="n">
        <x:v>0.0008163071084688056</x:v>
      </x:c>
      <x:c r="Q123" s="58" t="n">
        <x:v>0.03288294355172994</x:v>
      </x:c>
      <x:c r="R123" s="58" t="n">
        <x:v>0.03288294355172994</x:v>
      </x:c>
      <x:c r="S123" s="58" t="str">
        <x:v>3.930760623871459</x:v>
      </x:c>
      <x:c r="T123" s="58" t="str">
        <x:v>0.0</x:v>
      </x:c>
      <x:c r="U123" s="58" t="n">
        <x:v>0.7131239507077712</x:v>
      </x:c>
      <x:c r="V123" s="58" t="n">
        <x:v>0.08896220045557213</x:v>
      </x:c>
      <x:c r="W123" s="58" t="n">
        <x:v>0.12135842214289214</x:v>
      </x:c>
      <x:c r="X123" s="59" t="n">
        <x:v>0.03157219675483283</x:v>
      </x:c>
    </x:row>
    <x:row r="124">
      <x:c r="A124" s="57" t="str">
        <x:v>S18_LJH</x:v>
      </x:c>
      <x:c r="B124" s="58" t="str">
        <x:v>S02</x:v>
      </x:c>
      <x:c r="C124" s="58" t="str">
        <x:v>POST_EXERCISE</x:v>
      </x:c>
      <x:c r="D124" s="58" t="str"/>
      <x:c r="E124" s="58" t="n">
        <x:v>3</x:v>
      </x:c>
      <x:c r="F124" s="58" t="n">
        <x:v>542.434</x:v>
      </x:c>
      <x:c r="G124" s="58" t="n">
        <x:v>592.434</x:v>
      </x:c>
      <x:c r="H124" s="58" t="n">
        <x:v>50</x:v>
      </x:c>
      <x:c r="I124" s="58" t="n">
        <x:v>16.282321635681996</x:v>
      </x:c>
      <x:c r="J124" s="58" t="str">
        <x:v>61</x:v>
      </x:c>
      <x:c r="K124" s="58" t="str">
        <x:v>18</x:v>
      </x:c>
      <x:c r="L124" s="58" t="n">
        <x:v>-0.9160686781803117</x:v>
      </x:c>
      <x:c r="M124" s="58" t="n">
        <x:v>16.340313578997126</x:v>
      </x:c>
      <x:c r="N124" s="58" t="n">
        <x:v>16.26544629372228</x:v>
      </x:c>
      <x:c r="O124" s="58" t="n">
        <x:v>16.340313578997126</x:v>
      </x:c>
      <x:c r="P124" s="58" t="n">
        <x:v>0.016875341959714518</x:v>
      </x:c>
      <x:c r="Q124" s="58" t="n">
        <x:v>0.057991943315130356</x:v>
      </x:c>
      <x:c r="R124" s="58" t="n">
        <x:v>0.057991943315130356</x:v>
      </x:c>
      <x:c r="S124" s="58" t="str">
        <x:v>3.67358313827199</x:v>
      </x:c>
      <x:c r="T124" s="58" t="str">
        <x:v>0.0</x:v>
      </x:c>
      <x:c r="U124" s="58" t="n">
        <x:v>0.6934442508096071</x:v>
      </x:c>
      <x:c r="V124" s="58" t="n">
        <x:v>0.09136933369537065</x:v>
      </x:c>
      <x:c r="W124" s="58" t="n">
        <x:v>0.12109077156203804</x:v>
      </x:c>
      <x:c r="X124" s="59" t="n">
        <x:v>0.024433127420074134</x:v>
      </x:c>
    </x:row>
    <x:row r="125">
      <x:c r="A125" s="57" t="str">
        <x:v>S19_CHW</x:v>
      </x:c>
      <x:c r="B125" s="58" t="str">
        <x:v>S01</x:v>
      </x:c>
      <x:c r="C125" s="58" t="str">
        <x:v>FACE_R1</x:v>
      </x:c>
      <x:c r="D125" s="58" t="n">
        <x:v>1</x:v>
      </x:c>
      <x:c r="E125" s="58" t="n">
        <x:v>1</x:v>
      </x:c>
      <x:c r="F125" s="58" t="n">
        <x:v>32.864</x:v>
      </x:c>
      <x:c r="G125" s="58" t="n">
        <x:v>79</x:v>
      </x:c>
      <x:c r="H125" s="58" t="n">
        <x:v>46.136</x:v>
      </x:c>
      <x:c r="I125" s="58" t="n">
        <x:v>10.667517765136159</x:v>
      </x:c>
      <x:c r="J125" s="58" t="str">
        <x:v>60</x:v>
      </x:c>
      <x:c r="K125" s="58" t="str">
        <x:v>20</x:v>
      </x:c>
      <x:c r="L125" s="58" t="n">
        <x:v>-0.910998731947903</x:v>
      </x:c>
      <x:c r="M125" s="58" t="n">
        <x:v>10.636012764533273</x:v>
      </x:c>
      <x:c r="N125" s="58" t="n">
        <x:v>10.639511427017359</x:v>
      </x:c>
      <x:c r="O125" s="58" t="n">
        <x:v>10.636012764533273</x:v>
      </x:c>
      <x:c r="P125" s="58" t="n">
        <x:v>0.028006338118800045</x:v>
      </x:c>
      <x:c r="Q125" s="58" t="n">
        <x:v>0.03150500060288586</x:v>
      </x:c>
      <x:c r="R125" s="58" t="n">
        <x:v>0.03150500060288586</x:v>
      </x:c>
      <x:c r="S125" s="58" t="str">
        <x:v>2.169364615348671</x:v>
      </x:c>
      <x:c r="T125" s="58" t="str">
        <x:v>0.0</x:v>
      </x:c>
      <x:c r="U125" s="58" t="n">
        <x:v>0.7132662455721432</x:v>
      </x:c>
      <x:c r="V125" s="58" t="n">
        <x:v>0.12433621648481102</x:v>
      </x:c>
      <x:c r="W125" s="58" t="n">
        <x:v>0.027325190450289333</x:v>
      </x:c>
      <x:c r="X125" s="59" t="n">
        <x:v>0.03609831379016309</x:v>
      </x:c>
    </x:row>
    <x:row r="126">
      <x:c r="A126" s="57" t="str">
        <x:v>S19_CHW</x:v>
      </x:c>
      <x:c r="B126" s="58" t="str">
        <x:v>S01</x:v>
      </x:c>
      <x:c r="C126" s="58" t="str">
        <x:v>FACE_R1</x:v>
      </x:c>
      <x:c r="D126" s="58" t="n">
        <x:v>1</x:v>
      </x:c>
      <x:c r="E126" s="58" t="n">
        <x:v>2</x:v>
      </x:c>
      <x:c r="F126" s="58" t="n">
        <x:v>32.864</x:v>
      </x:c>
      <x:c r="G126" s="58" t="n">
        <x:v>79</x:v>
      </x:c>
      <x:c r="H126" s="58" t="n">
        <x:v>46.136</x:v>
      </x:c>
      <x:c r="I126" s="58" t="n">
        <x:v>10.667517765136159</x:v>
      </x:c>
      <x:c r="J126" s="58" t="str">
        <x:v>28</x:v>
      </x:c>
      <x:c r="K126" s="58" t="str">
        <x:v>19</x:v>
      </x:c>
      <x:c r="L126" s="58" t="n">
        <x:v>-0.9166768133642488</x:v>
      </x:c>
      <x:c r="M126" s="58" t="n">
        <x:v>10.713137142202921</x:v>
      </x:c>
      <x:c r="N126" s="58" t="n">
        <x:v>10.711158730733022</x:v>
      </x:c>
      <x:c r="O126" s="58" t="n">
        <x:v>10.713137142202921</x:v>
      </x:c>
      <x:c r="P126" s="58" t="n">
        <x:v>0.04364096559686281</x:v>
      </x:c>
      <x:c r="Q126" s="58" t="n">
        <x:v>0.04561937706676211</x:v>
      </x:c>
      <x:c r="R126" s="58" t="n">
        <x:v>0.04561937706676211</x:v>
      </x:c>
      <x:c r="S126" s="58" t="str">
        <x:v>1.9420275134687732</x:v>
      </x:c>
      <x:c r="T126" s="58" t="str">
        <x:v>0.0</x:v>
      </x:c>
      <x:c r="U126" s="58" t="n">
        <x:v>0.6390539410820095</x:v>
      </x:c>
      <x:c r="V126" s="58" t="n">
        <x:v>0.14268975893665162</x:v>
      </x:c>
      <x:c r="W126" s="58" t="n">
        <x:v>0.028519312178883705</x:v>
      </x:c>
      <x:c r="X126" s="59" t="n">
        <x:v>0.03527192334962189</x:v>
      </x:c>
    </x:row>
    <x:row r="127">
      <x:c r="A127" s="57" t="str">
        <x:v>S19_CHW</x:v>
      </x:c>
      <x:c r="B127" s="58" t="str">
        <x:v>S01</x:v>
      </x:c>
      <x:c r="C127" s="58" t="str">
        <x:v>FACE_R1</x:v>
      </x:c>
      <x:c r="D127" s="58" t="n">
        <x:v>1</x:v>
      </x:c>
      <x:c r="E127" s="58" t="n">
        <x:v>3</x:v>
      </x:c>
      <x:c r="F127" s="58" t="n">
        <x:v>32.864</x:v>
      </x:c>
      <x:c r="G127" s="58" t="n">
        <x:v>79</x:v>
      </x:c>
      <x:c r="H127" s="58" t="n">
        <x:v>46.136</x:v>
      </x:c>
      <x:c r="I127" s="58" t="n">
        <x:v>10.667517765136159</x:v>
      </x:c>
      <x:c r="J127" s="58" t="str">
        <x:v>59</x:v>
      </x:c>
      <x:c r="K127" s="58" t="str">
        <x:v>22</x:v>
      </x:c>
      <x:c r="L127" s="58" t="n">
        <x:v>0.8578623278051561</x:v>
      </x:c>
      <x:c r="M127" s="58" t="n">
        <x:v>10.705528376774302</x:v>
      </x:c>
      <x:c r="N127" s="58" t="n">
        <x:v>10.66614819275699</x:v>
      </x:c>
      <x:c r="O127" s="58" t="n">
        <x:v>10.705528376774302</x:v>
      </x:c>
      <x:c r="P127" s="58" t="n">
        <x:v>0.00136957237916846</x:v>
      </x:c>
      <x:c r="Q127" s="58" t="n">
        <x:v>0.03801061163814268</x:v>
      </x:c>
      <x:c r="R127" s="58" t="n">
        <x:v>0.03801061163814268</x:v>
      </x:c>
      <x:c r="S127" s="58" t="str">
        <x:v>1.3748318679668754</x:v>
      </x:c>
      <x:c r="T127" s="58" t="str">
        <x:v>0.0</x:v>
      </x:c>
      <x:c r="U127" s="58" t="n">
        <x:v>0.7473629107192107</x:v>
      </x:c>
      <x:c r="V127" s="58" t="n">
        <x:v>0.12245414893020973</x:v>
      </x:c>
      <x:c r="W127" s="58" t="n">
        <x:v>0.02776913654594984</x:v>
      </x:c>
      <x:c r="X127" s="59" t="n">
        <x:v>0.023451292517906914</x:v>
      </x:c>
    </x:row>
    <x:row r="128">
      <x:c r="A128" s="57" t="str">
        <x:v>S19_CHW</x:v>
      </x:c>
      <x:c r="B128" s="58" t="str">
        <x:v>S01</x:v>
      </x:c>
      <x:c r="C128" s="58" t="str">
        <x:v>FACE_R2</x:v>
      </x:c>
      <x:c r="D128" s="58" t="n">
        <x:v>2</x:v>
      </x:c>
      <x:c r="E128" s="58" t="n">
        <x:v>1</x:v>
      </x:c>
      <x:c r="F128" s="58" t="n">
        <x:v>89</x:v>
      </x:c>
      <x:c r="G128" s="58" t="n">
        <x:v>140.8</x:v>
      </x:c>
      <x:c r="H128" s="58" t="n">
        <x:v>51.8</x:v>
      </x:c>
      <x:c r="I128" s="58" t="n">
        <x:v>11.27854868911133</x:v>
      </x:c>
      <x:c r="J128" s="58" t="str">
        <x:v>14</x:v>
      </x:c>
      <x:c r="K128" s="58" t="str">
        <x:v>25</x:v>
      </x:c>
      <x:c r="L128" s="58" t="n">
        <x:v>0.7095324283156091</x:v>
      </x:c>
      <x:c r="M128" s="58" t="n">
        <x:v>11.318195583072956</x:v>
      </x:c>
      <x:c r="N128" s="58" t="n">
        <x:v>11.366374341483919</x:v>
      </x:c>
      <x:c r="O128" s="58" t="n">
        <x:v>11.318195583072956</x:v>
      </x:c>
      <x:c r="P128" s="58" t="n">
        <x:v>0.08782565237258844</x:v>
      </x:c>
      <x:c r="Q128" s="58" t="n">
        <x:v>0.039646893961625906</x:v>
      </x:c>
      <x:c r="R128" s="58" t="n">
        <x:v>0.039646893961625906</x:v>
      </x:c>
      <x:c r="S128" s="58" t="str">
        <x:v>3.8867993882200533</x:v>
      </x:c>
      <x:c r="T128" s="58" t="str">
        <x:v>0.0</x:v>
      </x:c>
      <x:c r="U128" s="58" t="n">
        <x:v>0.6337240396617547</x:v>
      </x:c>
      <x:c r="V128" s="58" t="n">
        <x:v>0.14278323994140105</x:v>
      </x:c>
      <x:c r="W128" s="58" t="n">
        <x:v>0.03943957235806533</x:v>
      </x:c>
      <x:c r="X128" s="59" t="n">
        <x:v>0.03520593636167449</x:v>
      </x:c>
    </x:row>
    <x:row r="129">
      <x:c r="A129" s="57" t="str">
        <x:v>S19_CHW</x:v>
      </x:c>
      <x:c r="B129" s="58" t="str">
        <x:v>S01</x:v>
      </x:c>
      <x:c r="C129" s="58" t="str">
        <x:v>FACE_R2</x:v>
      </x:c>
      <x:c r="D129" s="58" t="n">
        <x:v>2</x:v>
      </x:c>
      <x:c r="E129" s="58" t="n">
        <x:v>2</x:v>
      </x:c>
      <x:c r="F129" s="58" t="n">
        <x:v>89</x:v>
      </x:c>
      <x:c r="G129" s="58" t="n">
        <x:v>140.8</x:v>
      </x:c>
      <x:c r="H129" s="58" t="n">
        <x:v>51.8</x:v>
      </x:c>
      <x:c r="I129" s="58" t="n">
        <x:v>11.27854868911133</x:v>
      </x:c>
      <x:c r="J129" s="58" t="str">
        <x:v>68</x:v>
      </x:c>
      <x:c r="K129" s="58" t="str">
        <x:v>28</x:v>
      </x:c>
      <x:c r="L129" s="58" t="n">
        <x:v>-0.8724324492463155</x:v>
      </x:c>
      <x:c r="M129" s="58" t="n">
        <x:v>11.161713774958208</x:v>
      </x:c>
      <x:c r="N129" s="58" t="n">
        <x:v>11.199776788145531</x:v>
      </x:c>
      <x:c r="O129" s="58" t="n">
        <x:v>11.161713774958208</x:v>
      </x:c>
      <x:c r="P129" s="58" t="n">
        <x:v>0.07877190096579945</x:v>
      </x:c>
      <x:c r="Q129" s="58" t="n">
        <x:v>0.11683491415312197</x:v>
      </x:c>
      <x:c r="R129" s="58" t="n">
        <x:v>0.11683491415312197</x:v>
      </x:c>
      <x:c r="S129" s="58" t="str">
        <x:v>3.187175450395304</x:v>
      </x:c>
      <x:c r="T129" s="58" t="str">
        <x:v>0.006760019314340898</x:v>
      </x:c>
      <x:c r="U129" s="58" t="n">
        <x:v>0.6619852240173266</x:v>
      </x:c>
      <x:c r="V129" s="58" t="n">
        <x:v>0.12022265915324738</x:v>
      </x:c>
      <x:c r="W129" s="58" t="n">
        <x:v>0.036662946469092184</x:v>
      </x:c>
      <x:c r="X129" s="59" t="n">
        <x:v>0.030926216556387085</x:v>
      </x:c>
    </x:row>
    <x:row r="130">
      <x:c r="A130" s="57" t="str">
        <x:v>S19_CHW</x:v>
      </x:c>
      <x:c r="B130" s="58" t="str">
        <x:v>S01</x:v>
      </x:c>
      <x:c r="C130" s="58" t="str">
        <x:v>FACE_R2</x:v>
      </x:c>
      <x:c r="D130" s="58" t="n">
        <x:v>2</x:v>
      </x:c>
      <x:c r="E130" s="58" t="n">
        <x:v>3</x:v>
      </x:c>
      <x:c r="F130" s="58" t="n">
        <x:v>89</x:v>
      </x:c>
      <x:c r="G130" s="58" t="n">
        <x:v>140.8</x:v>
      </x:c>
      <x:c r="H130" s="58" t="n">
        <x:v>51.8</x:v>
      </x:c>
      <x:c r="I130" s="58" t="n">
        <x:v>11.27854868911133</x:v>
      </x:c>
      <x:c r="J130" s="58" t="str">
        <x:v>63</x:v>
      </x:c>
      <x:c r="K130" s="58" t="str">
        <x:v>13</x:v>
      </x:c>
      <x:c r="L130" s="58" t="n">
        <x:v>0.7054183396981163</x:v>
      </x:c>
      <x:c r="M130" s="58" t="n">
        <x:v>11.326862129437405</x:v>
      </x:c>
      <x:c r="N130" s="58" t="n">
        <x:v>11.456194137149536</x:v>
      </x:c>
      <x:c r="O130" s="58" t="n">
        <x:v>11.326862129437405</x:v>
      </x:c>
      <x:c r="P130" s="58" t="n">
        <x:v>0.1776454480382057</x:v>
      </x:c>
      <x:c r="Q130" s="58" t="n">
        <x:v>0.04831344032607454</x:v>
      </x:c>
      <x:c r="R130" s="58" t="n">
        <x:v>0.04831344032607454</x:v>
      </x:c>
      <x:c r="S130" s="58" t="str">
        <x:v>2.0335658884516614</x:v>
      </x:c>
      <x:c r="T130" s="58" t="str">
        <x:v>0.0014485755673587638</x:v>
      </x:c>
      <x:c r="U130" s="58" t="n">
        <x:v>0.7376782516148839</x:v>
      </x:c>
      <x:c r="V130" s="58" t="n">
        <x:v>0.109600131272772</x:v>
      </x:c>
      <x:c r="W130" s="58" t="n">
        <x:v>0.040936568952492286</x:v>
      </x:c>
      <x:c r="X130" s="59" t="n">
        <x:v>0.025445311799261055</x:v>
      </x:c>
    </x:row>
    <x:row r="131">
      <x:c r="A131" s="57" t="str">
        <x:v>S19_CHW</x:v>
      </x:c>
      <x:c r="B131" s="58" t="str">
        <x:v>S01</x:v>
      </x:c>
      <x:c r="C131" s="58" t="str">
        <x:v>FACE_R3</x:v>
      </x:c>
      <x:c r="D131" s="58" t="n">
        <x:v>3</x:v>
      </x:c>
      <x:c r="E131" s="58" t="n">
        <x:v>1</x:v>
      </x:c>
      <x:c r="F131" s="58" t="n">
        <x:v>150.8</x:v>
      </x:c>
      <x:c r="G131" s="58" t="n">
        <x:v>210.9</x:v>
      </x:c>
      <x:c r="H131" s="58" t="n">
        <x:v>60.1</x:v>
      </x:c>
      <x:c r="I131" s="58" t="n">
        <x:v>9.754023193337467</x:v>
      </x:c>
      <x:c r="J131" s="58" t="str">
        <x:v>12</x:v>
      </x:c>
      <x:c r="K131" s="58" t="str">
        <x:v>18</x:v>
      </x:c>
      <x:c r="L131" s="58" t="n">
        <x:v>-0.4787323481963038</x:v>
      </x:c>
      <x:c r="M131" s="58" t="n">
        <x:v>9.752251339443413</x:v>
      </x:c>
      <x:c r="N131" s="58" t="n">
        <x:v>9.68457924832787</x:v>
      </x:c>
      <x:c r="O131" s="58" t="n">
        <x:v>9.752251339443413</x:v>
      </x:c>
      <x:c r="P131" s="58" t="n">
        <x:v>0.06944394500959739</x:v>
      </x:c>
      <x:c r="Q131" s="58" t="n">
        <x:v>0.0017718538940538764</x:v>
      </x:c>
      <x:c r="R131" s="58" t="n">
        <x:v>0.0017718538940538764</x:v>
      </x:c>
      <x:c r="S131" s="58" t="str">
        <x:v>0.6443030711777832</x:v>
      </x:c>
      <x:c r="T131" s="58" t="str">
        <x:v>0.0029118136439267887</x:v>
      </x:c>
      <x:c r="U131" s="58" t="n">
        <x:v>0.5031581625762</x:v>
      </x:c>
      <x:c r="V131" s="58" t="n">
        <x:v>0.23248242222436905</x:v>
      </x:c>
      <x:c r="W131" s="58" t="n">
        <x:v>0.011409654138797826</x:v>
      </x:c>
      <x:c r="X131" s="59" t="n">
        <x:v>0.03218990171098117</x:v>
      </x:c>
    </x:row>
    <x:row r="132">
      <x:c r="A132" s="57" t="str">
        <x:v>S19_CHW</x:v>
      </x:c>
      <x:c r="B132" s="58" t="str">
        <x:v>S01</x:v>
      </x:c>
      <x:c r="C132" s="58" t="str">
        <x:v>FACE_R3</x:v>
      </x:c>
      <x:c r="D132" s="58" t="n">
        <x:v>3</x:v>
      </x:c>
      <x:c r="E132" s="58" t="n">
        <x:v>2</x:v>
      </x:c>
      <x:c r="F132" s="58" t="n">
        <x:v>150.8</x:v>
      </x:c>
      <x:c r="G132" s="58" t="n">
        <x:v>210.9</x:v>
      </x:c>
      <x:c r="H132" s="58" t="n">
        <x:v>60.1</x:v>
      </x:c>
      <x:c r="I132" s="58" t="n">
        <x:v>9.754023193337467</x:v>
      </x:c>
      <x:c r="J132" s="58" t="str">
        <x:v>19</x:v>
      </x:c>
      <x:c r="K132" s="58" t="str">
        <x:v>87</x:v>
      </x:c>
      <x:c r="L132" s="58" t="n">
        <x:v>0.8727156671460918</x:v>
      </x:c>
      <x:c r="M132" s="58" t="n">
        <x:v>9.622388645455011</x:v>
      </x:c>
      <x:c r="N132" s="58" t="n">
        <x:v>9.836066515854492</x:v>
      </x:c>
      <x:c r="O132" s="58" t="n">
        <x:v>9.622388645455011</x:v>
      </x:c>
      <x:c r="P132" s="58" t="n">
        <x:v>0.08204332251702517</x:v>
      </x:c>
      <x:c r="Q132" s="58" t="n">
        <x:v>0.13163454788245588</x:v>
      </x:c>
      <x:c r="R132" s="58" t="n">
        <x:v>0.13163454788245588</x:v>
      </x:c>
      <x:c r="S132" s="58" t="str">
        <x:v>1.0563744893581104</x:v>
      </x:c>
      <x:c r="T132" s="58" t="str">
        <x:v>0.0020798668885191347</x:v>
      </x:c>
      <x:c r="U132" s="58" t="n">
        <x:v>0.6514969878015899</x:v>
      </x:c>
      <x:c r="V132" s="58" t="n">
        <x:v>0.17510919377423115</x:v>
      </x:c>
      <x:c r="W132" s="58" t="n">
        <x:v>0.013934441930908203</x:v>
      </x:c>
      <x:c r="X132" s="59" t="n">
        <x:v>0.0357119567262401</x:v>
      </x:c>
    </x:row>
    <x:row r="133">
      <x:c r="A133" s="57" t="str">
        <x:v>S19_CHW</x:v>
      </x:c>
      <x:c r="B133" s="58" t="str">
        <x:v>S01</x:v>
      </x:c>
      <x:c r="C133" s="58" t="str">
        <x:v>FACE_R3</x:v>
      </x:c>
      <x:c r="D133" s="58" t="n">
        <x:v>3</x:v>
      </x:c>
      <x:c r="E133" s="58" t="n">
        <x:v>3</x:v>
      </x:c>
      <x:c r="F133" s="58" t="n">
        <x:v>150.8</x:v>
      </x:c>
      <x:c r="G133" s="58" t="n">
        <x:v>210.9</x:v>
      </x:c>
      <x:c r="H133" s="58" t="n">
        <x:v>60.1</x:v>
      </x:c>
      <x:c r="I133" s="58" t="n">
        <x:v>9.754023193337467</x:v>
      </x:c>
      <x:c r="J133" s="58" t="str">
        <x:v>71</x:v>
      </x:c>
      <x:c r="K133" s="58" t="str">
        <x:v>18</x:v>
      </x:c>
      <x:c r="L133" s="58" t="n">
        <x:v>-0.5597532062815618</x:v>
      </x:c>
      <x:c r="M133" s="58" t="n">
        <x:v>9.525516218139398</x:v>
      </x:c>
      <x:c r="N133" s="58" t="n">
        <x:v>9.52992201989248</x:v>
      </x:c>
      <x:c r="O133" s="58" t="n">
        <x:v>9.525516218139398</x:v>
      </x:c>
      <x:c r="P133" s="58" t="n">
        <x:v>0.22410117344498737</x:v>
      </x:c>
      <x:c r="Q133" s="58" t="n">
        <x:v>0.22850697519806928</x:v>
      </x:c>
      <x:c r="R133" s="58" t="n">
        <x:v>0.22850697519806928</x:v>
      </x:c>
      <x:c r="S133" s="58" t="str">
        <x:v>1.6563272187476334</x:v>
      </x:c>
      <x:c r="T133" s="58" t="str">
        <x:v>0.007071547420965058</x:v>
      </x:c>
      <x:c r="U133" s="58" t="n">
        <x:v>0.4565631320262438</x:v>
      </x:c>
      <x:c r="V133" s="58" t="n">
        <x:v>0.2473604577379514</x:v>
      </x:c>
      <x:c r="W133" s="58" t="n">
        <x:v>0.008832033664874672</x:v>
      </x:c>
      <x:c r="X133" s="59" t="n">
        <x:v>0.028281080950275303</x:v>
      </x:c>
    </x:row>
    <x:row r="134">
      <x:c r="A134" s="57" t="str">
        <x:v>S19_CHW</x:v>
      </x:c>
      <x:c r="B134" s="58" t="str">
        <x:v>S02</x:v>
      </x:c>
      <x:c r="C134" s="58" t="str">
        <x:v>NORMAL</x:v>
      </x:c>
      <x:c r="D134" s="58" t="str"/>
      <x:c r="E134" s="58" t="n">
        <x:v>1</x:v>
      </x:c>
      <x:c r="F134" s="58" t="n">
        <x:v>292.062</x:v>
      </x:c>
      <x:c r="G134" s="58" t="n">
        <x:v>342.062</x:v>
      </x:c>
      <x:c r="H134" s="58" t="n">
        <x:v>50</x:v>
      </x:c>
      <x:c r="I134" s="58" t="n">
        <x:v>13.088037933142667</x:v>
      </x:c>
      <x:c r="J134" s="58" t="str">
        <x:v>64</x:v>
      </x:c>
      <x:c r="K134" s="58" t="str">
        <x:v>17</x:v>
      </x:c>
      <x:c r="L134" s="58" t="n">
        <x:v>-0.8478830520378718</x:v>
      </x:c>
      <x:c r="M134" s="58" t="n">
        <x:v>13.113290121854646</x:v>
      </x:c>
      <x:c r="N134" s="58" t="n">
        <x:v>13.140851314894268</x:v>
      </x:c>
      <x:c r="O134" s="58" t="n">
        <x:v>13.113290121854646</x:v>
      </x:c>
      <x:c r="P134" s="58" t="n">
        <x:v>0.05281338175160144</x:v>
      </x:c>
      <x:c r="Q134" s="58" t="n">
        <x:v>0.02525218871197943</x:v>
      </x:c>
      <x:c r="R134" s="58" t="n">
        <x:v>0.02525218871197943</x:v>
      </x:c>
      <x:c r="S134" s="58" t="str">
        <x:v>1.883415160018664</x:v>
      </x:c>
      <x:c r="T134" s="58" t="str">
        <x:v>0.0</x:v>
      </x:c>
      <x:c r="U134" s="58" t="n">
        <x:v>0.6194693495095748</x:v>
      </x:c>
      <x:c r="V134" s="58" t="n">
        <x:v>0.1393283590514696</x:v>
      </x:c>
      <x:c r="W134" s="58" t="n">
        <x:v>0.06901418858157116</x:v>
      </x:c>
      <x:c r="X134" s="59" t="n">
        <x:v>0.034820019138334844</x:v>
      </x:c>
    </x:row>
    <x:row r="135">
      <x:c r="A135" s="57" t="str">
        <x:v>S19_CHW</x:v>
      </x:c>
      <x:c r="B135" s="58" t="str">
        <x:v>S02</x:v>
      </x:c>
      <x:c r="C135" s="58" t="str">
        <x:v>NORMAL</x:v>
      </x:c>
      <x:c r="D135" s="58" t="str"/>
      <x:c r="E135" s="58" t="n">
        <x:v>2</x:v>
      </x:c>
      <x:c r="F135" s="58" t="n">
        <x:v>292.062</x:v>
      </x:c>
      <x:c r="G135" s="58" t="n">
        <x:v>342.062</x:v>
      </x:c>
      <x:c r="H135" s="58" t="n">
        <x:v>50</x:v>
      </x:c>
      <x:c r="I135" s="58" t="n">
        <x:v>13.088037933142667</x:v>
      </x:c>
      <x:c r="J135" s="58" t="str">
        <x:v>28</x:v>
      </x:c>
      <x:c r="K135" s="58" t="str">
        <x:v>64</x:v>
      </x:c>
      <x:c r="L135" s="58" t="n">
        <x:v>-0.6439698140679418</x:v>
      </x:c>
      <x:c r="M135" s="58" t="n">
        <x:v>13.193036504868148</x:v>
      </x:c>
      <x:c r="N135" s="58" t="n">
        <x:v>13.204578224424026</x:v>
      </x:c>
      <x:c r="O135" s="58" t="n">
        <x:v>13.193036504868148</x:v>
      </x:c>
      <x:c r="P135" s="58" t="n">
        <x:v>0.11654029128135868</x:v>
      </x:c>
      <x:c r="Q135" s="58" t="n">
        <x:v>0.10499857172548133</x:v>
      </x:c>
      <x:c r="R135" s="58" t="n">
        <x:v>0.10499857172548133</x:v>
      </x:c>
      <x:c r="S135" s="58" t="str">
        <x:v>3.5811455432868806</x:v>
      </x:c>
      <x:c r="T135" s="58" t="str">
        <x:v>0.006</x:v>
      </x:c>
      <x:c r="U135" s="58" t="n">
        <x:v>0.67160966624404</x:v>
      </x:c>
      <x:c r="V135" s="58" t="n">
        <x:v>0.14179886935089284</x:v>
      </x:c>
      <x:c r="W135" s="58" t="n">
        <x:v>0.07007630374040044</x:v>
      </x:c>
      <x:c r="X135" s="59" t="n">
        <x:v>0.03413462552245406</x:v>
      </x:c>
    </x:row>
    <x:row r="136">
      <x:c r="A136" s="57" t="str">
        <x:v>S19_CHW</x:v>
      </x:c>
      <x:c r="B136" s="58" t="str">
        <x:v>S02</x:v>
      </x:c>
      <x:c r="C136" s="58" t="str">
        <x:v>NORMAL</x:v>
      </x:c>
      <x:c r="D136" s="58" t="str"/>
      <x:c r="E136" s="58" t="n">
        <x:v>3</x:v>
      </x:c>
      <x:c r="F136" s="58" t="n">
        <x:v>292.062</x:v>
      </x:c>
      <x:c r="G136" s="58" t="n">
        <x:v>342.062</x:v>
      </x:c>
      <x:c r="H136" s="58" t="n">
        <x:v>50</x:v>
      </x:c>
      <x:c r="I136" s="58" t="n">
        <x:v>13.088037933142667</x:v>
      </x:c>
      <x:c r="J136" s="58" t="str">
        <x:v>60</x:v>
      </x:c>
      <x:c r="K136" s="58" t="str">
        <x:v>13</x:v>
      </x:c>
      <x:c r="L136" s="58" t="n">
        <x:v>0.8550835627723965</x:v>
      </x:c>
      <x:c r="M136" s="58" t="n">
        <x:v>13.1017851961756</x:v>
      </x:c>
      <x:c r="N136" s="58" t="n">
        <x:v>13.069683336251659</x:v>
      </x:c>
      <x:c r="O136" s="58" t="n">
        <x:v>13.1017851961756</x:v>
      </x:c>
      <x:c r="P136" s="58" t="n">
        <x:v>0.018354596891008157</x:v>
      </x:c>
      <x:c r="Q136" s="58" t="n">
        <x:v>0.013747263032932722</x:v>
      </x:c>
      <x:c r="R136" s="58" t="n">
        <x:v>0.013747263032932722</x:v>
      </x:c>
      <x:c r="S136" s="58" t="str">
        <x:v>2.7509542433149434</x:v>
      </x:c>
      <x:c r="T136" s="58" t="str">
        <x:v>0.0</x:v>
      </x:c>
      <x:c r="U136" s="58" t="n">
        <x:v>0.6596437722995598</x:v>
      </x:c>
      <x:c r="V136" s="58" t="n">
        <x:v>0.12949515580087476</x:v>
      </x:c>
      <x:c r="W136" s="58" t="n">
        <x:v>0.06782805560419433</x:v>
      </x:c>
      <x:c r="X136" s="59" t="n">
        <x:v>0.029234669785446817</x:v>
      </x:c>
    </x:row>
    <x:row r="137">
      <x:c r="A137" s="57" t="str">
        <x:v>S19_CHW</x:v>
      </x:c>
      <x:c r="B137" s="58" t="str">
        <x:v>S02</x:v>
      </x:c>
      <x:c r="C137" s="58" t="str">
        <x:v>SLOW</x:v>
      </x:c>
      <x:c r="D137" s="58" t="str"/>
      <x:c r="E137" s="58" t="n">
        <x:v>1</x:v>
      </x:c>
      <x:c r="F137" s="58" t="n">
        <x:v>352.062</x:v>
      </x:c>
      <x:c r="G137" s="58" t="n">
        <x:v>402.062</x:v>
      </x:c>
      <x:c r="H137" s="58" t="n">
        <x:v>50</x:v>
      </x:c>
      <x:c r="I137" s="58" t="n">
        <x:v>6.062806866525779</x:v>
      </x:c>
      <x:c r="J137" s="58" t="str">
        <x:v>70</x:v>
      </x:c>
      <x:c r="K137" s="58" t="str">
        <x:v>64</x:v>
      </x:c>
      <x:c r="L137" s="58" t="n">
        <x:v>-0.8610221041389757</x:v>
      </x:c>
      <x:c r="M137" s="58" t="n">
        <x:v>6.066890900497909</x:v>
      </x:c>
      <x:c r="N137" s="58" t="n">
        <x:v>6.120417014511261</x:v>
      </x:c>
      <x:c r="O137" s="58" t="n">
        <x:v>6.066890900497909</x:v>
      </x:c>
      <x:c r="P137" s="58" t="n">
        <x:v>0.05761014798548203</x:v>
      </x:c>
      <x:c r="Q137" s="58" t="n">
        <x:v>0.0040840339721297525</x:v>
      </x:c>
      <x:c r="R137" s="58" t="n">
        <x:v>0.0040840339721297525</x:v>
      </x:c>
      <x:c r="S137" s="58" t="str">
        <x:v>3.4884039286286033</x:v>
      </x:c>
      <x:c r="T137" s="58" t="str">
        <x:v>0.002</x:v>
      </x:c>
      <x:c r="U137" s="58" t="n">
        <x:v>0.6897928773580978</x:v>
      </x:c>
      <x:c r="V137" s="58" t="n">
        <x:v>0.13036532424506866</x:v>
      </x:c>
      <x:c r="W137" s="58" t="n">
        <x:v>0.03200695024185435</x:v>
      </x:c>
      <x:c r="X137" s="59" t="n">
        <x:v>0.0330981494363926</x:v>
      </x:c>
    </x:row>
    <x:row r="138">
      <x:c r="A138" s="57" t="str">
        <x:v>S19_CHW</x:v>
      </x:c>
      <x:c r="B138" s="58" t="str">
        <x:v>S02</x:v>
      </x:c>
      <x:c r="C138" s="58" t="str">
        <x:v>SLOW</x:v>
      </x:c>
      <x:c r="D138" s="58" t="str"/>
      <x:c r="E138" s="58" t="n">
        <x:v>2</x:v>
      </x:c>
      <x:c r="F138" s="58" t="n">
        <x:v>352.062</x:v>
      </x:c>
      <x:c r="G138" s="58" t="n">
        <x:v>402.062</x:v>
      </x:c>
      <x:c r="H138" s="58" t="n">
        <x:v>50</x:v>
      </x:c>
      <x:c r="I138" s="58" t="n">
        <x:v>6.062806866525779</x:v>
      </x:c>
      <x:c r="J138" s="58" t="str">
        <x:v>64</x:v>
      </x:c>
      <x:c r="K138" s="58" t="str">
        <x:v>72</x:v>
      </x:c>
      <x:c r="L138" s="58" t="n">
        <x:v>-0.73071990989444</x:v>
      </x:c>
      <x:c r="M138" s="58" t="n">
        <x:v>5.902644207609734</x:v>
      </x:c>
      <x:c r="N138" s="58" t="n">
        <x:v>5.8044529768008495</x:v>
      </x:c>
      <x:c r="O138" s="58" t="n">
        <x:v>5.902644207609734</x:v>
      </x:c>
      <x:c r="P138" s="58" t="n">
        <x:v>0.2583538897249298</x:v>
      </x:c>
      <x:c r="Q138" s="58" t="n">
        <x:v>0.16016265891604498</x:v>
      </x:c>
      <x:c r="R138" s="58" t="n">
        <x:v>0.16016265891604498</x:v>
      </x:c>
      <x:c r="S138" s="58" t="str">
        <x:v>2.802663294910691</x:v>
      </x:c>
      <x:c r="T138" s="58" t="str">
        <x:v>0.0005</x:v>
      </x:c>
      <x:c r="U138" s="58" t="n">
        <x:v>0.6967288397926509</x:v>
      </x:c>
      <x:c r="V138" s="58" t="n">
        <x:v>0.11812046325926351</x:v>
      </x:c>
      <x:c r="W138" s="58" t="n">
        <x:v>0.02674088294668081</x:v>
      </x:c>
      <x:c r="X138" s="59" t="n">
        <x:v>0.03295803897085371</x:v>
      </x:c>
    </x:row>
    <x:row r="139">
      <x:c r="A139" s="57" t="str">
        <x:v>S19_CHW</x:v>
      </x:c>
      <x:c r="B139" s="58" t="str">
        <x:v>S02</x:v>
      </x:c>
      <x:c r="C139" s="58" t="str">
        <x:v>SLOW</x:v>
      </x:c>
      <x:c r="D139" s="58" t="str"/>
      <x:c r="E139" s="58" t="n">
        <x:v>3</x:v>
      </x:c>
      <x:c r="F139" s="58" t="n">
        <x:v>352.062</x:v>
      </x:c>
      <x:c r="G139" s="58" t="n">
        <x:v>402.062</x:v>
      </x:c>
      <x:c r="H139" s="58" t="n">
        <x:v>50</x:v>
      </x:c>
      <x:c r="I139" s="58" t="n">
        <x:v>6.062806866525779</x:v>
      </x:c>
      <x:c r="J139" s="58" t="str">
        <x:v>59</x:v>
      </x:c>
      <x:c r="K139" s="58" t="str">
        <x:v>63</x:v>
      </x:c>
      <x:c r="L139" s="58" t="n">
        <x:v>0.8343990031283752</x:v>
      </x:c>
      <x:c r="M139" s="58" t="n">
        <x:v>6.083158708534972</x:v>
      </x:c>
      <x:c r="N139" s="58" t="n">
        <x:v>5.993868186703564</x:v>
      </x:c>
      <x:c r="O139" s="58" t="n">
        <x:v>6.083158708534972</x:v>
      </x:c>
      <x:c r="P139" s="58" t="n">
        <x:v>0.06893867982221558</x:v>
      </x:c>
      <x:c r="Q139" s="58" t="n">
        <x:v>0.020351842009192822</x:v>
      </x:c>
      <x:c r="R139" s="58" t="n">
        <x:v>0.020351842009192822</x:v>
      </x:c>
      <x:c r="S139" s="58" t="str">
        <x:v>3.88176311717437</x:v>
      </x:c>
      <x:c r="T139" s="58" t="str">
        <x:v>0.0025</x:v>
      </x:c>
      <x:c r="U139" s="58" t="n">
        <x:v>0.6326387635745025</x:v>
      </x:c>
      <x:c r="V139" s="58" t="n">
        <x:v>0.1488460685121156</x:v>
      </x:c>
      <x:c r="W139" s="58" t="n">
        <x:v>0.02989780311172606</x:v>
      </x:c>
      <x:c r="X139" s="59" t="n">
        <x:v>0.025645403034269182</x:v>
      </x:c>
    </x:row>
    <x:row r="140">
      <x:c r="A140" s="57" t="str">
        <x:v>S19_CHW</x:v>
      </x:c>
      <x:c r="B140" s="58" t="str">
        <x:v>S02</x:v>
      </x:c>
      <x:c r="C140" s="58" t="str">
        <x:v>POST_HOLD</x:v>
      </x:c>
      <x:c r="D140" s="58" t="str"/>
      <x:c r="E140" s="58" t="n">
        <x:v>1</x:v>
      </x:c>
      <x:c r="F140" s="58" t="n">
        <x:v>441.2</x:v>
      </x:c>
      <x:c r="G140" s="58" t="n">
        <x:v>492.062</x:v>
      </x:c>
      <x:c r="H140" s="58" t="n">
        <x:v>50.862</x:v>
      </x:c>
      <x:c r="I140" s="58" t="n">
        <x:v>24.475079462521027</x:v>
      </x:c>
      <x:c r="J140" s="58" t="str">
        <x:v>16</x:v>
      </x:c>
      <x:c r="K140" s="58" t="str">
        <x:v>63</x:v>
      </x:c>
      <x:c r="L140" s="58" t="n">
        <x:v>-0.7593444522986239</x:v>
      </x:c>
      <x:c r="M140" s="58" t="n">
        <x:v>24.60969678810197</x:v>
      </x:c>
      <x:c r="N140" s="58" t="n">
        <x:v>24.640356620105994</x:v>
      </x:c>
      <x:c r="O140" s="58" t="n">
        <x:v>24.60969678810197</x:v>
      </x:c>
      <x:c r="P140" s="58" t="n">
        <x:v>0.16527715758496697</x:v>
      </x:c>
      <x:c r="Q140" s="58" t="n">
        <x:v>0.13461732558094397</x:v>
      </x:c>
      <x:c r="R140" s="58" t="n">
        <x:v>0.13461732558094397</x:v>
      </x:c>
      <x:c r="S140" s="58" t="str">
        <x:v>3.314494171926081</x:v>
      </x:c>
      <x:c r="T140" s="58" t="str">
        <x:v>0.0014749262536873156</x:v>
      </x:c>
      <x:c r="U140" s="58" t="n">
        <x:v>0.7305298165771817</x:v>
      </x:c>
      <x:c r="V140" s="58" t="n">
        <x:v>0.09404804507962534</x:v>
      </x:c>
      <x:c r="W140" s="58" t="n">
        <x:v>0.2606726103350999</x:v>
      </x:c>
      <x:c r="X140" s="59" t="n">
        <x:v>0.03298233103256178</x:v>
      </x:c>
    </x:row>
    <x:row r="141">
      <x:c r="A141" s="57" t="str">
        <x:v>S19_CHW</x:v>
      </x:c>
      <x:c r="B141" s="58" t="str">
        <x:v>S02</x:v>
      </x:c>
      <x:c r="C141" s="58" t="str">
        <x:v>POST_HOLD</x:v>
      </x:c>
      <x:c r="D141" s="58" t="str"/>
      <x:c r="E141" s="58" t="n">
        <x:v>2</x:v>
      </x:c>
      <x:c r="F141" s="58" t="n">
        <x:v>441.2</x:v>
      </x:c>
      <x:c r="G141" s="58" t="n">
        <x:v>492.062</x:v>
      </x:c>
      <x:c r="H141" s="58" t="n">
        <x:v>50.862</x:v>
      </x:c>
      <x:c r="I141" s="58" t="n">
        <x:v>24.475079462521027</x:v>
      </x:c>
      <x:c r="J141" s="58" t="str">
        <x:v>31</x:v>
      </x:c>
      <x:c r="K141" s="58" t="str">
        <x:v>22</x:v>
      </x:c>
      <x:c r="L141" s="58" t="n">
        <x:v>-0.8637479796473068</x:v>
      </x:c>
      <x:c r="M141" s="58" t="n">
        <x:v>24.50552650367993</x:v>
      </x:c>
      <x:c r="N141" s="58" t="n">
        <x:v>24.55496507192576</x:v>
      </x:c>
      <x:c r="O141" s="58" t="n">
        <x:v>24.50552650367993</x:v>
      </x:c>
      <x:c r="P141" s="58" t="n">
        <x:v>0.07988560940473377</x:v>
      </x:c>
      <x:c r="Q141" s="58" t="n">
        <x:v>0.030447041158904398</x:v>
      </x:c>
      <x:c r="R141" s="58" t="n">
        <x:v>0.030447041158904398</x:v>
      </x:c>
      <x:c r="S141" s="58" t="str">
        <x:v>3.0428259393073445</x:v>
      </x:c>
      <x:c r="T141" s="58" t="str">
        <x:v>0.024582104228121928</x:v>
      </x:c>
      <x:c r="U141" s="58" t="n">
        <x:v>0.7348032481309168</x:v>
      </x:c>
      <x:c r="V141" s="58" t="n">
        <x:v>0.09593561906595079</x:v>
      </x:c>
      <x:c r="W141" s="58" t="n">
        <x:v>0.2592494178654293</x:v>
      </x:c>
      <x:c r="X141" s="59" t="n">
        <x:v>0.03180976525129395</x:v>
      </x:c>
    </x:row>
    <x:row r="142">
      <x:c r="A142" s="57" t="str">
        <x:v>S19_CHW</x:v>
      </x:c>
      <x:c r="B142" s="58" t="str">
        <x:v>S02</x:v>
      </x:c>
      <x:c r="C142" s="58" t="str">
        <x:v>POST_HOLD</x:v>
      </x:c>
      <x:c r="D142" s="58" t="str"/>
      <x:c r="E142" s="58" t="n">
        <x:v>3</x:v>
      </x:c>
      <x:c r="F142" s="58" t="n">
        <x:v>441.2</x:v>
      </x:c>
      <x:c r="G142" s="58" t="n">
        <x:v>492.062</x:v>
      </x:c>
      <x:c r="H142" s="58" t="n">
        <x:v>50.862</x:v>
      </x:c>
      <x:c r="I142" s="58" t="n">
        <x:v>24.475079462521027</x:v>
      </x:c>
      <x:c r="J142" s="58" t="str">
        <x:v>58</x:v>
      </x:c>
      <x:c r="K142" s="58" t="str">
        <x:v>13</x:v>
      </x:c>
      <x:c r="L142" s="58" t="n">
        <x:v>-0.6358670424430526</x:v>
      </x:c>
      <x:c r="M142" s="58" t="n">
        <x:v>24.414516768596865</x:v>
      </x:c>
      <x:c r="N142" s="58" t="n">
        <x:v>24.453184591716116</x:v>
      </x:c>
      <x:c r="O142" s="58" t="n">
        <x:v>24.414516768596865</x:v>
      </x:c>
      <x:c r="P142" s="58" t="n">
        <x:v>0.021894870804910482</x:v>
      </x:c>
      <x:c r="Q142" s="58" t="n">
        <x:v>0.06056269392416169</x:v>
      </x:c>
      <x:c r="R142" s="58" t="n">
        <x:v>0.06056269392416169</x:v>
      </x:c>
      <x:c r="S142" s="58" t="str">
        <x:v>1.4055526357025236</x:v>
      </x:c>
      <x:c r="T142" s="58" t="str">
        <x:v>0.008849557522123894</x:v>
      </x:c>
      <x:c r="U142" s="58" t="n">
        <x:v>0.732138262686938</x:v>
      </x:c>
      <x:c r="V142" s="58" t="n">
        <x:v>0.104398213226363</x:v>
      </x:c>
      <x:c r="W142" s="58" t="n">
        <x:v>0.25755307652860193</x:v>
      </x:c>
      <x:c r="X142" s="59" t="n">
        <x:v>0.025137618774155157</x:v>
      </x:c>
    </x:row>
    <x:row r="143">
      <x:c r="A143" s="57" t="str">
        <x:v>S19_CHW</x:v>
      </x:c>
      <x:c r="B143" s="58" t="str">
        <x:v>S02</x:v>
      </x:c>
      <x:c r="C143" s="58" t="str">
        <x:v>SQUAT</x:v>
      </x:c>
      <x:c r="D143" s="58" t="str"/>
      <x:c r="E143" s="58" t="n">
        <x:v>1</x:v>
      </x:c>
      <x:c r="F143" s="58" t="n">
        <x:v>517.062</x:v>
      </x:c>
      <x:c r="G143" s="58" t="n">
        <x:v>567.062</x:v>
      </x:c>
      <x:c r="H143" s="58" t="n">
        <x:v>50</x:v>
      </x:c>
      <x:c r="I143" s="58" t="n">
        <x:v>30.109573327758355</x:v>
      </x:c>
      <x:c r="J143" s="58" t="str">
        <x:v>61</x:v>
      </x:c>
      <x:c r="K143" s="58" t="str">
        <x:v>37</x:v>
      </x:c>
      <x:c r="L143" s="58" t="n">
        <x:v>-0.9116644492195346</x:v>
      </x:c>
      <x:c r="M143" s="58" t="n">
        <x:v>32.8125</x:v>
      </x:c>
      <x:c r="N143" s="58" t="n">
        <x:v>32.8125</x:v>
      </x:c>
      <x:c r="O143" s="58" t="n">
        <x:v>32.8125</x:v>
      </x:c>
      <x:c r="P143" s="58" t="n">
        <x:v>2.702926672241645</x:v>
      </x:c>
      <x:c r="Q143" s="58" t="n">
        <x:v>2.702926672241645</x:v>
      </x:c>
      <x:c r="R143" s="58" t="n">
        <x:v>2.702926672241645</x:v>
      </x:c>
      <x:c r="S143" s="58" t="str">
        <x:v>1.756285069222152</x:v>
      </x:c>
      <x:c r="T143" s="58" t="str">
        <x:v>0.014</x:v>
      </x:c>
      <x:c r="U143" s="58" t="n">
        <x:v>0.7552993750714742</x:v>
      </x:c>
      <x:c r="V143" s="58" t="n">
        <x:v>0.20915369880372353</x:v>
      </x:c>
      <x:c r="W143" s="58" t="n">
        <x:v>0.396875</x:v>
      </x:c>
      <x:c r="X143" s="59" t="n">
        <x:v>0.0682207042246043</x:v>
      </x:c>
    </x:row>
    <x:row r="144">
      <x:c r="A144" s="57" t="str">
        <x:v>S19_CHW</x:v>
      </x:c>
      <x:c r="B144" s="58" t="str">
        <x:v>S02</x:v>
      </x:c>
      <x:c r="C144" s="58" t="str">
        <x:v>SQUAT</x:v>
      </x:c>
      <x:c r="D144" s="58" t="str"/>
      <x:c r="E144" s="58" t="n">
        <x:v>2</x:v>
      </x:c>
      <x:c r="F144" s="58" t="n">
        <x:v>517.062</x:v>
      </x:c>
      <x:c r="G144" s="58" t="n">
        <x:v>567.062</x:v>
      </x:c>
      <x:c r="H144" s="58" t="n">
        <x:v>50</x:v>
      </x:c>
      <x:c r="I144" s="58" t="n">
        <x:v>30.109573327758355</x:v>
      </x:c>
      <x:c r="J144" s="58" t="str">
        <x:v>14</x:v>
      </x:c>
      <x:c r="K144" s="58" t="str">
        <x:v>21</x:v>
      </x:c>
      <x:c r="L144" s="58" t="n">
        <x:v>0.9150963412442831</x:v>
      </x:c>
      <x:c r="M144" s="58" t="n">
        <x:v>9.08203125</x:v>
      </x:c>
      <x:c r="N144" s="58" t="n">
        <x:v>9.08203125</x:v>
      </x:c>
      <x:c r="O144" s="58" t="n">
        <x:v>9.08203125</x:v>
      </x:c>
      <x:c r="P144" s="58" t="n">
        <x:v>21.027542077758355</x:v>
      </x:c>
      <x:c r="Q144" s="58" t="n">
        <x:v>21.027542077758355</x:v>
      </x:c>
      <x:c r="R144" s="58" t="n">
        <x:v>21.027542077758355</x:v>
      </x:c>
      <x:c r="S144" s="58" t="str">
        <x:v>1.5014121068475654</x:v>
      </x:c>
      <x:c r="T144" s="58" t="str">
        <x:v>0.019</x:v>
      </x:c>
      <x:c r="U144" s="58" t="n">
        <x:v>0.39853485101795444</x:v>
      </x:c>
      <x:c r="V144" s="58" t="n">
        <x:v>0.3274478320508775</x:v>
      </x:c>
      <x:c r="W144" s="58" t="n">
        <x:v>0.0013671875000000056</x:v>
      </x:c>
      <x:c r="X144" s="59" t="n">
        <x:v>0.08907435623735072</x:v>
      </x:c>
    </x:row>
    <x:row r="145">
      <x:c r="A145" s="57" t="str">
        <x:v>S19_CHW</x:v>
      </x:c>
      <x:c r="B145" s="58" t="str">
        <x:v>S02</x:v>
      </x:c>
      <x:c r="C145" s="58" t="str">
        <x:v>SQUAT</x:v>
      </x:c>
      <x:c r="D145" s="58" t="str"/>
      <x:c r="E145" s="58" t="n">
        <x:v>3</x:v>
      </x:c>
      <x:c r="F145" s="58" t="n">
        <x:v>517.062</x:v>
      </x:c>
      <x:c r="G145" s="58" t="n">
        <x:v>567.062</x:v>
      </x:c>
      <x:c r="H145" s="58" t="n">
        <x:v>50</x:v>
      </x:c>
      <x:c r="I145" s="58" t="n">
        <x:v>30.109573327758355</x:v>
      </x:c>
      <x:c r="J145" s="58" t="str">
        <x:v>30</x:v>
      </x:c>
      <x:c r="K145" s="58" t="str">
        <x:v>7</x:v>
      </x:c>
      <x:c r="L145" s="58" t="n">
        <x:v>0.9025367625415341</x:v>
      </x:c>
      <x:c r="M145" s="58" t="n">
        <x:v>9.08203125</x:v>
      </x:c>
      <x:c r="N145" s="58" t="n">
        <x:v>9.08203125</x:v>
      </x:c>
      <x:c r="O145" s="58" t="n">
        <x:v>9.08203125</x:v>
      </x:c>
      <x:c r="P145" s="58" t="n">
        <x:v>21.027542077758355</x:v>
      </x:c>
      <x:c r="Q145" s="58" t="n">
        <x:v>21.027542077758355</x:v>
      </x:c>
      <x:c r="R145" s="58" t="n">
        <x:v>21.027542077758355</x:v>
      </x:c>
      <x:c r="S145" s="58" t="str">
        <x:v>0.6814392277896069</x:v>
      </x:c>
      <x:c r="T145" s="58" t="str">
        <x:v>0.004</x:v>
      </x:c>
      <x:c r="U145" s="58" t="n">
        <x:v>0.4036919052225188</x:v>
      </x:c>
      <x:c r="V145" s="58" t="n">
        <x:v>0.31979821045850776</x:v>
      </x:c>
      <x:c r="W145" s="58" t="n">
        <x:v>0.0013671875000000056</x:v>
      </x:c>
      <x:c r="X145" s="59" t="n">
        <x:v>0.10294349607214373</x:v>
      </x:c>
    </x:row>
    <x:row r="146">
      <x:c r="A146" s="57" t="str">
        <x:v>S19_CHW</x:v>
      </x:c>
      <x:c r="B146" s="58" t="str">
        <x:v>S02</x:v>
      </x:c>
      <x:c r="C146" s="58" t="str">
        <x:v>POST_EXERCISE</x:v>
      </x:c>
      <x:c r="D146" s="58" t="str"/>
      <x:c r="E146" s="58" t="n">
        <x:v>1</x:v>
      </x:c>
      <x:c r="F146" s="58" t="n">
        <x:v>592.062</x:v>
      </x:c>
      <x:c r="G146" s="58" t="n">
        <x:v>642.062</x:v>
      </x:c>
      <x:c r="H146" s="58" t="n">
        <x:v>50</x:v>
      </x:c>
      <x:c r="I146" s="58" t="n">
        <x:v>30.554584324450676</x:v>
      </x:c>
      <x:c r="J146" s="58" t="str">
        <x:v>70</x:v>
      </x:c>
      <x:c r="K146" s="58" t="str">
        <x:v>19</x:v>
      </x:c>
      <x:c r="L146" s="58" t="n">
        <x:v>0.8476806214493869</x:v>
      </x:c>
      <x:c r="M146" s="58" t="n">
        <x:v>30.557466671820652</x:v>
      </x:c>
      <x:c r="N146" s="58" t="n">
        <x:v>30.56033616386078</x:v>
      </x:c>
      <x:c r="O146" s="58" t="n">
        <x:v>30.557466671820652</x:v>
      </x:c>
      <x:c r="P146" s="58" t="n">
        <x:v>0.005751839410102377</x:v>
      </x:c>
      <x:c r="Q146" s="58" t="n">
        <x:v>0.002882347369975946</x:v>
      </x:c>
      <x:c r="R146" s="58" t="n">
        <x:v>0.002882347369975946</x:v>
      </x:c>
      <x:c r="S146" s="58" t="str">
        <x:v>4.369846127038601</x:v>
      </x:c>
      <x:c r="T146" s="58" t="str">
        <x:v>0.0005</x:v>
      </x:c>
      <x:c r="U146" s="58" t="n">
        <x:v>0.5828512224210947</x:v>
      </x:c>
      <x:c r="V146" s="58" t="n">
        <x:v>0.12518878788099932</x:v>
      </x:c>
      <x:c r="W146" s="58" t="n">
        <x:v>0.3593389360643463</x:v>
      </x:c>
      <x:c r="X146" s="59" t="n">
        <x:v>0.032693886029942235</x:v>
      </x:c>
    </x:row>
    <x:row r="147">
      <x:c r="A147" s="57" t="str">
        <x:v>S19_CHW</x:v>
      </x:c>
      <x:c r="B147" s="58" t="str">
        <x:v>S02</x:v>
      </x:c>
      <x:c r="C147" s="58" t="str">
        <x:v>POST_EXERCISE</x:v>
      </x:c>
      <x:c r="D147" s="58" t="str"/>
      <x:c r="E147" s="58" t="n">
        <x:v>2</x:v>
      </x:c>
      <x:c r="F147" s="58" t="n">
        <x:v>592.062</x:v>
      </x:c>
      <x:c r="G147" s="58" t="n">
        <x:v>642.062</x:v>
      </x:c>
      <x:c r="H147" s="58" t="n">
        <x:v>50</x:v>
      </x:c>
      <x:c r="I147" s="58" t="n">
        <x:v>30.554584324450676</x:v>
      </x:c>
      <x:c r="J147" s="58" t="str">
        <x:v>76</x:v>
      </x:c>
      <x:c r="K147" s="58" t="str">
        <x:v>82</x:v>
      </x:c>
      <x:c r="L147" s="58" t="n">
        <x:v>-0.8473928286602911</x:v>
      </x:c>
      <x:c r="M147" s="58" t="n">
        <x:v>30.57533069467109</x:v>
      </x:c>
      <x:c r="N147" s="58" t="n">
        <x:v>30.636755983595336</x:v>
      </x:c>
      <x:c r="O147" s="58" t="n">
        <x:v>30.57533069467109</x:v>
      </x:c>
      <x:c r="P147" s="58" t="n">
        <x:v>0.08217165914465951</x:v>
      </x:c>
      <x:c r="Q147" s="58" t="n">
        <x:v>0.020746370220415145</x:v>
      </x:c>
      <x:c r="R147" s="58" t="n">
        <x:v>0.020746370220415145</x:v>
      </x:c>
      <x:c r="S147" s="58" t="str">
        <x:v>3.549536095077834</x:v>
      </x:c>
      <x:c r="T147" s="58" t="str">
        <x:v>0.0005</x:v>
      </x:c>
      <x:c r="U147" s="58" t="n">
        <x:v>0.6144705522584486</x:v>
      </x:c>
      <x:c r="V147" s="58" t="n">
        <x:v>0.12508260489728382</x:v>
      </x:c>
      <x:c r="W147" s="58" t="n">
        <x:v>0.3606125997265889</x:v>
      </x:c>
      <x:c r="X147" s="59" t="n">
        <x:v>0.03348575782849665</x:v>
      </x:c>
    </x:row>
    <x:row r="148">
      <x:c r="A148" s="57" t="str">
        <x:v>S19_CHW</x:v>
      </x:c>
      <x:c r="B148" s="58" t="str">
        <x:v>S02</x:v>
      </x:c>
      <x:c r="C148" s="58" t="str">
        <x:v>POST_EXERCISE</x:v>
      </x:c>
      <x:c r="D148" s="58" t="str"/>
      <x:c r="E148" s="58" t="n">
        <x:v>3</x:v>
      </x:c>
      <x:c r="F148" s="58" t="n">
        <x:v>592.062</x:v>
      </x:c>
      <x:c r="G148" s="58" t="n">
        <x:v>642.062</x:v>
      </x:c>
      <x:c r="H148" s="58" t="n">
        <x:v>50</x:v>
      </x:c>
      <x:c r="I148" s="58" t="n">
        <x:v>30.554584324450676</x:v>
      </x:c>
      <x:c r="J148" s="58" t="str">
        <x:v>78</x:v>
      </x:c>
      <x:c r="K148" s="58" t="str">
        <x:v>17</x:v>
      </x:c>
      <x:c r="L148" s="58" t="n">
        <x:v>-0.6400729468047114</x:v>
      </x:c>
      <x:c r="M148" s="58" t="n">
        <x:v>30.519077786502976</x:v>
      </x:c>
      <x:c r="N148" s="58" t="n">
        <x:v>30.532751833510616</x:v>
      </x:c>
      <x:c r="O148" s="58" t="n">
        <x:v>30.519077786502976</x:v>
      </x:c>
      <x:c r="P148" s="58" t="n">
        <x:v>0.021832490940060012</x:v>
      </x:c>
      <x:c r="Q148" s="58" t="n">
        <x:v>0.03550653794770042</x:v>
      </x:c>
      <x:c r="R148" s="58" t="n">
        <x:v>0.03550653794770042</x:v>
      </x:c>
      <x:c r="S148" s="58" t="str">
        <x:v>5.978738555144051</x:v>
      </x:c>
      <x:c r="T148" s="58" t="str">
        <x:v>0.0145</x:v>
      </x:c>
      <x:c r="U148" s="58" t="n">
        <x:v>0.5817897912859863</x:v>
      </x:c>
      <x:c r="V148" s="58" t="n">
        <x:v>0.12522356313925814</x:v>
      </x:c>
      <x:c r="W148" s="58" t="n">
        <x:v>0.3588791972251769</x:v>
      </x:c>
      <x:c r="X148" s="59" t="n">
        <x:v>0.025842225502788085</x:v>
      </x:c>
    </x:row>
    <x:row r="149">
      <x:c r="A149" s="57" t="str">
        <x:v>S21_PSJ</x:v>
      </x:c>
      <x:c r="B149" s="58" t="str">
        <x:v>S01</x:v>
      </x:c>
      <x:c r="C149" s="58" t="str">
        <x:v>FACE_R1</x:v>
      </x:c>
      <x:c r="D149" s="58" t="n">
        <x:v>1</x:v>
      </x:c>
      <x:c r="E149" s="58" t="n">
        <x:v>1</x:v>
      </x:c>
      <x:c r="F149" s="58" t="n">
        <x:v>32.006</x:v>
      </x:c>
      <x:c r="G149" s="58" t="n">
        <x:v>76.4</x:v>
      </x:c>
      <x:c r="H149" s="58" t="n">
        <x:v>44.394</x:v>
      </x:c>
      <x:c r="I149" s="58" t="n">
        <x:v>14.191438393720052</x:v>
      </x:c>
      <x:c r="J149" s="58" t="str">
        <x:v>71</x:v>
      </x:c>
      <x:c r="K149" s="58" t="str">
        <x:v>18</x:v>
      </x:c>
      <x:c r="L149" s="58" t="n">
        <x:v>0.9358728603503705</x:v>
      </x:c>
      <x:c r="M149" s="58" t="n">
        <x:v>14.171157614905972</x:v>
      </x:c>
      <x:c r="N149" s="58" t="n">
        <x:v>14.170598757674448</x:v>
      </x:c>
      <x:c r="O149" s="58" t="n">
        <x:v>14.171157614905972</x:v>
      </x:c>
      <x:c r="P149" s="58" t="n">
        <x:v>0.020839636045604237</x:v>
      </x:c>
      <x:c r="Q149" s="58" t="n">
        <x:v>0.020280778814079525</x:v>
      </x:c>
      <x:c r="R149" s="58" t="n">
        <x:v>0.020280778814079525</x:v>
      </x:c>
      <x:c r="S149" s="58" t="str">
        <x:v>5.106725266118968</x:v>
      </x:c>
      <x:c r="T149" s="58" t="str">
        <x:v>0.0</x:v>
      </x:c>
      <x:c r="U149" s="58" t="n">
        <x:v>0.6109083400628311</x:v>
      </x:c>
      <x:c r="V149" s="58" t="n">
        <x:v>0.1358608660351996</x:v>
      </x:c>
      <x:c r="W149" s="58" t="n">
        <x:v>0.0861766459612408</x:v>
      </x:c>
      <x:c r="X149" s="59" t="n">
        <x:v>0.029698246151272686</x:v>
      </x:c>
    </x:row>
    <x:row r="150">
      <x:c r="A150" s="57" t="str">
        <x:v>S21_PSJ</x:v>
      </x:c>
      <x:c r="B150" s="58" t="str">
        <x:v>S01</x:v>
      </x:c>
      <x:c r="C150" s="58" t="str">
        <x:v>FACE_R1</x:v>
      </x:c>
      <x:c r="D150" s="58" t="n">
        <x:v>1</x:v>
      </x:c>
      <x:c r="E150" s="58" t="n">
        <x:v>2</x:v>
      </x:c>
      <x:c r="F150" s="58" t="n">
        <x:v>32.006</x:v>
      </x:c>
      <x:c r="G150" s="58" t="n">
        <x:v>76.4</x:v>
      </x:c>
      <x:c r="H150" s="58" t="n">
        <x:v>44.394</x:v>
      </x:c>
      <x:c r="I150" s="58" t="n">
        <x:v>14.191438393720052</x:v>
      </x:c>
      <x:c r="J150" s="58" t="str">
        <x:v>75</x:v>
      </x:c>
      <x:c r="K150" s="58" t="str">
        <x:v>32</x:v>
      </x:c>
      <x:c r="L150" s="58" t="n">
        <x:v>0.9497128353631448</x:v>
      </x:c>
      <x:c r="M150" s="58" t="n">
        <x:v>14.15826162204925</x:v>
      </x:c>
      <x:c r="N150" s="58" t="n">
        <x:v>14.129607425597367</x:v>
      </x:c>
      <x:c r="O150" s="58" t="n">
        <x:v>14.15826162204925</x:v>
      </x:c>
      <x:c r="P150" s="58" t="n">
        <x:v>0.06183096812268474</x:v>
      </x:c>
      <x:c r="Q150" s="58" t="n">
        <x:v>0.03317677167080113</x:v>
      </x:c>
      <x:c r="R150" s="58" t="n">
        <x:v>0.03317677167080113</x:v>
      </x:c>
      <x:c r="S150" s="58" t="str">
        <x:v>1.0554699173308695</x:v>
      </x:c>
      <x:c r="T150" s="58" t="str">
        <x:v>0.0</x:v>
      </x:c>
      <x:c r="U150" s="58" t="n">
        <x:v>0.6171168212966825</x:v>
      </x:c>
      <x:c r="V150" s="58" t="n">
        <x:v>0.13928136381519715</x:v>
      </x:c>
      <x:c r="W150" s="58" t="n">
        <x:v>0.08549345709328945</x:v>
      </x:c>
      <x:c r="X150" s="59" t="n">
        <x:v>0.03166569913531206</x:v>
      </x:c>
    </x:row>
    <x:row r="151">
      <x:c r="A151" s="57" t="str">
        <x:v>S21_PSJ</x:v>
      </x:c>
      <x:c r="B151" s="58" t="str">
        <x:v>S01</x:v>
      </x:c>
      <x:c r="C151" s="58" t="str">
        <x:v>FACE_R1</x:v>
      </x:c>
      <x:c r="D151" s="58" t="n">
        <x:v>1</x:v>
      </x:c>
      <x:c r="E151" s="58" t="n">
        <x:v>3</x:v>
      </x:c>
      <x:c r="F151" s="58" t="n">
        <x:v>32.006</x:v>
      </x:c>
      <x:c r="G151" s="58" t="n">
        <x:v>76.4</x:v>
      </x:c>
      <x:c r="H151" s="58" t="n">
        <x:v>44.394</x:v>
      </x:c>
      <x:c r="I151" s="58" t="n">
        <x:v>14.191438393720052</x:v>
      </x:c>
      <x:c r="J151" s="58" t="str">
        <x:v>87</x:v>
      </x:c>
      <x:c r="K151" s="58" t="str">
        <x:v>20</x:v>
      </x:c>
      <x:c r="L151" s="58" t="n">
        <x:v>0.564237054471044</x:v>
      </x:c>
      <x:c r="M151" s="58" t="n">
        <x:v>10.7383855075085</x:v>
      </x:c>
      <x:c r="N151" s="58" t="n">
        <x:v>10.831964105074846</x:v>
      </x:c>
      <x:c r="O151" s="58" t="n">
        <x:v>10.7383855075085</x:v>
      </x:c>
      <x:c r="P151" s="58" t="n">
        <x:v>3.359474288645206</x:v>
      </x:c>
      <x:c r="Q151" s="58" t="n">
        <x:v>3.4530528862115517</x:v>
      </x:c>
      <x:c r="R151" s="58" t="n">
        <x:v>3.4530528862115517</x:v>
      </x:c>
      <x:c r="S151" s="58" t="str">
        <x:v>0.8108972952216763</x:v>
      </x:c>
      <x:c r="T151" s="58" t="str">
        <x:v>0.051830985915492955</x:v>
      </x:c>
      <x:c r="U151" s="58" t="n">
        <x:v>0.8417771501284167</x:v>
      </x:c>
      <x:c r="V151" s="58" t="n">
        <x:v>0.08427369620319439</x:v>
      </x:c>
      <x:c r="W151" s="58" t="n">
        <x:v>0.030532735084580764</x:v>
      </x:c>
      <x:c r="X151" s="59" t="n">
        <x:v>0.02023948802636508</x:v>
      </x:c>
    </x:row>
    <x:row r="152">
      <x:c r="A152" s="57" t="str">
        <x:v>S21_PSJ</x:v>
      </x:c>
      <x:c r="B152" s="58" t="str">
        <x:v>S01</x:v>
      </x:c>
      <x:c r="C152" s="58" t="str">
        <x:v>FACE_R2</x:v>
      </x:c>
      <x:c r="D152" s="58" t="n">
        <x:v>2</x:v>
      </x:c>
      <x:c r="E152" s="58" t="n">
        <x:v>1</x:v>
      </x:c>
      <x:c r="F152" s="58" t="n">
        <x:v>86.4</x:v>
      </x:c>
      <x:c r="G152" s="58" t="n">
        <x:v>138.4</x:v>
      </x:c>
      <x:c r="H152" s="58" t="n">
        <x:v>52</x:v>
      </x:c>
      <x:c r="I152" s="58" t="n">
        <x:v>11.079927420085959</x:v>
      </x:c>
      <x:c r="J152" s="58" t="str">
        <x:v>13</x:v>
      </x:c>
      <x:c r="K152" s="58" t="str">
        <x:v>62</x:v>
      </x:c>
      <x:c r="L152" s="58" t="n">
        <x:v>0.7386970820808066</x:v>
      </x:c>
      <x:c r="M152" s="58" t="n">
        <x:v>11.486133530631054</x:v>
      </x:c>
      <x:c r="N152" s="58" t="n">
        <x:v>11.300147560009325</x:v>
      </x:c>
      <x:c r="O152" s="58" t="n">
        <x:v>11.486133530631054</x:v>
      </x:c>
      <x:c r="P152" s="58" t="n">
        <x:v>0.22022013992336653</x:v>
      </x:c>
      <x:c r="Q152" s="58" t="n">
        <x:v>0.4062061105450958</x:v>
      </x:c>
      <x:c r="R152" s="58" t="n">
        <x:v>0.4062061105450958</x:v>
      </x:c>
      <x:c r="S152" s="58" t="str">
        <x:v>1.6606946538629297</x:v>
      </x:c>
      <x:c r="T152" s="58" t="str">
        <x:v>0.0</x:v>
      </x:c>
      <x:c r="U152" s="58" t="n">
        <x:v>0.7417535705641596</x:v>
      </x:c>
      <x:c r="V152" s="58" t="n">
        <x:v>0.11235155142925442</x:v>
      </x:c>
      <x:c r="W152" s="58" t="n">
        <x:v>0.038335792666822105</x:v>
      </x:c>
      <x:c r="X152" s="59" t="n">
        <x:v>0.02760142870048505</x:v>
      </x:c>
    </x:row>
    <x:row r="153">
      <x:c r="A153" s="57" t="str">
        <x:v>S21_PSJ</x:v>
      </x:c>
      <x:c r="B153" s="58" t="str">
        <x:v>S01</x:v>
      </x:c>
      <x:c r="C153" s="58" t="str">
        <x:v>FACE_R2</x:v>
      </x:c>
      <x:c r="D153" s="58" t="n">
        <x:v>2</x:v>
      </x:c>
      <x:c r="E153" s="58" t="n">
        <x:v>2</x:v>
      </x:c>
      <x:c r="F153" s="58" t="n">
        <x:v>86.4</x:v>
      </x:c>
      <x:c r="G153" s="58" t="n">
        <x:v>138.4</x:v>
      </x:c>
      <x:c r="H153" s="58" t="n">
        <x:v>52</x:v>
      </x:c>
      <x:c r="I153" s="58" t="n">
        <x:v>11.079927420085959</x:v>
      </x:c>
      <x:c r="J153" s="58" t="str">
        <x:v>20</x:v>
      </x:c>
      <x:c r="K153" s="58" t="str">
        <x:v>76</x:v>
      </x:c>
      <x:c r="L153" s="58" t="n">
        <x:v>-0.7662228246187777</x:v>
      </x:c>
      <x:c r="M153" s="58" t="n">
        <x:v>11.475879684748612</x:v>
      </x:c>
      <x:c r="N153" s="58" t="n">
        <x:v>11.335646183733402</x:v>
      </x:c>
      <x:c r="O153" s="58" t="n">
        <x:v>11.475879684748612</x:v>
      </x:c>
      <x:c r="P153" s="58" t="n">
        <x:v>0.25571876364744384</x:v>
      </x:c>
      <x:c r="Q153" s="58" t="n">
        <x:v>0.3959522646626539</x:v>
      </x:c>
      <x:c r="R153" s="58" t="n">
        <x:v>0.3959522646626539</x:v>
      </x:c>
      <x:c r="S153" s="58" t="str">
        <x:v>2.4466408855431787</x:v>
      </x:c>
      <x:c r="T153" s="58" t="str">
        <x:v>0.005291005291005291</x:v>
      </x:c>
      <x:c r="U153" s="58" t="n">
        <x:v>0.7175145631300751</x:v>
      </x:c>
      <x:c r="V153" s="58" t="n">
        <x:v>0.11099302947731145</x:v>
      </x:c>
      <x:c r="W153" s="58" t="n">
        <x:v>0.03892743639555671</x:v>
      </x:c>
      <x:c r="X153" s="59" t="n">
        <x:v>0.033169637596053014</x:v>
      </x:c>
    </x:row>
    <x:row r="154">
      <x:c r="A154" s="57" t="str">
        <x:v>S21_PSJ</x:v>
      </x:c>
      <x:c r="B154" s="58" t="str">
        <x:v>S01</x:v>
      </x:c>
      <x:c r="C154" s="58" t="str">
        <x:v>FACE_R2</x:v>
      </x:c>
      <x:c r="D154" s="58" t="n">
        <x:v>2</x:v>
      </x:c>
      <x:c r="E154" s="58" t="n">
        <x:v>3</x:v>
      </x:c>
      <x:c r="F154" s="58" t="n">
        <x:v>86.4</x:v>
      </x:c>
      <x:c r="G154" s="58" t="n">
        <x:v>138.4</x:v>
      </x:c>
      <x:c r="H154" s="58" t="n">
        <x:v>52</x:v>
      </x:c>
      <x:c r="I154" s="58" t="n">
        <x:v>11.079927420085959</x:v>
      </x:c>
      <x:c r="J154" s="58" t="str">
        <x:v>17</x:v>
      </x:c>
      <x:c r="K154" s="58" t="str">
        <x:v>40</x:v>
      </x:c>
      <x:c r="L154" s="58" t="n">
        <x:v>-0.7725968868833218</x:v>
      </x:c>
      <x:c r="M154" s="58" t="n">
        <x:v>10.977337870239364</x:v>
      </x:c>
      <x:c r="N154" s="58" t="n">
        <x:v>11.043783505657572</x:v>
      </x:c>
      <x:c r="O154" s="58" t="n">
        <x:v>10.977337870239364</x:v>
      </x:c>
      <x:c r="P154" s="58" t="n">
        <x:v>0.03614391442838638</x:v>
      </x:c>
      <x:c r="Q154" s="58" t="n">
        <x:v>0.10258954984659496</x:v>
      </x:c>
      <x:c r="R154" s="58" t="n">
        <x:v>0.10258954984659496</x:v>
      </x:c>
      <x:c r="S154" s="58" t="str">
        <x:v>1.3878013229058819</x:v>
      </x:c>
      <x:c r="T154" s="58" t="str">
        <x:v>0.000481000481000481</x:v>
      </x:c>
      <x:c r="U154" s="58" t="n">
        <x:v>0.7737454570356416</x:v>
      </x:c>
      <x:c r="V154" s="58" t="n">
        <x:v>0.07597340298289312</x:v>
      </x:c>
      <x:c r="W154" s="58" t="n">
        <x:v>0.03406305842762622</x:v>
      </x:c>
      <x:c r="X154" s="59" t="n">
        <x:v>0.02231355266406082</x:v>
      </x:c>
    </x:row>
    <x:row r="155">
      <x:c r="A155" s="57" t="str">
        <x:v>S21_PSJ</x:v>
      </x:c>
      <x:c r="B155" s="58" t="str">
        <x:v>S01</x:v>
      </x:c>
      <x:c r="C155" s="58" t="str">
        <x:v>FACE_R3</x:v>
      </x:c>
      <x:c r="D155" s="58" t="n">
        <x:v>3</x:v>
      </x:c>
      <x:c r="E155" s="58" t="n">
        <x:v>1</x:v>
      </x:c>
      <x:c r="F155" s="58" t="n">
        <x:v>148.4</x:v>
      </x:c>
      <x:c r="G155" s="58" t="n">
        <x:v>209.06</x:v>
      </x:c>
      <x:c r="H155" s="58" t="n">
        <x:v>60.66</x:v>
      </x:c>
      <x:c r="I155" s="58" t="n">
        <x:v>11.818160691842705</x:v>
      </x:c>
      <x:c r="J155" s="58" t="str">
        <x:v>59</x:v>
      </x:c>
      <x:c r="K155" s="58" t="str">
        <x:v>63</x:v>
      </x:c>
      <x:c r="L155" s="58" t="n">
        <x:v>-0.7877628109019871</x:v>
      </x:c>
      <x:c r="M155" s="58" t="n">
        <x:v>26.953125</x:v>
      </x:c>
      <x:c r="N155" s="58" t="n">
        <x:v>26.953125</x:v>
      </x:c>
      <x:c r="O155" s="58" t="n">
        <x:v>26.953125</x:v>
      </x:c>
      <x:c r="P155" s="58" t="n">
        <x:v>15.134964308157295</x:v>
      </x:c>
      <x:c r="Q155" s="58" t="n">
        <x:v>15.134964308157295</x:v>
      </x:c>
      <x:c r="R155" s="58" t="n">
        <x:v>15.134964308157295</x:v>
      </x:c>
      <x:c r="S155" s="58" t="str">
        <x:v>4.370514367724698</x:v>
      </x:c>
      <x:c r="T155" s="58" t="str">
        <x:v>0.007007419620774938</x:v>
      </x:c>
      <x:c r="U155" s="58" t="n">
        <x:v>0.5081911158674809</x:v>
      </x:c>
      <x:c r="V155" s="58" t="n">
        <x:v>0.24177480852612063</x:v>
      </x:c>
      <x:c r="W155" s="58" t="n">
        <x:v>0.29921875</x:v>
      </x:c>
      <x:c r="X155" s="59" t="n">
        <x:v>0.02816595681145717</x:v>
      </x:c>
    </x:row>
    <x:row r="156">
      <x:c r="A156" s="57" t="str">
        <x:v>S21_PSJ</x:v>
      </x:c>
      <x:c r="B156" s="58" t="str">
        <x:v>S01</x:v>
      </x:c>
      <x:c r="C156" s="58" t="str">
        <x:v>FACE_R3</x:v>
      </x:c>
      <x:c r="D156" s="58" t="n">
        <x:v>3</x:v>
      </x:c>
      <x:c r="E156" s="58" t="n">
        <x:v>2</x:v>
      </x:c>
      <x:c r="F156" s="58" t="n">
        <x:v>148.4</x:v>
      </x:c>
      <x:c r="G156" s="58" t="n">
        <x:v>209.06</x:v>
      </x:c>
      <x:c r="H156" s="58" t="n">
        <x:v>60.66</x:v>
      </x:c>
      <x:c r="I156" s="58" t="n">
        <x:v>11.818160691842705</x:v>
      </x:c>
      <x:c r="J156" s="58" t="str">
        <x:v>65</x:v>
      </x:c>
      <x:c r="K156" s="58" t="str">
        <x:v>75</x:v>
      </x:c>
      <x:c r="L156" s="58" t="n">
        <x:v>-0.8639344817539856</x:v>
      </x:c>
      <x:c r="M156" s="58" t="n">
        <x:v>11.906584167078078</x:v>
      </x:c>
      <x:c r="N156" s="58" t="n">
        <x:v>11.898050635113126</x:v>
      </x:c>
      <x:c r="O156" s="58" t="n">
        <x:v>11.906584167078078</x:v>
      </x:c>
      <x:c r="P156" s="58" t="n">
        <x:v>0.07988994327042143</x:v>
      </x:c>
      <x:c r="Q156" s="58" t="n">
        <x:v>0.08842347523537342</x:v>
      </x:c>
      <x:c r="R156" s="58" t="n">
        <x:v>0.08842347523537342</x:v>
      </x:c>
      <x:c r="S156" s="58" t="str">
        <x:v>2.619007041198038</x:v>
      </x:c>
      <x:c r="T156" s="58" t="str">
        <x:v>0.007831821929101401</x:v>
      </x:c>
      <x:c r="U156" s="58" t="n">
        <x:v>0.7795950520694704</x:v>
      </x:c>
      <x:c r="V156" s="58" t="n">
        <x:v>0.12926526665660767</x:v>
      </x:c>
      <x:c r="W156" s="58" t="n">
        <x:v>0.048300843918552105</x:v>
      </x:c>
      <x:c r="X156" s="59" t="n">
        <x:v>0.03167901746679268</x:v>
      </x:c>
    </x:row>
    <x:row r="157">
      <x:c r="A157" s="57" t="str">
        <x:v>S21_PSJ</x:v>
      </x:c>
      <x:c r="B157" s="58" t="str">
        <x:v>S01</x:v>
      </x:c>
      <x:c r="C157" s="58" t="str">
        <x:v>FACE_R3</x:v>
      </x:c>
      <x:c r="D157" s="58" t="n">
        <x:v>3</x:v>
      </x:c>
      <x:c r="E157" s="58" t="n">
        <x:v>3</x:v>
      </x:c>
      <x:c r="F157" s="58" t="n">
        <x:v>148.4</x:v>
      </x:c>
      <x:c r="G157" s="58" t="n">
        <x:v>209.06</x:v>
      </x:c>
      <x:c r="H157" s="58" t="n">
        <x:v>60.66</x:v>
      </x:c>
      <x:c r="I157" s="58" t="n">
        <x:v>11.818160691842705</x:v>
      </x:c>
      <x:c r="J157" s="58" t="str">
        <x:v>16</x:v>
      </x:c>
      <x:c r="K157" s="58" t="str">
        <x:v>74</x:v>
      </x:c>
      <x:c r="L157" s="58" t="n">
        <x:v>0.8270750744872167</x:v>
      </x:c>
      <x:c r="M157" s="58" t="n">
        <x:v>11.80373435117487</x:v>
      </x:c>
      <x:c r="N157" s="58" t="n">
        <x:v>11.846039544563723</x:v>
      </x:c>
      <x:c r="O157" s="58" t="n">
        <x:v>11.80373435117487</x:v>
      </x:c>
      <x:c r="P157" s="58" t="n">
        <x:v>0.027878852721018532</x:v>
      </x:c>
      <x:c r="Q157" s="58" t="n">
        <x:v>0.014426340667835547</x:v>
      </x:c>
      <x:c r="R157" s="58" t="n">
        <x:v>0.014426340667835547</x:v>
      </x:c>
      <x:c r="S157" s="58" t="str">
        <x:v>2.88955728839266</x:v>
      </x:c>
      <x:c r="T157" s="58" t="str">
        <x:v>0.004122011541632316</x:v>
      </x:c>
      <x:c r="U157" s="58" t="n">
        <x:v>0.7281008601912863</x:v>
      </x:c>
      <x:c r="V157" s="58" t="n">
        <x:v>0.1406803845338259</x:v>
      </x:c>
      <x:c r="W157" s="58" t="n">
        <x:v>0.04743399240939539</x:v>
      </x:c>
      <x:c r="X157" s="59" t="n">
        <x:v>0.025658290705758695</x:v>
      </x:c>
    </x:row>
    <x:row r="158">
      <x:c r="A158" s="57" t="str">
        <x:v>S21_PSJ</x:v>
      </x:c>
      <x:c r="B158" s="58" t="str">
        <x:v>S02</x:v>
      </x:c>
      <x:c r="C158" s="58" t="str">
        <x:v>NORMAL</x:v>
      </x:c>
      <x:c r="D158" s="58" t="str"/>
      <x:c r="E158" s="58" t="n">
        <x:v>1</x:v>
      </x:c>
      <x:c r="F158" s="58" t="n">
        <x:v>248.808</x:v>
      </x:c>
      <x:c r="G158" s="58" t="n">
        <x:v>298.808</x:v>
      </x:c>
      <x:c r="H158" s="58" t="n">
        <x:v>50</x:v>
      </x:c>
      <x:c r="I158" s="58" t="n">
        <x:v>10.656989527764612</x:v>
      </x:c>
      <x:c r="J158" s="58" t="str">
        <x:v>61</x:v>
      </x:c>
      <x:c r="K158" s="58" t="str">
        <x:v>28</x:v>
      </x:c>
      <x:c r="L158" s="58" t="n">
        <x:v>0.7224756476994869</x:v>
      </x:c>
      <x:c r="M158" s="58" t="n">
        <x:v>10.771067656133056</x:v>
      </x:c>
      <x:c r="N158" s="58" t="n">
        <x:v>10.818282159779981</x:v>
      </x:c>
      <x:c r="O158" s="58" t="n">
        <x:v>10.771067656133056</x:v>
      </x:c>
      <x:c r="P158" s="58" t="n">
        <x:v>0.16129263201536936</x:v>
      </x:c>
      <x:c r="Q158" s="58" t="n">
        <x:v>0.114078128368444</x:v>
      </x:c>
      <x:c r="R158" s="58" t="n">
        <x:v>0.114078128368444</x:v>
      </x:c>
      <x:c r="S158" s="58" t="str">
        <x:v>2.6347930618677045</x:v>
      </x:c>
      <x:c r="T158" s="58" t="str">
        <x:v>0.004</x:v>
      </x:c>
      <x:c r="U158" s="58" t="n">
        <x:v>0.7065441032876065</x:v>
      </x:c>
      <x:c r="V158" s="58" t="n">
        <x:v>0.11297634767788813</x:v>
      </x:c>
      <x:c r="W158" s="58" t="n">
        <x:v>0.0303047026629997</x:v>
      </x:c>
      <x:c r="X158" s="59" t="n">
        <x:v>0.02970696620787429</x:v>
      </x:c>
    </x:row>
    <x:row r="159">
      <x:c r="A159" s="57" t="str">
        <x:v>S21_PSJ</x:v>
      </x:c>
      <x:c r="B159" s="58" t="str">
        <x:v>S02</x:v>
      </x:c>
      <x:c r="C159" s="58" t="str">
        <x:v>NORMAL</x:v>
      </x:c>
      <x:c r="D159" s="58" t="str"/>
      <x:c r="E159" s="58" t="n">
        <x:v>2</x:v>
      </x:c>
      <x:c r="F159" s="58" t="n">
        <x:v>248.808</x:v>
      </x:c>
      <x:c r="G159" s="58" t="n">
        <x:v>298.808</x:v>
      </x:c>
      <x:c r="H159" s="58" t="n">
        <x:v>50</x:v>
      </x:c>
      <x:c r="I159" s="58" t="n">
        <x:v>10.656989527764612</x:v>
      </x:c>
      <x:c r="J159" s="58" t="str">
        <x:v>66</x:v>
      </x:c>
      <x:c r="K159" s="58" t="str">
        <x:v>29</x:v>
      </x:c>
      <x:c r="L159" s="58" t="n">
        <x:v>-0.7333556247471398</x:v>
      </x:c>
      <x:c r="M159" s="58" t="n">
        <x:v>11.027897141227863</x:v>
      </x:c>
      <x:c r="N159" s="58" t="n">
        <x:v>11.049958748469395</x:v>
      </x:c>
      <x:c r="O159" s="58" t="n">
        <x:v>11.027897141227863</x:v>
      </x:c>
      <x:c r="P159" s="58" t="n">
        <x:v>0.39296922070478324</x:v>
      </x:c>
      <x:c r="Q159" s="58" t="n">
        <x:v>0.37090761346325074</x:v>
      </x:c>
      <x:c r="R159" s="58" t="n">
        <x:v>0.37090761346325074</x:v>
      </x:c>
      <x:c r="S159" s="58" t="str">
        <x:v>3.8834739063580077</x:v>
      </x:c>
      <x:c r="T159" s="58" t="str">
        <x:v>0.0065</x:v>
      </x:c>
      <x:c r="U159" s="58" t="n">
        <x:v>0.6830449722168036</x:v>
      </x:c>
      <x:c r="V159" s="58" t="n">
        <x:v>0.11776205169018572</x:v>
      </x:c>
      <x:c r="W159" s="58" t="n">
        <x:v>0.0341659791411566</x:v>
      </x:c>
      <x:c r="X159" s="59" t="n">
        <x:v>0.03309252242957668</x:v>
      </x:c>
    </x:row>
    <x:row r="160">
      <x:c r="A160" s="57" t="str">
        <x:v>S21_PSJ</x:v>
      </x:c>
      <x:c r="B160" s="58" t="str">
        <x:v>S02</x:v>
      </x:c>
      <x:c r="C160" s="58" t="str">
        <x:v>NORMAL</x:v>
      </x:c>
      <x:c r="D160" s="58" t="str"/>
      <x:c r="E160" s="58" t="n">
        <x:v>3</x:v>
      </x:c>
      <x:c r="F160" s="58" t="n">
        <x:v>248.808</x:v>
      </x:c>
      <x:c r="G160" s="58" t="n">
        <x:v>298.808</x:v>
      </x:c>
      <x:c r="H160" s="58" t="n">
        <x:v>50</x:v>
      </x:c>
      <x:c r="I160" s="58" t="n">
        <x:v>10.656989527764612</x:v>
      </x:c>
      <x:c r="J160" s="58" t="str">
        <x:v>60</x:v>
      </x:c>
      <x:c r="K160" s="58" t="str">
        <x:v>15</x:v>
      </x:c>
      <x:c r="L160" s="58" t="n">
        <x:v>0.820253958767221</x:v>
      </x:c>
      <x:c r="M160" s="58" t="n">
        <x:v>10.655988335161396</x:v>
      </x:c>
      <x:c r="N160" s="58" t="n">
        <x:v>10.689466945658994</x:v>
      </x:c>
      <x:c r="O160" s="58" t="n">
        <x:v>10.655988335161396</x:v>
      </x:c>
      <x:c r="P160" s="58" t="n">
        <x:v>0.0324774178943823</x:v>
      </x:c>
      <x:c r="Q160" s="58" t="n">
        <x:v>0.0010011926032156282</x:v>
      </x:c>
      <x:c r="R160" s="58" t="n">
        <x:v>0.0010011926032156282</x:v>
      </x:c>
      <x:c r="S160" s="58" t="str">
        <x:v>3.2166393522304024</x:v>
      </x:c>
      <x:c r="T160" s="58" t="str">
        <x:v>0.0055</x:v>
      </x:c>
      <x:c r="U160" s="58" t="n">
        <x:v>0.6715912769694742</x:v>
      </x:c>
      <x:c r="V160" s="58" t="n">
        <x:v>0.09485497074624415</x:v>
      </x:c>
      <x:c r="W160" s="58" t="n">
        <x:v>0.028157782427649908</x:v>
      </x:c>
      <x:c r="X160" s="59" t="n">
        <x:v>0.022221288948862588</x:v>
      </x:c>
    </x:row>
    <x:row r="161">
      <x:c r="A161" s="57" t="str">
        <x:v>S21_PSJ</x:v>
      </x:c>
      <x:c r="B161" s="58" t="str">
        <x:v>S02</x:v>
      </x:c>
      <x:c r="C161" s="58" t="str">
        <x:v>SLOW</x:v>
      </x:c>
      <x:c r="D161" s="58" t="str"/>
      <x:c r="E161" s="58" t="n">
        <x:v>1</x:v>
      </x:c>
      <x:c r="F161" s="58" t="n">
        <x:v>308.808</x:v>
      </x:c>
      <x:c r="G161" s="58" t="n">
        <x:v>358.808</x:v>
      </x:c>
      <x:c r="H161" s="58" t="n">
        <x:v>50</x:v>
      </x:c>
      <x:c r="I161" s="58" t="n">
        <x:v>6.064573010224743</x:v>
      </x:c>
      <x:c r="J161" s="58" t="str">
        <x:v>16</x:v>
      </x:c>
      <x:c r="K161" s="58" t="str">
        <x:v>42</x:v>
      </x:c>
      <x:c r="L161" s="58" t="n">
        <x:v>0.6271373641004955</x:v>
      </x:c>
      <x:c r="M161" s="58" t="n">
        <x:v>6.15380434982274</x:v>
      </x:c>
      <x:c r="N161" s="58" t="n">
        <x:v>6.292160011262137</x:v>
      </x:c>
      <x:c r="O161" s="58" t="n">
        <x:v>6.15380434982274</x:v>
      </x:c>
      <x:c r="P161" s="58" t="n">
        <x:v>0.22758700103739393</x:v>
      </x:c>
      <x:c r="Q161" s="58" t="n">
        <x:v>0.08923133959799667</x:v>
      </x:c>
      <x:c r="R161" s="58" t="n">
        <x:v>0.08923133959799667</x:v>
      </x:c>
      <x:c r="S161" s="58" t="str">
        <x:v>3.925607226218475</x:v>
      </x:c>
      <x:c r="T161" s="58" t="str">
        <x:v>0.002</x:v>
      </x:c>
      <x:c r="U161" s="58" t="n">
        <x:v>0.6905920897323119</x:v>
      </x:c>
      <x:c r="V161" s="58" t="n">
        <x:v>0.1260132077521042</x:v>
      </x:c>
      <x:c r="W161" s="58" t="n">
        <x:v>0.034869333521035606</x:v>
      </x:c>
      <x:c r="X161" s="59" t="n">
        <x:v>0.029696129020074687</x:v>
      </x:c>
    </x:row>
    <x:row r="162">
      <x:c r="A162" s="57" t="str">
        <x:v>S21_PSJ</x:v>
      </x:c>
      <x:c r="B162" s="58" t="str">
        <x:v>S02</x:v>
      </x:c>
      <x:c r="C162" s="58" t="str">
        <x:v>SLOW</x:v>
      </x:c>
      <x:c r="D162" s="58" t="str"/>
      <x:c r="E162" s="58" t="n">
        <x:v>2</x:v>
      </x:c>
      <x:c r="F162" s="58" t="n">
        <x:v>308.808</x:v>
      </x:c>
      <x:c r="G162" s="58" t="n">
        <x:v>358.808</x:v>
      </x:c>
      <x:c r="H162" s="58" t="n">
        <x:v>50</x:v>
      </x:c>
      <x:c r="I162" s="58" t="n">
        <x:v>6.064573010224743</x:v>
      </x:c>
      <x:c r="J162" s="58" t="str">
        <x:v>68</x:v>
      </x:c>
      <x:c r="K162" s="58" t="str">
        <x:v>24</x:v>
      </x:c>
      <x:c r="L162" s="58" t="n">
        <x:v>0.6563768503446548</x:v>
      </x:c>
      <x:c r="M162" s="58" t="n">
        <x:v>6.09374744148939</x:v>
      </x:c>
      <x:c r="N162" s="58" t="n">
        <x:v>6.049342032265327</x:v>
      </x:c>
      <x:c r="O162" s="58" t="n">
        <x:v>6.09374744148939</x:v>
      </x:c>
      <x:c r="P162" s="58" t="n">
        <x:v>0.015230977959416414</x:v>
      </x:c>
      <x:c r="Q162" s="58" t="n">
        <x:v>0.02917443126464736</x:v>
      </x:c>
      <x:c r="R162" s="58" t="n">
        <x:v>0.02917443126464736</x:v>
      </x:c>
      <x:c r="S162" s="58" t="str">
        <x:v>3.541032345768379</x:v>
      </x:c>
      <x:c r="T162" s="58" t="str">
        <x:v>0.004</x:v>
      </x:c>
      <x:c r="U162" s="58" t="n">
        <x:v>0.6796475635071607</x:v>
      </x:c>
      <x:c r="V162" s="58" t="n">
        <x:v>0.1088425053659118</x:v>
      </x:c>
      <x:c r="W162" s="58" t="n">
        <x:v>0.030822367204422108</x:v>
      </x:c>
      <x:c r="X162" s="59" t="n">
        <x:v>0.03120345047834236</x:v>
      </x:c>
    </x:row>
    <x:row r="163">
      <x:c r="A163" s="57" t="str">
        <x:v>S21_PSJ</x:v>
      </x:c>
      <x:c r="B163" s="58" t="str">
        <x:v>S02</x:v>
      </x:c>
      <x:c r="C163" s="58" t="str">
        <x:v>SLOW</x:v>
      </x:c>
      <x:c r="D163" s="58" t="str"/>
      <x:c r="E163" s="58" t="n">
        <x:v>3</x:v>
      </x:c>
      <x:c r="F163" s="58" t="n">
        <x:v>308.808</x:v>
      </x:c>
      <x:c r="G163" s="58" t="n">
        <x:v>358.808</x:v>
      </x:c>
      <x:c r="H163" s="58" t="n">
        <x:v>50</x:v>
      </x:c>
      <x:c r="I163" s="58" t="n">
        <x:v>6.064573010224743</x:v>
      </x:c>
      <x:c r="J163" s="58" t="str">
        <x:v>27</x:v>
      </x:c>
      <x:c r="K163" s="58" t="str">
        <x:v>74</x:v>
      </x:c>
      <x:c r="L163" s="58" t="n">
        <x:v>0.814942348328258</x:v>
      </x:c>
      <x:c r="M163" s="58" t="n">
        <x:v>5.969683382868439</x:v>
      </x:c>
      <x:c r="N163" s="58" t="n">
        <x:v>6.018939720910611</x:v>
      </x:c>
      <x:c r="O163" s="58" t="n">
        <x:v>5.969683382868439</x:v>
      </x:c>
      <x:c r="P163" s="58" t="n">
        <x:v>0.04563328931413224</x:v>
      </x:c>
      <x:c r="Q163" s="58" t="n">
        <x:v>0.09488962735630402</x:v>
      </x:c>
      <x:c r="R163" s="58" t="n">
        <x:v>0.09488962735630402</x:v>
      </x:c>
      <x:c r="S163" s="58" t="str">
        <x:v>3.0874043304981513</x:v>
      </x:c>
      <x:c r="T163" s="58" t="str">
        <x:v>0.0</x:v>
      </x:c>
      <x:c r="U163" s="58" t="n">
        <x:v>0.6473274576520774</x:v>
      </x:c>
      <x:c r="V163" s="58" t="n">
        <x:v>0.13658790833461296</x:v>
      </x:c>
      <x:c r="W163" s="58" t="n">
        <x:v>0.03031566201517684</x:v>
      </x:c>
      <x:c r="X163" s="59" t="n">
        <x:v>0.023323127062154066</x:v>
      </x:c>
    </x:row>
    <x:row r="164">
      <x:c r="A164" s="57" t="str">
        <x:v>S21_PSJ</x:v>
      </x:c>
      <x:c r="B164" s="58" t="str">
        <x:v>S02</x:v>
      </x:c>
      <x:c r="C164" s="58" t="str">
        <x:v>POST_HOLD</x:v>
      </x:c>
      <x:c r="D164" s="58" t="str"/>
      <x:c r="E164" s="58" t="n">
        <x:v>1</x:v>
      </x:c>
      <x:c r="F164" s="58" t="n">
        <x:v>396.05</x:v>
      </x:c>
      <x:c r="G164" s="58" t="n">
        <x:v>448.808</x:v>
      </x:c>
      <x:c r="H164" s="58" t="n">
        <x:v>52.758</x:v>
      </x:c>
      <x:c r="I164" s="58" t="n">
        <x:v>12.651225910362735</x:v>
      </x:c>
      <x:c r="J164" s="58" t="str">
        <x:v>62</x:v>
      </x:c>
      <x:c r="K164" s="58" t="str">
        <x:v>69</x:v>
      </x:c>
      <x:c r="L164" s="58" t="n">
        <x:v>0.9192139989720604</x:v>
      </x:c>
      <x:c r="M164" s="58" t="n">
        <x:v>12.616214175432605</x:v>
      </x:c>
      <x:c r="N164" s="58" t="n">
        <x:v>12.615051450144929</x:v>
      </x:c>
      <x:c r="O164" s="58" t="n">
        <x:v>12.616214175432605</x:v>
      </x:c>
      <x:c r="P164" s="58" t="n">
        <x:v>0.036174460217806015</x:v>
      </x:c>
      <x:c r="Q164" s="58" t="n">
        <x:v>0.03501173493012999</x:v>
      </x:c>
      <x:c r="R164" s="58" t="n">
        <x:v>0.03501173493012999</x:v>
      </x:c>
      <x:c r="S164" s="58" t="str">
        <x:v>3.176986238832676</x:v>
      </x:c>
      <x:c r="T164" s="58" t="str">
        <x:v>0.0</x:v>
      </x:c>
      <x:c r="U164" s="58" t="n">
        <x:v>0.660000718725683</x:v>
      </x:c>
      <x:c r="V164" s="58" t="n">
        <x:v>0.13482531806298934</x:v>
      </x:c>
      <x:c r="W164" s="58" t="n">
        <x:v>0.06025085750241549</x:v>
      </x:c>
      <x:c r="X164" s="59" t="n">
        <x:v>0.027773091787440772</x:v>
      </x:c>
    </x:row>
    <x:row r="165">
      <x:c r="A165" s="57" t="str">
        <x:v>S21_PSJ</x:v>
      </x:c>
      <x:c r="B165" s="58" t="str">
        <x:v>S02</x:v>
      </x:c>
      <x:c r="C165" s="58" t="str">
        <x:v>POST_HOLD</x:v>
      </x:c>
      <x:c r="D165" s="58" t="str"/>
      <x:c r="E165" s="58" t="n">
        <x:v>2</x:v>
      </x:c>
      <x:c r="F165" s="58" t="n">
        <x:v>396.05</x:v>
      </x:c>
      <x:c r="G165" s="58" t="n">
        <x:v>448.808</x:v>
      </x:c>
      <x:c r="H165" s="58" t="n">
        <x:v>52.758</x:v>
      </x:c>
      <x:c r="I165" s="58" t="n">
        <x:v>12.651225910362735</x:v>
      </x:c>
      <x:c r="J165" s="58" t="str">
        <x:v>40</x:v>
      </x:c>
      <x:c r="K165" s="58" t="str">
        <x:v>82</x:v>
      </x:c>
      <x:c r="L165" s="58" t="n">
        <x:v>-0.7056095866756488</x:v>
      </x:c>
      <x:c r="M165" s="58" t="n">
        <x:v>12.592406631416381</x:v>
      </x:c>
      <x:c r="N165" s="58" t="n">
        <x:v>12.550627778776853</x:v>
      </x:c>
      <x:c r="O165" s="58" t="n">
        <x:v>12.592406631416381</x:v>
      </x:c>
      <x:c r="P165" s="58" t="n">
        <x:v>0.10059813158588149</x:v>
      </x:c>
      <x:c r="Q165" s="58" t="n">
        <x:v>0.05881927894635375</x:v>
      </x:c>
      <x:c r="R165" s="58" t="n">
        <x:v>0.05881927894635375</x:v>
      </x:c>
      <x:c r="S165" s="58" t="str">
        <x:v>1.6467017622166638</x:v>
      </x:c>
      <x:c r="T165" s="58" t="str">
        <x:v>0.002843601895734597</x:v>
      </x:c>
      <x:c r="U165" s="58" t="n">
        <x:v>0.7559494396389563</x:v>
      </x:c>
      <x:c r="V165" s="58" t="n">
        <x:v>0.11412194289737791</x:v>
      </x:c>
      <x:c r="W165" s="58" t="n">
        <x:v>0.059177129646280885</x:v>
      </x:c>
      <x:c r="X165" s="59" t="n">
        <x:v>0.03274868449721002</x:v>
      </x:c>
    </x:row>
    <x:row r="166">
      <x:c r="A166" s="57" t="str">
        <x:v>S21_PSJ</x:v>
      </x:c>
      <x:c r="B166" s="58" t="str">
        <x:v>S02</x:v>
      </x:c>
      <x:c r="C166" s="58" t="str">
        <x:v>POST_HOLD</x:v>
      </x:c>
      <x:c r="D166" s="58" t="str"/>
      <x:c r="E166" s="58" t="n">
        <x:v>3</x:v>
      </x:c>
      <x:c r="F166" s="58" t="n">
        <x:v>396.05</x:v>
      </x:c>
      <x:c r="G166" s="58" t="n">
        <x:v>448.808</x:v>
      </x:c>
      <x:c r="H166" s="58" t="n">
        <x:v>52.758</x:v>
      </x:c>
      <x:c r="I166" s="58" t="n">
        <x:v>12.651225910362735</x:v>
      </x:c>
      <x:c r="J166" s="58" t="str">
        <x:v>60</x:v>
      </x:c>
      <x:c r="K166" s="58" t="str">
        <x:v>77</x:v>
      </x:c>
      <x:c r="L166" s="58" t="n">
        <x:v>0.7409625944510048</x:v>
      </x:c>
      <x:c r="M166" s="58" t="n">
        <x:v>12.567137680497657</x:v>
      </x:c>
      <x:c r="N166" s="58" t="n">
        <x:v>12.509000840304305</x:v>
      </x:c>
      <x:c r="O166" s="58" t="n">
        <x:v>12.567137680497657</x:v>
      </x:c>
      <x:c r="P166" s="58" t="n">
        <x:v>0.14222507005843</x:v>
      </x:c>
      <x:c r="Q166" s="58" t="n">
        <x:v>0.08408822986507758</x:v>
      </x:c>
      <x:c r="R166" s="58" t="n">
        <x:v>0.08408822986507758</x:v>
      </x:c>
      <x:c r="S166" s="58" t="str">
        <x:v>3.897793743857518</x:v>
      </x:c>
      <x:c r="T166" s="58" t="str">
        <x:v>0.0033175355450236967</x:v>
      </x:c>
      <x:c r="U166" s="58" t="n">
        <x:v>0.7058276244092124</x:v>
      </x:c>
      <x:c r="V166" s="58" t="n">
        <x:v>0.11744523058616699</x:v>
      </x:c>
      <x:c r="W166" s="58" t="n">
        <x:v>0.05848334733840507</x:v>
      </x:c>
      <x:c r="X166" s="59" t="n">
        <x:v>0.02302028298151279</x:v>
      </x:c>
    </x:row>
    <x:row r="167">
      <x:c r="A167" s="57" t="str">
        <x:v>S21_PSJ</x:v>
      </x:c>
      <x:c r="B167" s="58" t="str">
        <x:v>S02</x:v>
      </x:c>
      <x:c r="C167" s="58" t="str">
        <x:v>SQUAT</x:v>
      </x:c>
      <x:c r="D167" s="58" t="str"/>
      <x:c r="E167" s="58" t="n">
        <x:v>1</x:v>
      </x:c>
      <x:c r="F167" s="58" t="n">
        <x:v>473.808</x:v>
      </x:c>
      <x:c r="G167" s="58" t="n">
        <x:v>523.808</x:v>
      </x:c>
      <x:c r="H167" s="58" t="n">
        <x:v>50</x:v>
      </x:c>
      <x:c r="I167" s="58" t="n">
        <x:v>21.892487359305964</x:v>
      </x:c>
      <x:c r="J167" s="58" t="str">
        <x:v>87</x:v>
      </x:c>
      <x:c r="K167" s="58" t="str"/>
      <x:c r="L167" s="58" t="str"/>
      <x:c r="M167" s="58" t="n">
        <x:v>12.734148867236648</x:v>
      </x:c>
      <x:c r="N167" s="58" t="n">
        <x:v>12.733533961841852</x:v>
      </x:c>
      <x:c r="O167" s="58" t="n">
        <x:v>12.734148867236648</x:v>
      </x:c>
      <x:c r="P167" s="58" t="n">
        <x:v>9.158953397464112</x:v>
      </x:c>
      <x:c r="Q167" s="58" t="n">
        <x:v>9.158338492069316</x:v>
      </x:c>
      <x:c r="R167" s="58" t="n">
        <x:v>9.158338492069316</x:v>
      </x:c>
      <x:c r="S167" s="58" t="str">
        <x:v>0.6211405051773858</x:v>
      </x:c>
      <x:c r="T167" s="58" t="str">
        <x:v>0.0385</x:v>
      </x:c>
      <x:c r="U167" s="58" t="n">
        <x:v>0.8713614325746436</x:v>
      </x:c>
      <x:c r="V167" s="58" t="n">
        <x:v>0.058727370997489925</x:v>
      </x:c>
      <x:c r="W167" s="58" t="n">
        <x:v>0.06222556603069754</x:v>
      </x:c>
      <x:c r="X167" s="59" t="n">
        <x:v>0.08683086837242285</x:v>
      </x:c>
    </x:row>
    <x:row r="168">
      <x:c r="A168" s="57" t="str">
        <x:v>S21_PSJ</x:v>
      </x:c>
      <x:c r="B168" s="58" t="str">
        <x:v>S02</x:v>
      </x:c>
      <x:c r="C168" s="58" t="str">
        <x:v>SQUAT</x:v>
      </x:c>
      <x:c r="D168" s="58" t="str"/>
      <x:c r="E168" s="58" t="n">
        <x:v>2</x:v>
      </x:c>
      <x:c r="F168" s="58" t="n">
        <x:v>473.808</x:v>
      </x:c>
      <x:c r="G168" s="58" t="n">
        <x:v>523.808</x:v>
      </x:c>
      <x:c r="H168" s="58" t="n">
        <x:v>50</x:v>
      </x:c>
      <x:c r="I168" s="58" t="n">
        <x:v>21.892487359305964</x:v>
      </x:c>
      <x:c r="J168" s="58" t="str">
        <x:v>45</x:v>
      </x:c>
      <x:c r="K168" s="58" t="str">
        <x:v>78</x:v>
      </x:c>
      <x:c r="L168" s="58" t="n">
        <x:v>-0.36773666700367885</x:v>
      </x:c>
      <x:c r="M168" s="58" t="n">
        <x:v>20.220228793171326</x:v>
      </x:c>
      <x:c r="N168" s="58" t="n">
        <x:v>20.33391965228401</x:v>
      </x:c>
      <x:c r="O168" s="58" t="n">
        <x:v>20.220228793171326</x:v>
      </x:c>
      <x:c r="P168" s="58" t="n">
        <x:v>1.558567707021954</x:v>
      </x:c>
      <x:c r="Q168" s="58" t="n">
        <x:v>1.6722585661346372</x:v>
      </x:c>
      <x:c r="R168" s="58" t="n">
        <x:v>1.6722585661346372</x:v>
      </x:c>
      <x:c r="S168" s="58" t="str">
        <x:v>0.4696188771225571</x:v>
      </x:c>
      <x:c r="T168" s="58" t="str">
        <x:v>0.0255</x:v>
      </x:c>
      <x:c r="U168" s="58" t="n">
        <x:v>0.8861270588387479</x:v>
      </x:c>
      <x:c r="V168" s="58" t="n">
        <x:v>0.05085991141350341</x:v>
      </x:c>
      <x:c r="W168" s="58" t="n">
        <x:v>0.1888986608714002</x:v>
      </x:c>
      <x:c r="X168" s="59" t="n">
        <x:v>0.08849703840881162</x:v>
      </x:c>
    </x:row>
    <x:row r="169">
      <x:c r="A169" s="57" t="str">
        <x:v>S21_PSJ</x:v>
      </x:c>
      <x:c r="B169" s="58" t="str">
        <x:v>S02</x:v>
      </x:c>
      <x:c r="C169" s="58" t="str">
        <x:v>SQUAT</x:v>
      </x:c>
      <x:c r="D169" s="58" t="str"/>
      <x:c r="E169" s="58" t="n">
        <x:v>3</x:v>
      </x:c>
      <x:c r="F169" s="58" t="n">
        <x:v>473.808</x:v>
      </x:c>
      <x:c r="G169" s="58" t="n">
        <x:v>523.808</x:v>
      </x:c>
      <x:c r="H169" s="58" t="n">
        <x:v>50</x:v>
      </x:c>
      <x:c r="I169" s="58" t="n">
        <x:v>21.892487359305964</x:v>
      </x:c>
      <x:c r="J169" s="58" t="str">
        <x:v>77</x:v>
      </x:c>
      <x:c r="K169" s="58" t="str">
        <x:v>16</x:v>
      </x:c>
      <x:c r="L169" s="58" t="n">
        <x:v>0.4341103473329073</x:v>
      </x:c>
      <x:c r="M169" s="58" t="n">
        <x:v>13.352467163481373</x:v>
      </x:c>
      <x:c r="N169" s="58" t="n">
        <x:v>13.449350378252086</x:v>
      </x:c>
      <x:c r="O169" s="58" t="n">
        <x:v>13.352467163481373</x:v>
      </x:c>
      <x:c r="P169" s="58" t="n">
        <x:v>8.443136981053877</x:v>
      </x:c>
      <x:c r="Q169" s="58" t="n">
        <x:v>8.54002019582459</x:v>
      </x:c>
      <x:c r="R169" s="58" t="n">
        <x:v>8.54002019582459</x:v>
      </x:c>
      <x:c r="S169" s="58" t="str">
        <x:v>1.4427795395006031</x:v>
      </x:c>
      <x:c r="T169" s="58" t="str">
        <x:v>0.0355</x:v>
      </x:c>
      <x:c r="U169" s="58" t="n">
        <x:v>0.7868535550662894</x:v>
      </x:c>
      <x:c r="V169" s="58" t="n">
        <x:v>0.08939949283812794</x:v>
      </x:c>
      <x:c r="W169" s="58" t="n">
        <x:v>0.07415583963753478</x:v>
      </x:c>
      <x:c r="X169" s="59" t="n">
        <x:v>0.11584096149284714</x:v>
      </x:c>
    </x:row>
    <x:row r="170">
      <x:c r="A170" s="57" t="str">
        <x:v>S21_PSJ</x:v>
      </x:c>
      <x:c r="B170" s="58" t="str">
        <x:v>S02</x:v>
      </x:c>
      <x:c r="C170" s="58" t="str">
        <x:v>POST_EXERCISE</x:v>
      </x:c>
      <x:c r="D170" s="58" t="str"/>
      <x:c r="E170" s="58" t="n">
        <x:v>1</x:v>
      </x:c>
      <x:c r="F170" s="58" t="n">
        <x:v>548.808</x:v>
      </x:c>
      <x:c r="G170" s="58" t="n">
        <x:v>598.808</x:v>
      </x:c>
      <x:c r="H170" s="58" t="n">
        <x:v>50</x:v>
      </x:c>
      <x:c r="I170" s="58" t="n">
        <x:v>27.324089713857973</x:v>
      </x:c>
      <x:c r="J170" s="58" t="str">
        <x:v>32</x:v>
      </x:c>
      <x:c r="K170" s="58" t="str">
        <x:v>25</x:v>
      </x:c>
      <x:c r="L170" s="58" t="n">
        <x:v>0.8763633428146621</x:v>
      </x:c>
      <x:c r="M170" s="58" t="n">
        <x:v>27.757629749467277</x:v>
      </x:c>
      <x:c r="N170" s="58" t="n">
        <x:v>27.722172873800524</x:v>
      </x:c>
      <x:c r="O170" s="58" t="n">
        <x:v>27.757629749467277</x:v>
      </x:c>
      <x:c r="P170" s="58" t="n">
        <x:v>0.3980831599425514</x:v>
      </x:c>
      <x:c r="Q170" s="58" t="n">
        <x:v>0.43354003560930465</x:v>
      </x:c>
      <x:c r="R170" s="58" t="n">
        <x:v>0.43354003560930465</x:v>
      </x:c>
      <x:c r="S170" s="58" t="str">
        <x:v>1.7707175980993992</x:v>
      </x:c>
      <x:c r="T170" s="58" t="str">
        <x:v>0.0</x:v>
      </x:c>
      <x:c r="U170" s="58" t="n">
        <x:v>0.673019505641435</x:v>
      </x:c>
      <x:c r="V170" s="58" t="n">
        <x:v>0.11496750421343317</x:v>
      </x:c>
      <x:c r="W170" s="58" t="n">
        <x:v>0.3120362145633421</x:v>
      </x:c>
      <x:c r="X170" s="59" t="n">
        <x:v>0.03197165161701903</x:v>
      </x:c>
    </x:row>
    <x:row r="171">
      <x:c r="A171" s="57" t="str">
        <x:v>S21_PSJ</x:v>
      </x:c>
      <x:c r="B171" s="58" t="str">
        <x:v>S02</x:v>
      </x:c>
      <x:c r="C171" s="58" t="str">
        <x:v>POST_EXERCISE</x:v>
      </x:c>
      <x:c r="D171" s="58" t="str"/>
      <x:c r="E171" s="58" t="n">
        <x:v>2</x:v>
      </x:c>
      <x:c r="F171" s="58" t="n">
        <x:v>548.808</x:v>
      </x:c>
      <x:c r="G171" s="58" t="n">
        <x:v>598.808</x:v>
      </x:c>
      <x:c r="H171" s="58" t="n">
        <x:v>50</x:v>
      </x:c>
      <x:c r="I171" s="58" t="n">
        <x:v>27.324089713857973</x:v>
      </x:c>
      <x:c r="J171" s="58" t="str">
        <x:v>42</x:v>
      </x:c>
      <x:c r="K171" s="58" t="str">
        <x:v>23</x:v>
      </x:c>
      <x:c r="L171" s="58" t="n">
        <x:v>0.7514131545802019</x:v>
      </x:c>
      <x:c r="M171" s="58" t="n">
        <x:v>27.515833204995296</x:v>
      </x:c>
      <x:c r="N171" s="58" t="n">
        <x:v>27.556164348723847</x:v>
      </x:c>
      <x:c r="O171" s="58" t="n">
        <x:v>27.515833204995296</x:v>
      </x:c>
      <x:c r="P171" s="58" t="n">
        <x:v>0.23207463486587443</x:v>
      </x:c>
      <x:c r="Q171" s="58" t="n">
        <x:v>0.19174349113732347</x:v>
      </x:c>
      <x:c r="R171" s="58" t="n">
        <x:v>0.19174349113732347</x:v>
      </x:c>
      <x:c r="S171" s="58" t="str">
        <x:v>2.310187383937035</x:v>
      </x:c>
      <x:c r="T171" s="58" t="str">
        <x:v>0.0025</x:v>
      </x:c>
      <x:c r="U171" s="58" t="n">
        <x:v>0.7019031702592465</x:v>
      </x:c>
      <x:c r="V171" s="58" t="n">
        <x:v>0.09862157303681522</x:v>
      </x:c>
      <x:c r="W171" s="58" t="n">
        <x:v>0.3092694058120641</x:v>
      </x:c>
      <x:c r="X171" s="59" t="n">
        <x:v>0.031713479625603475</x:v>
      </x:c>
    </x:row>
    <x:row r="172">
      <x:c r="A172" s="57" t="str">
        <x:v>S21_PSJ</x:v>
      </x:c>
      <x:c r="B172" s="58" t="str">
        <x:v>S02</x:v>
      </x:c>
      <x:c r="C172" s="58" t="str">
        <x:v>POST_EXERCISE</x:v>
      </x:c>
      <x:c r="D172" s="58" t="str"/>
      <x:c r="E172" s="58" t="n">
        <x:v>3</x:v>
      </x:c>
      <x:c r="F172" s="58" t="n">
        <x:v>548.808</x:v>
      </x:c>
      <x:c r="G172" s="58" t="n">
        <x:v>598.808</x:v>
      </x:c>
      <x:c r="H172" s="58" t="n">
        <x:v>50</x:v>
      </x:c>
      <x:c r="I172" s="58" t="n">
        <x:v>27.324089713857973</x:v>
      </x:c>
      <x:c r="J172" s="58" t="str">
        <x:v>78</x:v>
      </x:c>
      <x:c r="K172" s="58" t="str">
        <x:v>16</x:v>
      </x:c>
      <x:c r="L172" s="58" t="n">
        <x:v>-0.9483732413100565</x:v>
      </x:c>
      <x:c r="M172" s="58" t="n">
        <x:v>27.671730580376547</x:v>
      </x:c>
      <x:c r="N172" s="58" t="n">
        <x:v>27.68362938190361</x:v>
      </x:c>
      <x:c r="O172" s="58" t="n">
        <x:v>27.671730580376547</x:v>
      </x:c>
      <x:c r="P172" s="58" t="n">
        <x:v>0.3595396680456382</x:v>
      </x:c>
      <x:c r="Q172" s="58" t="n">
        <x:v>0.3476408665185744</x:v>
      </x:c>
      <x:c r="R172" s="58" t="n">
        <x:v>0.3476408665185744</x:v>
      </x:c>
      <x:c r="S172" s="58" t="str">
        <x:v>5.2780331903243045</x:v>
      </x:c>
      <x:c r="T172" s="58" t="str">
        <x:v>0.0005</x:v>
      </x:c>
      <x:c r="U172" s="58" t="n">
        <x:v>0.6079655934865524</x:v>
      </x:c>
      <x:c r="V172" s="58" t="n">
        <x:v>0.1153582991150268</x:v>
      </x:c>
      <x:c r="W172" s="58" t="n">
        <x:v>0.3113938230317268</x:v>
      </x:c>
      <x:c r="X172" s="59" t="n">
        <x:v>0.03187660352662712</x:v>
      </x:c>
    </x:row>
    <x:row r="173">
      <x:c r="A173" s="57" t="str">
        <x:v>S23_KDM</x:v>
      </x:c>
      <x:c r="B173" s="58" t="str">
        <x:v>S01</x:v>
      </x:c>
      <x:c r="C173" s="58" t="str">
        <x:v>FACE_R1</x:v>
      </x:c>
      <x:c r="D173" s="58" t="n">
        <x:v>1</x:v>
      </x:c>
      <x:c r="E173" s="58" t="n">
        <x:v>1</x:v>
      </x:c>
      <x:c r="F173" s="58" t="n">
        <x:v>29.916</x:v>
      </x:c>
      <x:c r="G173" s="58" t="n">
        <x:v>72.5</x:v>
      </x:c>
      <x:c r="H173" s="58" t="n">
        <x:v>42.584</x:v>
      </x:c>
      <x:c r="I173" s="58" t="n">
        <x:v>15.86420486520299</x:v>
      </x:c>
      <x:c r="J173" s="58" t="str">
        <x:v>17</x:v>
      </x:c>
      <x:c r="K173" s="58" t="str">
        <x:v>21</x:v>
      </x:c>
      <x:c r="L173" s="58" t="n">
        <x:v>-0.7175260226437998</x:v>
      </x:c>
      <x:c r="M173" s="58" t="n">
        <x:v>15.774280803924693</x:v>
      </x:c>
      <x:c r="N173" s="58" t="n">
        <x:v>15.855730672999538</x:v>
      </x:c>
      <x:c r="O173" s="58" t="n">
        <x:v>15.774280803924693</x:v>
      </x:c>
      <x:c r="P173" s="58" t="n">
        <x:v>0.008474192203451025</x:v>
      </x:c>
      <x:c r="Q173" s="58" t="n">
        <x:v>0.08992406127829611</x:v>
      </x:c>
      <x:c r="R173" s="58" t="n">
        <x:v>0.08992406127829611</x:v>
      </x:c>
      <x:c r="S173" s="58" t="str">
        <x:v>4.155773691732376</x:v>
      </x:c>
      <x:c r="T173" s="58" t="str">
        <x:v>0.0</x:v>
      </x:c>
      <x:c r="U173" s="58" t="n">
        <x:v>0.6434383170350505</x:v>
      </x:c>
      <x:c r="V173" s="58" t="n">
        <x:v>0.12923383425505874</x:v>
      </x:c>
      <x:c r="W173" s="58" t="n">
        <x:v>0.11426217788332563</x:v>
      </x:c>
      <x:c r="X173" s="59" t="n">
        <x:v>0.029172759130161874</x:v>
      </x:c>
    </x:row>
    <x:row r="174">
      <x:c r="A174" s="57" t="str">
        <x:v>S23_KDM</x:v>
      </x:c>
      <x:c r="B174" s="58" t="str">
        <x:v>S01</x:v>
      </x:c>
      <x:c r="C174" s="58" t="str">
        <x:v>FACE_R1</x:v>
      </x:c>
      <x:c r="D174" s="58" t="n">
        <x:v>1</x:v>
      </x:c>
      <x:c r="E174" s="58" t="n">
        <x:v>2</x:v>
      </x:c>
      <x:c r="F174" s="58" t="n">
        <x:v>29.916</x:v>
      </x:c>
      <x:c r="G174" s="58" t="n">
        <x:v>72.5</x:v>
      </x:c>
      <x:c r="H174" s="58" t="n">
        <x:v>42.584</x:v>
      </x:c>
      <x:c r="I174" s="58" t="n">
        <x:v>15.86420486520299</x:v>
      </x:c>
      <x:c r="J174" s="58" t="str">
        <x:v>66</x:v>
      </x:c>
      <x:c r="K174" s="58" t="str">
        <x:v>19</x:v>
      </x:c>
      <x:c r="L174" s="58" t="n">
        <x:v>0.8697084758720782</x:v>
      </x:c>
      <x:c r="M174" s="58" t="n">
        <x:v>15.799803596376908</x:v>
      </x:c>
      <x:c r="N174" s="58" t="n">
        <x:v>15.798000412218284</x:v>
      </x:c>
      <x:c r="O174" s="58" t="n">
        <x:v>15.799803596376908</x:v>
      </x:c>
      <x:c r="P174" s="58" t="n">
        <x:v>0.06620445298470479</x:v>
      </x:c>
      <x:c r="Q174" s="58" t="n">
        <x:v>0.06440126882608155</x:v>
      </x:c>
      <x:c r="R174" s="58" t="n">
        <x:v>0.06440126882608155</x:v>
      </x:c>
      <x:c r="S174" s="58" t="str">
        <x:v>3.9935336242729504</x:v>
      </x:c>
      <x:c r="T174" s="58" t="str">
        <x:v>0.0005871990604815032</x:v>
      </x:c>
      <x:c r="U174" s="58" t="n">
        <x:v>0.6651266300561869</x:v>
      </x:c>
      <x:c r="V174" s="58" t="n">
        <x:v>0.12645873972137298</x:v>
      </x:c>
      <x:c r="W174" s="58" t="n">
        <x:v>0.11330000687030475</x:v>
      </x:c>
      <x:c r="X174" s="59" t="n">
        <x:v>0.026429520477071568</x:v>
      </x:c>
    </x:row>
    <x:row r="175">
      <x:c r="A175" s="57" t="str">
        <x:v>S23_KDM</x:v>
      </x:c>
      <x:c r="B175" s="58" t="str">
        <x:v>S01</x:v>
      </x:c>
      <x:c r="C175" s="58" t="str">
        <x:v>FACE_R1</x:v>
      </x:c>
      <x:c r="D175" s="58" t="n">
        <x:v>1</x:v>
      </x:c>
      <x:c r="E175" s="58" t="n">
        <x:v>3</x:v>
      </x:c>
      <x:c r="F175" s="58" t="n">
        <x:v>29.916</x:v>
      </x:c>
      <x:c r="G175" s="58" t="n">
        <x:v>72.5</x:v>
      </x:c>
      <x:c r="H175" s="58" t="n">
        <x:v>42.584</x:v>
      </x:c>
      <x:c r="I175" s="58" t="n">
        <x:v>15.86420486520299</x:v>
      </x:c>
      <x:c r="J175" s="58" t="str">
        <x:v>13</x:v>
      </x:c>
      <x:c r="K175" s="58" t="str">
        <x:v>40</x:v>
      </x:c>
      <x:c r="L175" s="58" t="n">
        <x:v>-0.8889848811198156</x:v>
      </x:c>
      <x:c r="M175" s="58" t="n">
        <x:v>15.781648990301527</x:v>
      </x:c>
      <x:c r="N175" s="58" t="n">
        <x:v>15.796840059372057</x:v>
      </x:c>
      <x:c r="O175" s="58" t="n">
        <x:v>15.781648990301527</x:v>
      </x:c>
      <x:c r="P175" s="58" t="n">
        <x:v>0.06736480583093218</x:v>
      </x:c>
      <x:c r="Q175" s="58" t="n">
        <x:v>0.08255587490146254</x:v>
      </x:c>
      <x:c r="R175" s="58" t="n">
        <x:v>0.08255587490146254</x:v>
      </x:c>
      <x:c r="S175" s="58" t="str">
        <x:v>2.247326347649961</x:v>
      </x:c>
      <x:c r="T175" s="58" t="str">
        <x:v>0.0</x:v>
      </x:c>
      <x:c r="U175" s="58" t="n">
        <x:v>0.6430814428505361</x:v>
      </x:c>
      <x:c r="V175" s="58" t="n">
        <x:v>0.12592864580018237</x:v>
      </x:c>
      <x:c r="W175" s="58" t="n">
        <x:v>0.11328066765620096</x:v>
      </x:c>
      <x:c r="X175" s="59" t="n">
        <x:v>0.021223622810409955</x:v>
      </x:c>
    </x:row>
    <x:row r="176">
      <x:c r="A176" s="57" t="str">
        <x:v>S23_KDM</x:v>
      </x:c>
      <x:c r="B176" s="58" t="str">
        <x:v>S01</x:v>
      </x:c>
      <x:c r="C176" s="58" t="str">
        <x:v>FACE_R2</x:v>
      </x:c>
      <x:c r="D176" s="58" t="n">
        <x:v>2</x:v>
      </x:c>
      <x:c r="E176" s="58" t="n">
        <x:v>1</x:v>
      </x:c>
      <x:c r="F176" s="58" t="n">
        <x:v>82.5</x:v>
      </x:c>
      <x:c r="G176" s="58" t="n">
        <x:v>134.7</x:v>
      </x:c>
      <x:c r="H176" s="58" t="n">
        <x:v>52.2</x:v>
      </x:c>
      <x:c r="I176" s="58" t="n">
        <x:v>12.367003512586832</x:v>
      </x:c>
      <x:c r="J176" s="58" t="str">
        <x:v>59</x:v>
      </x:c>
      <x:c r="K176" s="58" t="str">
        <x:v>20</x:v>
      </x:c>
      <x:c r="L176" s="58" t="n">
        <x:v>0.5412205804072534</x:v>
      </x:c>
      <x:c r="M176" s="58" t="n">
        <x:v>11.856507535952048</x:v>
      </x:c>
      <x:c r="N176" s="58" t="n">
        <x:v>11.920245013251687</x:v>
      </x:c>
      <x:c r="O176" s="58" t="n">
        <x:v>11.856507535952048</x:v>
      </x:c>
      <x:c r="P176" s="58" t="n">
        <x:v>0.4467584993351448</x:v>
      </x:c>
      <x:c r="Q176" s="58" t="n">
        <x:v>0.5104959766347843</x:v>
      </x:c>
      <x:c r="R176" s="58" t="n">
        <x:v>0.5104959766347843</x:v>
      </x:c>
      <x:c r="S176" s="58" t="str">
        <x:v>1.2466839178004643</x:v>
      </x:c>
      <x:c r="T176" s="58" t="str">
        <x:v>0.0004791566842357451</x:v>
      </x:c>
      <x:c r="U176" s="58" t="n">
        <x:v>0.8991803786245112</x:v>
      </x:c>
      <x:c r="V176" s="58" t="n">
        <x:v>0.08727569107436896</x:v>
      </x:c>
      <x:c r="W176" s="58" t="n">
        <x:v>0.04867075022086145</x:v>
      </x:c>
      <x:c r="X176" s="59" t="n">
        <x:v>0.028441037545774095</x:v>
      </x:c>
    </x:row>
    <x:row r="177">
      <x:c r="A177" s="57" t="str">
        <x:v>S23_KDM</x:v>
      </x:c>
      <x:c r="B177" s="58" t="str">
        <x:v>S01</x:v>
      </x:c>
      <x:c r="C177" s="58" t="str">
        <x:v>FACE_R2</x:v>
      </x:c>
      <x:c r="D177" s="58" t="n">
        <x:v>2</x:v>
      </x:c>
      <x:c r="E177" s="58" t="n">
        <x:v>2</x:v>
      </x:c>
      <x:c r="F177" s="58" t="n">
        <x:v>82.5</x:v>
      </x:c>
      <x:c r="G177" s="58" t="n">
        <x:v>134.7</x:v>
      </x:c>
      <x:c r="H177" s="58" t="n">
        <x:v>52.2</x:v>
      </x:c>
      <x:c r="I177" s="58" t="n">
        <x:v>12.367003512586832</x:v>
      </x:c>
      <x:c r="J177" s="58" t="str">
        <x:v>66</x:v>
      </x:c>
      <x:c r="K177" s="58" t="str">
        <x:v>30</x:v>
      </x:c>
      <x:c r="L177" s="58" t="n">
        <x:v>0.9120653695478921</x:v>
      </x:c>
      <x:c r="M177" s="58" t="n">
        <x:v>11.873550960722692</x:v>
      </x:c>
      <x:c r="N177" s="58" t="n">
        <x:v>11.895547257390211</x:v>
      </x:c>
      <x:c r="O177" s="58" t="n">
        <x:v>11.873550960722692</x:v>
      </x:c>
      <x:c r="P177" s="58" t="n">
        <x:v>0.47145625519662104</x:v>
      </x:c>
      <x:c r="Q177" s="58" t="n">
        <x:v>0.4934525518641397</x:v>
      </x:c>
      <x:c r="R177" s="58" t="n">
        <x:v>0.4934525518641397</x:v>
      </x:c>
      <x:c r="S177" s="58" t="str">
        <x:v>2.2416694400148103</x:v>
      </x:c>
      <x:c r="T177" s="58" t="str">
        <x:v>0.0</x:v>
      </x:c>
      <x:c r="U177" s="58" t="n">
        <x:v>0.7578330994507757</x:v>
      </x:c>
      <x:c r="V177" s="58" t="n">
        <x:v>0.12600122067134678</x:v>
      </x:c>
      <x:c r="W177" s="58" t="n">
        <x:v>0.04825912095650353</x:v>
      </x:c>
      <x:c r="X177" s="59" t="n">
        <x:v>0.027401737646689607</x:v>
      </x:c>
    </x:row>
    <x:row r="178">
      <x:c r="A178" s="57" t="str">
        <x:v>S23_KDM</x:v>
      </x:c>
      <x:c r="B178" s="58" t="str">
        <x:v>S01</x:v>
      </x:c>
      <x:c r="C178" s="58" t="str">
        <x:v>FACE_R2</x:v>
      </x:c>
      <x:c r="D178" s="58" t="n">
        <x:v>2</x:v>
      </x:c>
      <x:c r="E178" s="58" t="n">
        <x:v>3</x:v>
      </x:c>
      <x:c r="F178" s="58" t="n">
        <x:v>82.5</x:v>
      </x:c>
      <x:c r="G178" s="58" t="n">
        <x:v>134.7</x:v>
      </x:c>
      <x:c r="H178" s="58" t="n">
        <x:v>52.2</x:v>
      </x:c>
      <x:c r="I178" s="58" t="n">
        <x:v>12.367003512586832</x:v>
      </x:c>
      <x:c r="J178" s="58" t="str">
        <x:v>13</x:v>
      </x:c>
      <x:c r="K178" s="58" t="str">
        <x:v>23</x:v>
      </x:c>
      <x:c r="L178" s="58" t="n">
        <x:v>0.8911840881683126</x:v>
      </x:c>
      <x:c r="M178" s="58" t="n">
        <x:v>11.831706663225967</x:v>
      </x:c>
      <x:c r="N178" s="58" t="n">
        <x:v>11.819984674491243</x:v>
      </x:c>
      <x:c r="O178" s="58" t="n">
        <x:v>11.831706663225967</x:v>
      </x:c>
      <x:c r="P178" s="58" t="n">
        <x:v>0.5470188380955889</x:v>
      </x:c>
      <x:c r="Q178" s="58" t="n">
        <x:v>0.535296849360865</x:v>
      </x:c>
      <x:c r="R178" s="58" t="n">
        <x:v>0.535296849360865</x:v>
      </x:c>
      <x:c r="S178" s="58" t="str">
        <x:v>2.266771051898795</x:v>
      </x:c>
      <x:c r="T178" s="58" t="str">
        <x:v>0.0</x:v>
      </x:c>
      <x:c r="U178" s="58" t="n">
        <x:v>0.7526643173026877</x:v>
      </x:c>
      <x:c r="V178" s="58" t="n">
        <x:v>0.12354566044644795</x:v>
      </x:c>
      <x:c r="W178" s="58" t="n">
        <x:v>0.04699974457485406</x:v>
      </x:c>
      <x:c r="X178" s="59" t="n">
        <x:v>0.021181653021140195</x:v>
      </x:c>
    </x:row>
    <x:row r="179">
      <x:c r="A179" s="57" t="str">
        <x:v>S23_KDM</x:v>
      </x:c>
      <x:c r="B179" s="58" t="str">
        <x:v>S01</x:v>
      </x:c>
      <x:c r="C179" s="58" t="str">
        <x:v>FACE_R3</x:v>
      </x:c>
      <x:c r="D179" s="58" t="n">
        <x:v>3</x:v>
      </x:c>
      <x:c r="E179" s="58" t="n">
        <x:v>1</x:v>
      </x:c>
      <x:c r="F179" s="58" t="n">
        <x:v>144.7</x:v>
      </x:c>
      <x:c r="G179" s="58" t="n">
        <x:v>207.8</x:v>
      </x:c>
      <x:c r="H179" s="58" t="n">
        <x:v>63.1</x:v>
      </x:c>
      <x:c r="I179" s="58" t="n">
        <x:v>10.79733977521659</x:v>
      </x:c>
      <x:c r="J179" s="58" t="str">
        <x:v>58</x:v>
      </x:c>
      <x:c r="K179" s="58" t="str">
        <x:v>72</x:v>
      </x:c>
      <x:c r="L179" s="58" t="n">
        <x:v>0.6278980340193019</x:v>
      </x:c>
      <x:c r="M179" s="58" t="n">
        <x:v>10.899355599361748</x:v>
      </x:c>
      <x:c r="N179" s="58" t="n">
        <x:v>10.910502390037665</x:v>
      </x:c>
      <x:c r="O179" s="58" t="n">
        <x:v>10.899355599361748</x:v>
      </x:c>
      <x:c r="P179" s="58" t="n">
        <x:v>0.11316261482107492</x:v>
      </x:c>
      <x:c r="Q179" s="58" t="n">
        <x:v>0.1020158241451572</x:v>
      </x:c>
      <x:c r="R179" s="58" t="n">
        <x:v>0.1020158241451572</x:v>
      </x:c>
      <x:c r="S179" s="58" t="str">
        <x:v>1.3924973800600775</x:v>
      </x:c>
      <x:c r="T179" s="58" t="str">
        <x:v>0.016250495441934205</x:v>
      </x:c>
      <x:c r="U179" s="58" t="n">
        <x:v>0.819700055510484</x:v>
      </x:c>
      <x:c r="V179" s="58" t="n">
        <x:v>0.11170093805013798</x:v>
      </x:c>
      <x:c r="W179" s="58" t="n">
        <x:v>0.03184170650062776</x:v>
      </x:c>
      <x:c r="X179" s="59" t="n">
        <x:v>0.029165901137452908</x:v>
      </x:c>
    </x:row>
    <x:row r="180">
      <x:c r="A180" s="57" t="str">
        <x:v>S23_KDM</x:v>
      </x:c>
      <x:c r="B180" s="58" t="str">
        <x:v>S01</x:v>
      </x:c>
      <x:c r="C180" s="58" t="str">
        <x:v>FACE_R3</x:v>
      </x:c>
      <x:c r="D180" s="58" t="n">
        <x:v>3</x:v>
      </x:c>
      <x:c r="E180" s="58" t="n">
        <x:v>2</x:v>
      </x:c>
      <x:c r="F180" s="58" t="n">
        <x:v>144.7</x:v>
      </x:c>
      <x:c r="G180" s="58" t="n">
        <x:v>207.8</x:v>
      </x:c>
      <x:c r="H180" s="58" t="n">
        <x:v>63.1</x:v>
      </x:c>
      <x:c r="I180" s="58" t="n">
        <x:v>10.79733977521659</x:v>
      </x:c>
      <x:c r="J180" s="58" t="str">
        <x:v>19</x:v>
      </x:c>
      <x:c r="K180" s="58" t="str">
        <x:v>24</x:v>
      </x:c>
      <x:c r="L180" s="58" t="n">
        <x:v>-0.7025313124064311</x:v>
      </x:c>
      <x:c r="M180" s="58" t="n">
        <x:v>11.005978881591124</x:v>
      </x:c>
      <x:c r="N180" s="58" t="n">
        <x:v>10.935518558303533</x:v>
      </x:c>
      <x:c r="O180" s="58" t="n">
        <x:v>11.005978881591124</x:v>
      </x:c>
      <x:c r="P180" s="58" t="n">
        <x:v>0.13817878308694276</x:v>
      </x:c>
      <x:c r="Q180" s="58" t="n">
        <x:v>0.20863910637453387</x:v>
      </x:c>
      <x:c r="R180" s="58" t="n">
        <x:v>0.20863910637453387</x:v>
      </x:c>
      <x:c r="S180" s="58" t="str">
        <x:v>2.128130202767931</x:v>
      </x:c>
      <x:c r="T180" s="58" t="str">
        <x:v>0.012286959968291716</x:v>
      </x:c>
      <x:c r="U180" s="58" t="n">
        <x:v>0.708326432621574</x:v>
      </x:c>
      <x:c r="V180" s="58" t="n">
        <x:v>0.1426341789694808</x:v>
      </x:c>
      <x:c r="W180" s="58" t="n">
        <x:v>0.03225864263839223</x:v>
      </x:c>
      <x:c r="X180" s="59" t="n">
        <x:v>0.03306580411326561</x:v>
      </x:c>
    </x:row>
    <x:row r="181">
      <x:c r="A181" s="57" t="str">
        <x:v>S23_KDM</x:v>
      </x:c>
      <x:c r="B181" s="58" t="str">
        <x:v>S01</x:v>
      </x:c>
      <x:c r="C181" s="58" t="str">
        <x:v>FACE_R3</x:v>
      </x:c>
      <x:c r="D181" s="58" t="n">
        <x:v>3</x:v>
      </x:c>
      <x:c r="E181" s="58" t="n">
        <x:v>3</x:v>
      </x:c>
      <x:c r="F181" s="58" t="n">
        <x:v>144.7</x:v>
      </x:c>
      <x:c r="G181" s="58" t="n">
        <x:v>207.8</x:v>
      </x:c>
      <x:c r="H181" s="58" t="n">
        <x:v>63.1</x:v>
      </x:c>
      <x:c r="I181" s="58" t="n">
        <x:v>10.79733977521659</x:v>
      </x:c>
      <x:c r="J181" s="58" t="str">
        <x:v>15</x:v>
      </x:c>
      <x:c r="K181" s="58" t="str">
        <x:v>23</x:v>
      </x:c>
      <x:c r="L181" s="58" t="n">
        <x:v>0.38585204998340955</x:v>
      </x:c>
      <x:c r="M181" s="58" t="n">
        <x:v>11.15271784113259</x:v>
      </x:c>
      <x:c r="N181" s="58" t="n">
        <x:v>11.227133561020347</x:v>
      </x:c>
      <x:c r="O181" s="58" t="n">
        <x:v>11.15271784113259</x:v>
      </x:c>
      <x:c r="P181" s="58" t="n">
        <x:v>0.4297937858037564</x:v>
      </x:c>
      <x:c r="Q181" s="58" t="n">
        <x:v>0.35537806591599974</x:v>
      </x:c>
      <x:c r="R181" s="58" t="n">
        <x:v>0.35537806591599974</x:v>
      </x:c>
      <x:c r="S181" s="58" t="str">
        <x:v>5.0704462286005905</x:v>
      </x:c>
      <x:c r="T181" s="58" t="str">
        <x:v>0.016646848989298454</x:v>
      </x:c>
      <x:c r="U181" s="58" t="n">
        <x:v>0.6611897152918816</x:v>
      </x:c>
      <x:c r="V181" s="58" t="n">
        <x:v>0.13298204287675988</x:v>
      </x:c>
      <x:c r="W181" s="58" t="n">
        <x:v>0.037118892683672466</x:v>
      </x:c>
      <x:c r="X181" s="59" t="n">
        <x:v>0.025973663931092177</x:v>
      </x:c>
    </x:row>
    <x:row r="182">
      <x:c r="A182" s="57" t="str">
        <x:v>S23_KDM</x:v>
      </x:c>
      <x:c r="B182" s="58" t="str">
        <x:v>S02</x:v>
      </x:c>
      <x:c r="C182" s="58" t="str">
        <x:v>NORMAL</x:v>
      </x:c>
      <x:c r="D182" s="58" t="str"/>
      <x:c r="E182" s="58" t="n">
        <x:v>1</x:v>
      </x:c>
      <x:c r="F182" s="58" t="n">
        <x:v>241.608</x:v>
      </x:c>
      <x:c r="G182" s="58" t="n">
        <x:v>291.608</x:v>
      </x:c>
      <x:c r="H182" s="58" t="n">
        <x:v>50</x:v>
      </x:c>
      <x:c r="I182" s="58" t="n">
        <x:v>13.897556619884309</x:v>
      </x:c>
      <x:c r="J182" s="58" t="str">
        <x:v>58</x:v>
      </x:c>
      <x:c r="K182" s="58" t="str">
        <x:v>63</x:v>
      </x:c>
      <x:c r="L182" s="58" t="n">
        <x:v>0.7935998117064573</x:v>
      </x:c>
      <x:c r="M182" s="58" t="n">
        <x:v>14.087348608930402</x:v>
      </x:c>
      <x:c r="N182" s="58" t="n">
        <x:v>14.170054061221332</x:v>
      </x:c>
      <x:c r="O182" s="58" t="n">
        <x:v>14.087348608930402</x:v>
      </x:c>
      <x:c r="P182" s="58" t="n">
        <x:v>0.27249744133702336</x:v>
      </x:c>
      <x:c r="Q182" s="58" t="n">
        <x:v>0.18979198904609262</x:v>
      </x:c>
      <x:c r="R182" s="58" t="n">
        <x:v>0.18979198904609262</x:v>
      </x:c>
      <x:c r="S182" s="58" t="str">
        <x:v>1.7641821890748663</x:v>
      </x:c>
      <x:c r="T182" s="58" t="str">
        <x:v>0.0085</x:v>
      </x:c>
      <x:c r="U182" s="58" t="n">
        <x:v>0.7638638174897834</x:v>
      </x:c>
      <x:c r="V182" s="58" t="n">
        <x:v>0.0831634191630256</x:v>
      </x:c>
      <x:c r="W182" s="58" t="n">
        <x:v>0.08616756768702222</x:v>
      </x:c>
      <x:c r="X182" s="59" t="n">
        <x:v>0.02742226761183133</x:v>
      </x:c>
    </x:row>
    <x:row r="183">
      <x:c r="A183" s="57" t="str">
        <x:v>S23_KDM</x:v>
      </x:c>
      <x:c r="B183" s="58" t="str">
        <x:v>S02</x:v>
      </x:c>
      <x:c r="C183" s="58" t="str">
        <x:v>NORMAL</x:v>
      </x:c>
      <x:c r="D183" s="58" t="str"/>
      <x:c r="E183" s="58" t="n">
        <x:v>2</x:v>
      </x:c>
      <x:c r="F183" s="58" t="n">
        <x:v>241.608</x:v>
      </x:c>
      <x:c r="G183" s="58" t="n">
        <x:v>291.608</x:v>
      </x:c>
      <x:c r="H183" s="58" t="n">
        <x:v>50</x:v>
      </x:c>
      <x:c r="I183" s="58" t="n">
        <x:v>13.897556619884309</x:v>
      </x:c>
      <x:c r="J183" s="58" t="str">
        <x:v>21</x:v>
      </x:c>
      <x:c r="K183" s="58" t="str">
        <x:v>31</x:v>
      </x:c>
      <x:c r="L183" s="58" t="n">
        <x:v>0.4424459187564172</x:v>
      </x:c>
      <x:c r="M183" s="58" t="n">
        <x:v>13.921883939388339</x:v>
      </x:c>
      <x:c r="N183" s="58" t="n">
        <x:v>14.176144334406269</x:v>
      </x:c>
      <x:c r="O183" s="58" t="n">
        <x:v>13.921883939388339</x:v>
      </x:c>
      <x:c r="P183" s="58" t="n">
        <x:v>0.27858771452195974</x:v>
      </x:c>
      <x:c r="Q183" s="58" t="n">
        <x:v>0.024327319504029887</x:v>
      </x:c>
      <x:c r="R183" s="58" t="n">
        <x:v>0.024327319504029887</x:v>
      </x:c>
      <x:c r="S183" s="58" t="str">
        <x:v>1.3273087278132547</x:v>
      </x:c>
      <x:c r="T183" s="58" t="str">
        <x:v>0.01</x:v>
      </x:c>
      <x:c r="U183" s="58" t="n">
        <x:v>0.8072543749420231</x:v>
      </x:c>
      <x:c r="V183" s="58" t="n">
        <x:v>0.08085251940840732</x:v>
      </x:c>
      <x:c r="W183" s="58" t="n">
        <x:v>0.0862690722401045</x:v>
      </x:c>
      <x:c r="X183" s="59" t="n">
        <x:v>0.030481978988966117</x:v>
      </x:c>
    </x:row>
    <x:row r="184">
      <x:c r="A184" s="57" t="str">
        <x:v>S23_KDM</x:v>
      </x:c>
      <x:c r="B184" s="58" t="str">
        <x:v>S02</x:v>
      </x:c>
      <x:c r="C184" s="58" t="str">
        <x:v>NORMAL</x:v>
      </x:c>
      <x:c r="D184" s="58" t="str"/>
      <x:c r="E184" s="58" t="n">
        <x:v>3</x:v>
      </x:c>
      <x:c r="F184" s="58" t="n">
        <x:v>241.608</x:v>
      </x:c>
      <x:c r="G184" s="58" t="n">
        <x:v>291.608</x:v>
      </x:c>
      <x:c r="H184" s="58" t="n">
        <x:v>50</x:v>
      </x:c>
      <x:c r="I184" s="58" t="n">
        <x:v>13.897556619884309</x:v>
      </x:c>
      <x:c r="J184" s="58" t="str">
        <x:v>60</x:v>
      </x:c>
      <x:c r="K184" s="58" t="str">
        <x:v>33</x:v>
      </x:c>
      <x:c r="L184" s="58" t="n">
        <x:v>-0.787918396990087</x:v>
      </x:c>
      <x:c r="M184" s="58" t="n">
        <x:v>14.28389664572016</x:v>
      </x:c>
      <x:c r="N184" s="58" t="n">
        <x:v>14.237546621485185</x:v>
      </x:c>
      <x:c r="O184" s="58" t="n">
        <x:v>14.28389664572016</x:v>
      </x:c>
      <x:c r="P184" s="58" t="n">
        <x:v>0.3399900016008761</x:v>
      </x:c>
      <x:c r="Q184" s="58" t="n">
        <x:v>0.38634002583585136</x:v>
      </x:c>
      <x:c r="R184" s="58" t="n">
        <x:v>0.38634002583585136</x:v>
      </x:c>
      <x:c r="S184" s="58" t="str">
        <x:v>2.388929502343125</x:v>
      </x:c>
      <x:c r="T184" s="58" t="str">
        <x:v>0.0015</x:v>
      </x:c>
      <x:c r="U184" s="58" t="n">
        <x:v>0.7333322062317491</x:v>
      </x:c>
      <x:c r="V184" s="58" t="n">
        <x:v>0.09791154134416032</x:v>
      </x:c>
      <x:c r="W184" s="58" t="n">
        <x:v>0.08729244369141975</x:v>
      </x:c>
      <x:c r="X184" s="59" t="n">
        <x:v>0.02589010787044961</x:v>
      </x:c>
    </x:row>
    <x:row r="185">
      <x:c r="A185" s="57" t="str">
        <x:v>S23_KDM</x:v>
      </x:c>
      <x:c r="B185" s="58" t="str">
        <x:v>S02</x:v>
      </x:c>
      <x:c r="C185" s="58" t="str">
        <x:v>SLOW</x:v>
      </x:c>
      <x:c r="D185" s="58" t="str"/>
      <x:c r="E185" s="58" t="n">
        <x:v>1</x:v>
      </x:c>
      <x:c r="F185" s="58" t="n">
        <x:v>301.608</x:v>
      </x:c>
      <x:c r="G185" s="58" t="n">
        <x:v>351.608</x:v>
      </x:c>
      <x:c r="H185" s="58" t="n">
        <x:v>50</x:v>
      </x:c>
      <x:c r="I185" s="58" t="n">
        <x:v>6.028471845847771</x:v>
      </x:c>
      <x:c r="J185" s="58" t="str">
        <x:v>58</x:v>
      </x:c>
      <x:c r="K185" s="58" t="str">
        <x:v>15</x:v>
      </x:c>
      <x:c r="L185" s="58" t="n">
        <x:v>0.6359846089265994</x:v>
      </x:c>
      <x:c r="M185" s="58" t="n">
        <x:v>6.094559934106908</x:v>
      </x:c>
      <x:c r="N185" s="58" t="n">
        <x:v>6.177185159082016</x:v>
      </x:c>
      <x:c r="O185" s="58" t="n">
        <x:v>6.094559934106908</x:v>
      </x:c>
      <x:c r="P185" s="58" t="n">
        <x:v>0.14871331323424464</x:v>
      </x:c>
      <x:c r="Q185" s="58" t="n">
        <x:v>0.06608808825913659</x:v>
      </x:c>
      <x:c r="R185" s="58" t="n">
        <x:v>0.06608808825913659</x:v>
      </x:c>
      <x:c r="S185" s="58" t="str">
        <x:v>3.2292022556519173</x:v>
      </x:c>
      <x:c r="T185" s="58" t="str">
        <x:v>0.0035</x:v>
      </x:c>
      <x:c r="U185" s="58" t="n">
        <x:v>0.712622918911109</x:v>
      </x:c>
      <x:c r="V185" s="58" t="n">
        <x:v>0.12793307082352814</x:v>
      </x:c>
      <x:c r="W185" s="58" t="n">
        <x:v>0.03295308598470026</x:v>
      </x:c>
      <x:c r="X185" s="59" t="n">
        <x:v>0.027024965897127502</x:v>
      </x:c>
    </x:row>
    <x:row r="186">
      <x:c r="A186" s="57" t="str">
        <x:v>S23_KDM</x:v>
      </x:c>
      <x:c r="B186" s="58" t="str">
        <x:v>S02</x:v>
      </x:c>
      <x:c r="C186" s="58" t="str">
        <x:v>SLOW</x:v>
      </x:c>
      <x:c r="D186" s="58" t="str"/>
      <x:c r="E186" s="58" t="n">
        <x:v>2</x:v>
      </x:c>
      <x:c r="F186" s="58" t="n">
        <x:v>301.608</x:v>
      </x:c>
      <x:c r="G186" s="58" t="n">
        <x:v>351.608</x:v>
      </x:c>
      <x:c r="H186" s="58" t="n">
        <x:v>50</x:v>
      </x:c>
      <x:c r="I186" s="58" t="n">
        <x:v>6.028471845847771</x:v>
      </x:c>
      <x:c r="J186" s="58" t="str">
        <x:v>75</x:v>
      </x:c>
      <x:c r="K186" s="58" t="str">
        <x:v>65</x:v>
      </x:c>
      <x:c r="L186" s="58" t="n">
        <x:v>0.7608838411702106</x:v>
      </x:c>
      <x:c r="M186" s="58" t="n">
        <x:v>5.818549317347762</x:v>
      </x:c>
      <x:c r="N186" s="58" t="n">
        <x:v>5.862980465911451</x:v>
      </x:c>
      <x:c r="O186" s="58" t="n">
        <x:v>5.818549317347762</x:v>
      </x:c>
      <x:c r="P186" s="58" t="n">
        <x:v>0.16549137993632002</x:v>
      </x:c>
      <x:c r="Q186" s="58" t="n">
        <x:v>0.2099225285000088</x:v>
      </x:c>
      <x:c r="R186" s="58" t="n">
        <x:v>0.2099225285000088</x:v>
      </x:c>
      <x:c r="S186" s="58" t="str">
        <x:v>3.0145418426176747</x:v>
      </x:c>
      <x:c r="T186" s="58" t="str">
        <x:v>0.003</x:v>
      </x:c>
      <x:c r="U186" s="58" t="n">
        <x:v>0.6935709626963715</x:v>
      </x:c>
      <x:c r="V186" s="58" t="n">
        <x:v>0.13313844192269816</x:v>
      </x:c>
      <x:c r="W186" s="58" t="n">
        <x:v>0.02771634109852418</x:v>
      </x:c>
      <x:c r="X186" s="59" t="n">
        <x:v>0.030931097749741766</x:v>
      </x:c>
    </x:row>
    <x:row r="187">
      <x:c r="A187" s="57" t="str">
        <x:v>S23_KDM</x:v>
      </x:c>
      <x:c r="B187" s="58" t="str">
        <x:v>S02</x:v>
      </x:c>
      <x:c r="C187" s="58" t="str">
        <x:v>SLOW</x:v>
      </x:c>
      <x:c r="D187" s="58" t="str"/>
      <x:c r="E187" s="58" t="n">
        <x:v>3</x:v>
      </x:c>
      <x:c r="F187" s="58" t="n">
        <x:v>301.608</x:v>
      </x:c>
      <x:c r="G187" s="58" t="n">
        <x:v>351.608</x:v>
      </x:c>
      <x:c r="H187" s="58" t="n">
        <x:v>50</x:v>
      </x:c>
      <x:c r="I187" s="58" t="n">
        <x:v>6.028471845847771</x:v>
      </x:c>
      <x:c r="J187" s="58" t="str">
        <x:v>76</x:v>
      </x:c>
      <x:c r="K187" s="58" t="str">
        <x:v>59</x:v>
      </x:c>
      <x:c r="L187" s="58" t="n">
        <x:v>0.7243576779136202</x:v>
      </x:c>
      <x:c r="M187" s="58" t="n">
        <x:v>5.901006685447757</x:v>
      </x:c>
      <x:c r="N187" s="58" t="n">
        <x:v>6.0630835872165205</x:v>
      </x:c>
      <x:c r="O187" s="58" t="n">
        <x:v>5.901006685447757</x:v>
      </x:c>
      <x:c r="P187" s="58" t="n">
        <x:v>0.03461174136874945</x:v>
      </x:c>
      <x:c r="Q187" s="58" t="n">
        <x:v>0.1274651604000141</x:v>
      </x:c>
      <x:c r="R187" s="58" t="n">
        <x:v>0.1274651604000141</x:v>
      </x:c>
      <x:c r="S187" s="58" t="str">
        <x:v>3.30287093471846</x:v>
      </x:c>
      <x:c r="T187" s="58" t="str">
        <x:v>0.0015</x:v>
      </x:c>
      <x:c r="U187" s="58" t="n">
        <x:v>0.6976375843952087</x:v>
      </x:c>
      <x:c r="V187" s="58" t="n">
        <x:v>0.11919068231973733</x:v>
      </x:c>
      <x:c r="W187" s="58" t="n">
        <x:v>0.031051393120275342</x:v>
      </x:c>
      <x:c r="X187" s="59" t="n">
        <x:v>0.026815783700929928</x:v>
      </x:c>
    </x:row>
    <x:row r="188">
      <x:c r="A188" s="57" t="str">
        <x:v>S23_KDM</x:v>
      </x:c>
      <x:c r="B188" s="58" t="str">
        <x:v>S02</x:v>
      </x:c>
      <x:c r="C188" s="58" t="str">
        <x:v>POST_HOLD</x:v>
      </x:c>
      <x:c r="D188" s="58" t="str"/>
      <x:c r="E188" s="58" t="n">
        <x:v>1</x:v>
      </x:c>
      <x:c r="F188" s="58" t="n">
        <x:v>391.608</x:v>
      </x:c>
      <x:c r="G188" s="58" t="n">
        <x:v>441.608</x:v>
      </x:c>
      <x:c r="H188" s="58" t="n">
        <x:v>50</x:v>
      </x:c>
      <x:c r="I188" s="58" t="n">
        <x:v>14.954700994447135</x:v>
      </x:c>
      <x:c r="J188" s="58" t="str">
        <x:v>57</x:v>
      </x:c>
      <x:c r="K188" s="58" t="str">
        <x:v>14</x:v>
      </x:c>
      <x:c r="L188" s="58" t="n">
        <x:v>0.8216926014767058</x:v>
      </x:c>
      <x:c r="M188" s="58" t="n">
        <x:v>10.72854540871266</x:v>
      </x:c>
      <x:c r="N188" s="58" t="n">
        <x:v>10.727306873883308</x:v>
      </x:c>
      <x:c r="O188" s="58" t="n">
        <x:v>10.72854540871266</x:v>
      </x:c>
      <x:c r="P188" s="58" t="n">
        <x:v>4.227394120563828</x:v>
      </x:c>
      <x:c r="Q188" s="58" t="n">
        <x:v>4.226155585734475</x:v>
      </x:c>
      <x:c r="R188" s="58" t="n">
        <x:v>4.226155585734475</x:v>
      </x:c>
      <x:c r="S188" s="58" t="str">
        <x:v>1.5097841697472594</x:v>
      </x:c>
      <x:c r="T188" s="58" t="str">
        <x:v>0.0005</x:v>
      </x:c>
      <x:c r="U188" s="58" t="n">
        <x:v>0.7624718925028924</x:v>
      </x:c>
      <x:c r="V188" s="58" t="n">
        <x:v>0.10817873441200666</x:v>
      </x:c>
      <x:c r="W188" s="58" t="n">
        <x:v>0.028788447898055125</x:v>
      </x:c>
      <x:c r="X188" s="59" t="n">
        <x:v>0.02610277101759094</x:v>
      </x:c>
    </x:row>
    <x:row r="189">
      <x:c r="A189" s="57" t="str">
        <x:v>S23_KDM</x:v>
      </x:c>
      <x:c r="B189" s="58" t="str">
        <x:v>S02</x:v>
      </x:c>
      <x:c r="C189" s="58" t="str">
        <x:v>POST_HOLD</x:v>
      </x:c>
      <x:c r="D189" s="58" t="str"/>
      <x:c r="E189" s="58" t="n">
        <x:v>2</x:v>
      </x:c>
      <x:c r="F189" s="58" t="n">
        <x:v>391.608</x:v>
      </x:c>
      <x:c r="G189" s="58" t="n">
        <x:v>441.608</x:v>
      </x:c>
      <x:c r="H189" s="58" t="n">
        <x:v>50</x:v>
      </x:c>
      <x:c r="I189" s="58" t="n">
        <x:v>14.954700994447135</x:v>
      </x:c>
      <x:c r="J189" s="58" t="str">
        <x:v>31</x:v>
      </x:c>
      <x:c r="K189" s="58" t="str">
        <x:v>24</x:v>
      </x:c>
      <x:c r="L189" s="58" t="n">
        <x:v>-0.392568762255673</x:v>
      </x:c>
      <x:c r="M189" s="58" t="n">
        <x:v>11.227225542508695</x:v>
      </x:c>
      <x:c r="N189" s="58" t="n">
        <x:v>11.001104537855738</x:v>
      </x:c>
      <x:c r="O189" s="58" t="n">
        <x:v>11.227225542508695</x:v>
      </x:c>
      <x:c r="P189" s="58" t="n">
        <x:v>3.953596456591397</x:v>
      </x:c>
      <x:c r="Q189" s="58" t="n">
        <x:v>3.7274754519384405</x:v>
      </x:c>
      <x:c r="R189" s="58" t="n">
        <x:v>3.7274754519384405</x:v>
      </x:c>
      <x:c r="S189" s="58" t="str">
        <x:v>1.2486475835111261</x:v>
      </x:c>
      <x:c r="T189" s="58" t="str">
        <x:v>0.002</x:v>
      </x:c>
      <x:c r="U189" s="58" t="n">
        <x:v>0.8285438140372009</x:v>
      </x:c>
      <x:c r="V189" s="58" t="n">
        <x:v>0.0846271911118444</x:v>
      </x:c>
      <x:c r="W189" s="58" t="n">
        <x:v>0.03335174229759566</x:v>
      </x:c>
      <x:c r="X189" s="59" t="n">
        <x:v>0.028216892413201473</x:v>
      </x:c>
    </x:row>
    <x:row r="190">
      <x:c r="A190" s="57" t="str">
        <x:v>S23_KDM</x:v>
      </x:c>
      <x:c r="B190" s="58" t="str">
        <x:v>S02</x:v>
      </x:c>
      <x:c r="C190" s="58" t="str">
        <x:v>POST_HOLD</x:v>
      </x:c>
      <x:c r="D190" s="58" t="str"/>
      <x:c r="E190" s="58" t="n">
        <x:v>3</x:v>
      </x:c>
      <x:c r="F190" s="58" t="n">
        <x:v>391.608</x:v>
      </x:c>
      <x:c r="G190" s="58" t="n">
        <x:v>441.608</x:v>
      </x:c>
      <x:c r="H190" s="58" t="n">
        <x:v>50</x:v>
      </x:c>
      <x:c r="I190" s="58" t="n">
        <x:v>14.954700994447135</x:v>
      </x:c>
      <x:c r="J190" s="58" t="str">
        <x:v>17</x:v>
      </x:c>
      <x:c r="K190" s="58" t="str">
        <x:v>59</x:v>
      </x:c>
      <x:c r="L190" s="58" t="n">
        <x:v>0.5470745172144316</x:v>
      </x:c>
      <x:c r="M190" s="58" t="n">
        <x:v>11.67130138939899</x:v>
      </x:c>
      <x:c r="N190" s="58" t="n">
        <x:v>11.678135708901134</x:v>
      </x:c>
      <x:c r="O190" s="58" t="n">
        <x:v>11.67130138939899</x:v>
      </x:c>
      <x:c r="P190" s="58" t="n">
        <x:v>3.276565285546001</x:v>
      </x:c>
      <x:c r="Q190" s="58" t="n">
        <x:v>3.283399605048146</x:v>
      </x:c>
      <x:c r="R190" s="58" t="n">
        <x:v>3.283399605048146</x:v>
      </x:c>
      <x:c r="S190" s="58" t="str">
        <x:v>1.649635396240622</x:v>
      </x:c>
      <x:c r="T190" s="58" t="str">
        <x:v>0.004</x:v>
      </x:c>
      <x:c r="U190" s="58" t="n">
        <x:v>0.8147615311884653</x:v>
      </x:c>
      <x:c r="V190" s="58" t="n">
        <x:v>0.09667978788656933</x:v>
      </x:c>
      <x:c r="W190" s="58" t="n">
        <x:v>0.04463559514835225</x:v>
      </x:c>
      <x:c r="X190" s="59" t="n">
        <x:v>0.02297776266597828</x:v>
      </x:c>
    </x:row>
    <x:row r="191">
      <x:c r="A191" s="57" t="str">
        <x:v>S23_KDM</x:v>
      </x:c>
      <x:c r="B191" s="58" t="str">
        <x:v>S02</x:v>
      </x:c>
      <x:c r="C191" s="58" t="str">
        <x:v>SQUAT</x:v>
      </x:c>
      <x:c r="D191" s="58" t="str"/>
      <x:c r="E191" s="58" t="n">
        <x:v>1</x:v>
      </x:c>
      <x:c r="F191" s="58" t="n">
        <x:v>466.608</x:v>
      </x:c>
      <x:c r="G191" s="58" t="n">
        <x:v>516.608</x:v>
      </x:c>
      <x:c r="H191" s="58" t="n">
        <x:v>50</x:v>
      </x:c>
      <x:c r="I191" s="58" t="n">
        <x:v>23.389144095717086</x:v>
      </x:c>
      <x:c r="J191" s="58" t="str">
        <x:v>43</x:v>
      </x:c>
      <x:c r="K191" s="58" t="str">
        <x:v>83</x:v>
      </x:c>
      <x:c r="L191" s="58" t="n">
        <x:v>0.7680253696457013</x:v>
      </x:c>
      <x:c r="M191" s="58" t="n">
        <x:v>22.940515972035726</x:v>
      </x:c>
      <x:c r="N191" s="58" t="n">
        <x:v>22.8642085675639</x:v>
      </x:c>
      <x:c r="O191" s="58" t="n">
        <x:v>22.940515972035726</x:v>
      </x:c>
      <x:c r="P191" s="58" t="n">
        <x:v>0.5249355281531862</x:v>
      </x:c>
      <x:c r="Q191" s="58" t="n">
        <x:v>0.4486281236813596</x:v>
      </x:c>
      <x:c r="R191" s="58" t="n">
        <x:v>0.4486281236813596</x:v>
      </x:c>
      <x:c r="S191" s="58" t="str">
        <x:v>1.2617827032859505</x:v>
      </x:c>
      <x:c r="T191" s="58" t="str">
        <x:v>0.0</x:v>
      </x:c>
      <x:c r="U191" s="58" t="n">
        <x:v>0.7789709825785304</x:v>
      </x:c>
      <x:c r="V191" s="58" t="n">
        <x:v>0.1032290887375875</x:v>
      </x:c>
      <x:c r="W191" s="58" t="n">
        <x:v>0.23107014279273166</x:v>
      </x:c>
      <x:c r="X191" s="59" t="n">
        <x:v>0.10964286915583263</x:v>
      </x:c>
    </x:row>
    <x:row r="192">
      <x:c r="A192" s="57" t="str">
        <x:v>S23_KDM</x:v>
      </x:c>
      <x:c r="B192" s="58" t="str">
        <x:v>S02</x:v>
      </x:c>
      <x:c r="C192" s="58" t="str">
        <x:v>SQUAT</x:v>
      </x:c>
      <x:c r="D192" s="58" t="str"/>
      <x:c r="E192" s="58" t="n">
        <x:v>2</x:v>
      </x:c>
      <x:c r="F192" s="58" t="n">
        <x:v>466.608</x:v>
      </x:c>
      <x:c r="G192" s="58" t="n">
        <x:v>516.608</x:v>
      </x:c>
      <x:c r="H192" s="58" t="n">
        <x:v>50</x:v>
      </x:c>
      <x:c r="I192" s="58" t="n">
        <x:v>23.389144095717086</x:v>
      </x:c>
      <x:c r="J192" s="58" t="str">
        <x:v>39</x:v>
      </x:c>
      <x:c r="K192" s="58" t="str">
        <x:v>43</x:v>
      </x:c>
      <x:c r="L192" s="58" t="n">
        <x:v>-0.9249962712232149</x:v>
      </x:c>
      <x:c r="M192" s="58" t="n">
        <x:v>23.17596956770184</x:v>
      </x:c>
      <x:c r="N192" s="58" t="n">
        <x:v>23.147972953858677</x:v>
      </x:c>
      <x:c r="O192" s="58" t="n">
        <x:v>23.17596956770184</x:v>
      </x:c>
      <x:c r="P192" s="58" t="n">
        <x:v>0.24117114185840904</x:v>
      </x:c>
      <x:c r="Q192" s="58" t="n">
        <x:v>0.2131745280152444</x:v>
      </x:c>
      <x:c r="R192" s="58" t="n">
        <x:v>0.2131745280152444</x:v>
      </x:c>
      <x:c r="S192" s="58" t="str">
        <x:v>3.3556642120734814</x:v>
      </x:c>
      <x:c r="T192" s="58" t="str">
        <x:v>0.0005</x:v>
      </x:c>
      <x:c r="U192" s="58" t="n">
        <x:v>0.6632465046019804</x:v>
      </x:c>
      <x:c r="V192" s="58" t="n">
        <x:v>0.11800902574721835</x:v>
      </x:c>
      <x:c r="W192" s="58" t="n">
        <x:v>0.23579954923097793</x:v>
      </x:c>
      <x:c r="X192" s="59" t="n">
        <x:v>0.09435433281542283</x:v>
      </x:c>
    </x:row>
    <x:row r="193">
      <x:c r="A193" s="57" t="str">
        <x:v>S23_KDM</x:v>
      </x:c>
      <x:c r="B193" s="58" t="str">
        <x:v>S02</x:v>
      </x:c>
      <x:c r="C193" s="58" t="str">
        <x:v>SQUAT</x:v>
      </x:c>
      <x:c r="D193" s="58" t="str"/>
      <x:c r="E193" s="58" t="n">
        <x:v>3</x:v>
      </x:c>
      <x:c r="F193" s="58" t="n">
        <x:v>466.608</x:v>
      </x:c>
      <x:c r="G193" s="58" t="n">
        <x:v>516.608</x:v>
      </x:c>
      <x:c r="H193" s="58" t="n">
        <x:v>50</x:v>
      </x:c>
      <x:c r="I193" s="58" t="n">
        <x:v>23.389144095717086</x:v>
      </x:c>
      <x:c r="J193" s="58" t="str">
        <x:v>29</x:v>
      </x:c>
      <x:c r="K193" s="58" t="str">
        <x:v>33</x:v>
      </x:c>
      <x:c r="L193" s="58" t="n">
        <x:v>0.8498792005546246</x:v>
      </x:c>
      <x:c r="M193" s="58" t="n">
        <x:v>23.22793701907356</x:v>
      </x:c>
      <x:c r="N193" s="58" t="n">
        <x:v>23.2418351861447</x:v>
      </x:c>
      <x:c r="O193" s="58" t="n">
        <x:v>23.22793701907356</x:v>
      </x:c>
      <x:c r="P193" s="58" t="n">
        <x:v>0.1473089095723843</x:v>
      </x:c>
      <x:c r="Q193" s="58" t="n">
        <x:v>0.16120707664352452</x:v>
      </x:c>
      <x:c r="R193" s="58" t="n">
        <x:v>0.16120707664352452</x:v>
      </x:c>
      <x:c r="S193" s="58" t="str">
        <x:v>2.0168734124531826</x:v>
      </x:c>
      <x:c r="T193" s="58" t="str">
        <x:v>0.001</x:v>
      </x:c>
      <x:c r="U193" s="58" t="n">
        <x:v>0.7345019084437282</x:v>
      </x:c>
      <x:c r="V193" s="58" t="n">
        <x:v>0.10147554991940749</x:v>
      </x:c>
      <x:c r="W193" s="58" t="n">
        <x:v>0.23736391976907836</x:v>
      </x:c>
      <x:c r="X193" s="59" t="n">
        <x:v>0.11244518275903802</x:v>
      </x:c>
    </x:row>
    <x:row r="194">
      <x:c r="A194" s="57" t="str">
        <x:v>S23_KDM</x:v>
      </x:c>
      <x:c r="B194" s="58" t="str">
        <x:v>S02</x:v>
      </x:c>
      <x:c r="C194" s="58" t="str">
        <x:v>POST_EXERCISE</x:v>
      </x:c>
      <x:c r="D194" s="58" t="str"/>
      <x:c r="E194" s="58" t="n">
        <x:v>1</x:v>
      </x:c>
      <x:c r="F194" s="58" t="n">
        <x:v>541.608</x:v>
      </x:c>
      <x:c r="G194" s="58" t="n">
        <x:v>591.608</x:v>
      </x:c>
      <x:c r="H194" s="58" t="n">
        <x:v>50</x:v>
      </x:c>
      <x:c r="I194" s="58" t="n">
        <x:v>38.4521484375</x:v>
      </x:c>
      <x:c r="J194" s="58" t="str">
        <x:v>20</x:v>
      </x:c>
      <x:c r="K194" s="58" t="str">
        <x:v>11</x:v>
      </x:c>
      <x:c r="L194" s="58" t="n">
        <x:v>0.8026587638237962</x:v>
      </x:c>
      <x:c r="M194" s="58" t="n">
        <x:v>37.41243919566688</x:v>
      </x:c>
      <x:c r="N194" s="58" t="n">
        <x:v>37.45832570488838</x:v>
      </x:c>
      <x:c r="O194" s="58" t="n">
        <x:v>37.41243919566688</x:v>
      </x:c>
      <x:c r="P194" s="58" t="n">
        <x:v>0.9938227326116191</x:v>
      </x:c>
      <x:c r="Q194" s="58" t="n">
        <x:v>1.0397092418331226</x:v>
      </x:c>
      <x:c r="R194" s="58" t="n">
        <x:v>1.0397092418331226</x:v>
      </x:c>
      <x:c r="S194" s="58" t="str">
        <x:v>0.5100272783577946</x:v>
      </x:c>
      <x:c r="T194" s="58" t="str">
        <x:v>0.0</x:v>
      </x:c>
      <x:c r="U194" s="58" t="n">
        <x:v>0.8775300622077881</x:v>
      </x:c>
      <x:c r="V194" s="58" t="n">
        <x:v>0.06744543510269942</x:v>
      </x:c>
      <x:c r="W194" s="58" t="n">
        <x:v>0.4743054284148063</x:v>
      </x:c>
      <x:c r="X194" s="59" t="n">
        <x:v>0.03215665084121764</x:v>
      </x:c>
    </x:row>
    <x:row r="195">
      <x:c r="A195" s="57" t="str">
        <x:v>S23_KDM</x:v>
      </x:c>
      <x:c r="B195" s="58" t="str">
        <x:v>S02</x:v>
      </x:c>
      <x:c r="C195" s="58" t="str">
        <x:v>POST_EXERCISE</x:v>
      </x:c>
      <x:c r="D195" s="58" t="str"/>
      <x:c r="E195" s="58" t="n">
        <x:v>2</x:v>
      </x:c>
      <x:c r="F195" s="58" t="n">
        <x:v>541.608</x:v>
      </x:c>
      <x:c r="G195" s="58" t="n">
        <x:v>591.608</x:v>
      </x:c>
      <x:c r="H195" s="58" t="n">
        <x:v>50</x:v>
      </x:c>
      <x:c r="I195" s="58" t="n">
        <x:v>38.4521484375</x:v>
      </x:c>
      <x:c r="J195" s="58" t="str">
        <x:v>20</x:v>
      </x:c>
      <x:c r="K195" s="58" t="str">
        <x:v>64</x:v>
      </x:c>
      <x:c r="L195" s="58" t="n">
        <x:v>0.6405645993441326</x:v>
      </x:c>
      <x:c r="M195" s="58" t="n">
        <x:v>37.12949834047062</x:v>
      </x:c>
      <x:c r="N195" s="58" t="n">
        <x:v>37.21307075253521</x:v>
      </x:c>
      <x:c r="O195" s="58" t="n">
        <x:v>37.12949834047062</x:v>
      </x:c>
      <x:c r="P195" s="58" t="n">
        <x:v>1.2390776849647906</x:v>
      </x:c>
      <x:c r="Q195" s="58" t="n">
        <x:v>1.3226500970293813</x:v>
      </x:c>
      <x:c r="R195" s="58" t="n">
        <x:v>1.3226500970293813</x:v>
      </x:c>
      <x:c r="S195" s="58" t="str">
        <x:v>0.9834110342584279</x:v>
      </x:c>
      <x:c r="T195" s="58" t="str">
        <x:v>0.007</x:v>
      </x:c>
      <x:c r="U195" s="58" t="n">
        <x:v>0.881179399814015</x:v>
      </x:c>
      <x:c r="V195" s="58" t="n">
        <x:v>0.07380372081280781</x:v>
      </x:c>
      <x:c r="W195" s="58" t="n">
        <x:v>0.4702178458755868</x:v>
      </x:c>
      <x:c r="X195" s="59" t="n">
        <x:v>0.032253724197940925</x:v>
      </x:c>
    </x:row>
    <x:row r="196">
      <x:c r="A196" s="57" t="str">
        <x:v>S23_KDM</x:v>
      </x:c>
      <x:c r="B196" s="58" t="str">
        <x:v>S02</x:v>
      </x:c>
      <x:c r="C196" s="58" t="str">
        <x:v>POST_EXERCISE</x:v>
      </x:c>
      <x:c r="D196" s="58" t="str"/>
      <x:c r="E196" s="58" t="n">
        <x:v>3</x:v>
      </x:c>
      <x:c r="F196" s="58" t="n">
        <x:v>541.608</x:v>
      </x:c>
      <x:c r="G196" s="58" t="n">
        <x:v>591.608</x:v>
      </x:c>
      <x:c r="H196" s="58" t="n">
        <x:v>50</x:v>
      </x:c>
      <x:c r="I196" s="58" t="n">
        <x:v>38.4521484375</x:v>
      </x:c>
      <x:c r="J196" s="58" t="str">
        <x:v>14</x:v>
      </x:c>
      <x:c r="K196" s="58" t="str"/>
      <x:c r="L196" s="58" t="str"/>
      <x:c r="M196" s="58" t="n">
        <x:v>10.840062769538322</x:v>
      </x:c>
      <x:c r="N196" s="58" t="n">
        <x:v>10.838904756324379</x:v>
      </x:c>
      <x:c r="O196" s="58" t="n">
        <x:v>10.840062769538322</x:v>
      </x:c>
      <x:c r="P196" s="58" t="n">
        <x:v>27.61324368117562</x:v>
      </x:c>
      <x:c r="Q196" s="58" t="n">
        <x:v>27.61208566796168</x:v>
      </x:c>
      <x:c r="R196" s="58" t="n">
        <x:v>27.61208566796168</x:v>
      </x:c>
      <x:c r="S196" s="58" t="str">
        <x:v>0.7626904513156173</x:v>
      </x:c>
      <x:c r="T196" s="58" t="str">
        <x:v>0.0045</x:v>
      </x:c>
      <x:c r="U196" s="58" t="n">
        <x:v>0.8590022674898727</x:v>
      </x:c>
      <x:c r="V196" s="58" t="n">
        <x:v>0.062310892563666086</x:v>
      </x:c>
      <x:c r="W196" s="58" t="n">
        <x:v>0.030648412605406322</x:v>
      </x:c>
      <x:c r="X196" s="59" t="n">
        <x:v>0.027364578217130293</x:v>
      </x:c>
    </x:row>
    <x:row r="197">
      <x:c r="A197" s="57" t="str">
        <x:v>S26_LDW</x:v>
      </x:c>
      <x:c r="B197" s="58" t="str">
        <x:v>S01</x:v>
      </x:c>
      <x:c r="C197" s="58" t="str">
        <x:v>FACE_R1</x:v>
      </x:c>
      <x:c r="D197" s="58" t="n">
        <x:v>1</x:v>
      </x:c>
      <x:c r="E197" s="58" t="n">
        <x:v>1</x:v>
      </x:c>
      <x:c r="F197" s="58" t="n">
        <x:v>24.716</x:v>
      </x:c>
      <x:c r="G197" s="58" t="n">
        <x:v>75.4</x:v>
      </x:c>
      <x:c r="H197" s="58" t="n">
        <x:v>50.684</x:v>
      </x:c>
      <x:c r="I197" s="58" t="n">
        <x:v>25.774623936147602</x:v>
      </x:c>
      <x:c r="J197" s="58" t="str">
        <x:v>15</x:v>
      </x:c>
      <x:c r="K197" s="58" t="str">
        <x:v>67</x:v>
      </x:c>
      <x:c r="L197" s="58" t="n">
        <x:v>-0.8991421990363081</x:v>
      </x:c>
      <x:c r="M197" s="58" t="n">
        <x:v>24.062546781402702</x:v>
      </x:c>
      <x:c r="N197" s="58" t="n">
        <x:v>24.059088999595723</x:v>
      </x:c>
      <x:c r="O197" s="58" t="n">
        <x:v>24.062546781402702</x:v>
      </x:c>
      <x:c r="P197" s="58" t="n">
        <x:v>1.7155349365518795</x:v>
      </x:c>
      <x:c r="Q197" s="58" t="n">
        <x:v>1.7120771547449003</x:v>
      </x:c>
      <x:c r="R197" s="58" t="n">
        <x:v>1.7120771547449003</x:v>
      </x:c>
      <x:c r="S197" s="58" t="str">
        <x:v>0.7705679509323975</x:v>
      </x:c>
      <x:c r="T197" s="58" t="str">
        <x:v>0.0</x:v>
      </x:c>
      <x:c r="U197" s="58" t="n">
        <x:v>0.7954124536827211</x:v>
      </x:c>
      <x:c r="V197" s="58" t="n">
        <x:v>0.07066252384055466</x:v>
      </x:c>
      <x:c r="W197" s="58" t="n">
        <x:v>0.25098481665992867</x:v>
      </x:c>
      <x:c r="X197" s="59" t="n">
        <x:v>0.030048665066515247</x:v>
      </x:c>
    </x:row>
    <x:row r="198">
      <x:c r="A198" s="57" t="str">
        <x:v>S26_LDW</x:v>
      </x:c>
      <x:c r="B198" s="58" t="str">
        <x:v>S01</x:v>
      </x:c>
      <x:c r="C198" s="58" t="str">
        <x:v>FACE_R1</x:v>
      </x:c>
      <x:c r="D198" s="58" t="n">
        <x:v>1</x:v>
      </x:c>
      <x:c r="E198" s="58" t="n">
        <x:v>2</x:v>
      </x:c>
      <x:c r="F198" s="58" t="n">
        <x:v>24.716</x:v>
      </x:c>
      <x:c r="G198" s="58" t="n">
        <x:v>75.4</x:v>
      </x:c>
      <x:c r="H198" s="58" t="n">
        <x:v>50.684</x:v>
      </x:c>
      <x:c r="I198" s="58" t="n">
        <x:v>25.774623936147602</x:v>
      </x:c>
      <x:c r="J198" s="58" t="str">
        <x:v>69</x:v>
      </x:c>
      <x:c r="K198" s="58" t="str">
        <x:v>19</x:v>
      </x:c>
      <x:c r="L198" s="58" t="n">
        <x:v>0.9347541237945558</x:v>
      </x:c>
      <x:c r="M198" s="58" t="n">
        <x:v>26.62496556326612</x:v>
      </x:c>
      <x:c r="N198" s="58" t="n">
        <x:v>26.573397892925364</x:v>
      </x:c>
      <x:c r="O198" s="58" t="n">
        <x:v>26.62496556326612</x:v>
      </x:c>
      <x:c r="P198" s="58" t="n">
        <x:v>0.7987739567777616</x:v>
      </x:c>
      <x:c r="Q198" s="58" t="n">
        <x:v>0.8503416271185174</x:v>
      </x:c>
      <x:c r="R198" s="58" t="n">
        <x:v>0.8503416271185174</x:v>
      </x:c>
      <x:c r="S198" s="58" t="str">
        <x:v>0.6761643335886662</x:v>
      </x:c>
      <x:c r="T198" s="58" t="str">
        <x:v>0.001973359644795264</x:v>
      </x:c>
      <x:c r="U198" s="58" t="n">
        <x:v>0.6354988428947116</x:v>
      </x:c>
      <x:c r="V198" s="58" t="n">
        <x:v>0.1809814188791861</x:v>
      </x:c>
      <x:c r="W198" s="58" t="n">
        <x:v>0.2928899648820894</x:v>
      </x:c>
      <x:c r="X198" s="59" t="n">
        <x:v>0.025856246632202973</x:v>
      </x:c>
    </x:row>
    <x:row r="199">
      <x:c r="A199" s="57" t="str">
        <x:v>S26_LDW</x:v>
      </x:c>
      <x:c r="B199" s="58" t="str">
        <x:v>S01</x:v>
      </x:c>
      <x:c r="C199" s="58" t="str">
        <x:v>FACE_R1</x:v>
      </x:c>
      <x:c r="D199" s="58" t="n">
        <x:v>1</x:v>
      </x:c>
      <x:c r="E199" s="58" t="n">
        <x:v>3</x:v>
      </x:c>
      <x:c r="F199" s="58" t="n">
        <x:v>24.716</x:v>
      </x:c>
      <x:c r="G199" s="58" t="n">
        <x:v>75.4</x:v>
      </x:c>
      <x:c r="H199" s="58" t="n">
        <x:v>50.684</x:v>
      </x:c>
      <x:c r="I199" s="58" t="n">
        <x:v>25.774623936147602</x:v>
      </x:c>
      <x:c r="J199" s="58" t="str">
        <x:v>41</x:v>
      </x:c>
      <x:c r="K199" s="58" t="str">
        <x:v>29</x:v>
      </x:c>
      <x:c r="L199" s="58" t="n">
        <x:v>0.3949746914280724</x:v>
      </x:c>
      <x:c r="M199" s="58" t="n">
        <x:v>11.159691873889631</x:v>
      </x:c>
      <x:c r="N199" s="58" t="n">
        <x:v>11.660496860743542</x:v>
      </x:c>
      <x:c r="O199" s="58" t="n">
        <x:v>11.159691873889631</x:v>
      </x:c>
      <x:c r="P199" s="58" t="n">
        <x:v>14.11412707540406</x:v>
      </x:c>
      <x:c r="Q199" s="58" t="n">
        <x:v>14.61493206225797</x:v>
      </x:c>
      <x:c r="R199" s="58" t="n">
        <x:v>14.61493206225797</x:v>
      </x:c>
      <x:c r="S199" s="58" t="str">
        <x:v>0.2016827823476892</x:v>
      </x:c>
      <x:c r="T199" s="58" t="str">
        <x:v>0.015293537247163296</x:v>
      </x:c>
      <x:c r="U199" s="58" t="n">
        <x:v>0.9241974762829473</x:v>
      </x:c>
      <x:c r="V199" s="58" t="n">
        <x:v>0.050990735298267184</x:v>
      </x:c>
      <x:c r="W199" s="58" t="n">
        <x:v>0.0443416143457257</x:v>
      </x:c>
      <x:c r="X199" s="59" t="n">
        <x:v>0.020496663176826944</x:v>
      </x:c>
    </x:row>
    <x:row r="200">
      <x:c r="A200" s="57" t="str">
        <x:v>S26_LDW</x:v>
      </x:c>
      <x:c r="B200" s="58" t="str">
        <x:v>S01</x:v>
      </x:c>
      <x:c r="C200" s="58" t="str">
        <x:v>FACE_R2</x:v>
      </x:c>
      <x:c r="D200" s="58" t="n">
        <x:v>2</x:v>
      </x:c>
      <x:c r="E200" s="58" t="n">
        <x:v>1</x:v>
      </x:c>
      <x:c r="F200" s="58" t="n">
        <x:v>85.4</x:v>
      </x:c>
      <x:c r="G200" s="58" t="n">
        <x:v>136.3</x:v>
      </x:c>
      <x:c r="H200" s="58" t="n">
        <x:v>50.9</x:v>
      </x:c>
      <x:c r="I200" s="58" t="n">
        <x:v>21.75290640166097</x:v>
      </x:c>
      <x:c r="J200" s="58" t="str">
        <x:v>61</x:v>
      </x:c>
      <x:c r="K200" s="58" t="str">
        <x:v>15</x:v>
      </x:c>
      <x:c r="L200" s="58" t="n">
        <x:v>0.8548849333421552</x:v>
      </x:c>
      <x:c r="M200" s="58" t="n">
        <x:v>21.605194166796263</x:v>
      </x:c>
      <x:c r="N200" s="58" t="n">
        <x:v>21.46730557256883</x:v>
      </x:c>
      <x:c r="O200" s="58" t="n">
        <x:v>21.605194166796263</x:v>
      </x:c>
      <x:c r="P200" s="58" t="n">
        <x:v>0.28560082909213946</x:v>
      </x:c>
      <x:c r="Q200" s="58" t="n">
        <x:v>0.14771223486470575</x:v>
      </x:c>
      <x:c r="R200" s="58" t="n">
        <x:v>0.14771223486470575</x:v>
      </x:c>
      <x:c r="S200" s="58" t="str">
        <x:v>0.513330495389259</x:v>
      </x:c>
      <x:c r="T200" s="58" t="str">
        <x:v>0.0</x:v>
      </x:c>
      <x:c r="U200" s="58" t="n">
        <x:v>0.7997150069949127</x:v>
      </x:c>
      <x:c r="V200" s="58" t="n">
        <x:v>0.07879257646582133</x:v>
      </x:c>
      <x:c r="W200" s="58" t="n">
        <x:v>0.2077884262094805</x:v>
      </x:c>
      <x:c r="X200" s="59" t="n">
        <x:v>0.031167552593409784</x:v>
      </x:c>
    </x:row>
    <x:row r="201">
      <x:c r="A201" s="57" t="str">
        <x:v>S26_LDW</x:v>
      </x:c>
      <x:c r="B201" s="58" t="str">
        <x:v>S01</x:v>
      </x:c>
      <x:c r="C201" s="58" t="str">
        <x:v>FACE_R2</x:v>
      </x:c>
      <x:c r="D201" s="58" t="n">
        <x:v>2</x:v>
      </x:c>
      <x:c r="E201" s="58" t="n">
        <x:v>2</x:v>
      </x:c>
      <x:c r="F201" s="58" t="n">
        <x:v>85.4</x:v>
      </x:c>
      <x:c r="G201" s="58" t="n">
        <x:v>136.3</x:v>
      </x:c>
      <x:c r="H201" s="58" t="n">
        <x:v>50.9</x:v>
      </x:c>
      <x:c r="I201" s="58" t="n">
        <x:v>21.75290640166097</x:v>
      </x:c>
      <x:c r="J201" s="58" t="str">
        <x:v>56</x:v>
      </x:c>
      <x:c r="K201" s="58" t="str">
        <x:v>42</x:v>
      </x:c>
      <x:c r="L201" s="58" t="n">
        <x:v>-0.7876859292949142</x:v>
      </x:c>
      <x:c r="M201" s="58" t="n">
        <x:v>9.08203125</x:v>
      </x:c>
      <x:c r="N201" s="58" t="n">
        <x:v>9.08203125</x:v>
      </x:c>
      <x:c r="O201" s="58" t="n">
        <x:v>9.08203125</x:v>
      </x:c>
      <x:c r="P201" s="58" t="n">
        <x:v>12.670875151660969</x:v>
      </x:c>
      <x:c r="Q201" s="58" t="n">
        <x:v>12.670875151660969</x:v>
      </x:c>
      <x:c r="R201" s="58" t="n">
        <x:v>12.670875151660969</x:v>
      </x:c>
      <x:c r="S201" s="58" t="str">
        <x:v>0.5143329471871804</x:v>
      </x:c>
      <x:c r="T201" s="58" t="str">
        <x:v>0.0029484029484029483</x:v>
      </x:c>
      <x:c r="U201" s="58" t="n">
        <x:v>0.49434801496815334</x:v>
      </x:c>
      <x:c r="V201" s="58" t="n">
        <x:v>0.31087264984741714</x:v>
      </x:c>
      <x:c r="W201" s="58" t="n">
        <x:v>0.0013671875000000056</x:v>
      </x:c>
      <x:c r="X201" s="59" t="n">
        <x:v>0.028236731640460096</x:v>
      </x:c>
    </x:row>
    <x:row r="202">
      <x:c r="A202" s="57" t="str">
        <x:v>S26_LDW</x:v>
      </x:c>
      <x:c r="B202" s="58" t="str">
        <x:v>S01</x:v>
      </x:c>
      <x:c r="C202" s="58" t="str">
        <x:v>FACE_R2</x:v>
      </x:c>
      <x:c r="D202" s="58" t="n">
        <x:v>2</x:v>
      </x:c>
      <x:c r="E202" s="58" t="n">
        <x:v>3</x:v>
      </x:c>
      <x:c r="F202" s="58" t="n">
        <x:v>85.4</x:v>
      </x:c>
      <x:c r="G202" s="58" t="n">
        <x:v>136.3</x:v>
      </x:c>
      <x:c r="H202" s="58" t="n">
        <x:v>50.9</x:v>
      </x:c>
      <x:c r="I202" s="58" t="n">
        <x:v>21.75290640166097</x:v>
      </x:c>
      <x:c r="J202" s="58" t="str">
        <x:v>43</x:v>
      </x:c>
      <x:c r="K202" s="58" t="str"/>
      <x:c r="L202" s="58" t="str"/>
      <x:c r="M202" s="58" t="n">
        <x:v>9.08203125</x:v>
      </x:c>
      <x:c r="N202" s="58" t="n">
        <x:v>9.08203125</x:v>
      </x:c>
      <x:c r="O202" s="58" t="n">
        <x:v>9.08203125</x:v>
      </x:c>
      <x:c r="P202" s="58" t="n">
        <x:v>12.670875151660969</x:v>
      </x:c>
      <x:c r="Q202" s="58" t="n">
        <x:v>12.670875151660969</x:v>
      </x:c>
      <x:c r="R202" s="58" t="n">
        <x:v>12.670875151660969</x:v>
      </x:c>
      <x:c r="S202" s="58" t="str">
        <x:v>0.49761579059680217</x:v>
      </x:c>
      <x:c r="T202" s="58" t="str">
        <x:v>0.004914004914004914</x:v>
      </x:c>
      <x:c r="U202" s="58" t="n">
        <x:v>0.5060472206394437</x:v>
      </x:c>
      <x:c r="V202" s="58" t="n">
        <x:v>0.30603515818918614</x:v>
      </x:c>
      <x:c r="W202" s="58" t="n">
        <x:v>0.0013671875000000056</x:v>
      </x:c>
      <x:c r="X202" s="59" t="n">
        <x:v>0.02109188979515073</x:v>
      </x:c>
    </x:row>
    <x:row r="203">
      <x:c r="A203" s="57" t="str">
        <x:v>S26_LDW</x:v>
      </x:c>
      <x:c r="B203" s="58" t="str">
        <x:v>S01</x:v>
      </x:c>
      <x:c r="C203" s="58" t="str">
        <x:v>FACE_R3</x:v>
      </x:c>
      <x:c r="D203" s="58" t="n">
        <x:v>3</x:v>
      </x:c>
      <x:c r="E203" s="58" t="n">
        <x:v>1</x:v>
      </x:c>
      <x:c r="F203" s="58" t="n">
        <x:v>146.3</x:v>
      </x:c>
      <x:c r="G203" s="58" t="n">
        <x:v>201.844</x:v>
      </x:c>
      <x:c r="H203" s="58" t="n">
        <x:v>55.544</x:v>
      </x:c>
      <x:c r="I203" s="58" t="n">
        <x:v>23.7393415605993</x:v>
      </x:c>
      <x:c r="J203" s="58" t="str">
        <x:v>58</x:v>
      </x:c>
      <x:c r="K203" s="58" t="str">
        <x:v>14</x:v>
      </x:c>
      <x:c r="L203" s="58" t="n">
        <x:v>0.8712575968490656</x:v>
      </x:c>
      <x:c r="M203" s="58" t="n">
        <x:v>23.822065365949253</x:v>
      </x:c>
      <x:c r="N203" s="58" t="n">
        <x:v>23.896817043427212</x:v>
      </x:c>
      <x:c r="O203" s="58" t="n">
        <x:v>23.822065365949253</x:v>
      </x:c>
      <x:c r="P203" s="58" t="n">
        <x:v>0.15747548282791257</x:v>
      </x:c>
      <x:c r="Q203" s="58" t="n">
        <x:v>0.0827238053499535</x:v>
      </x:c>
      <x:c r="R203" s="58" t="n">
        <x:v>0.0827238053499535</x:v>
      </x:c>
      <x:c r="S203" s="58" t="str">
        <x:v>0.2645211655549035</x:v>
      </x:c>
      <x:c r="T203" s="58" t="str">
        <x:v>0.0</x:v>
      </x:c>
      <x:c r="U203" s="58" t="n">
        <x:v>0.8970621346296199</x:v>
      </x:c>
      <x:c r="V203" s="58" t="n">
        <x:v>0.059318064885299567</x:v>
      </x:c>
      <x:c r="W203" s="58" t="n">
        <x:v>0.2482802840571202</x:v>
      </x:c>
      <x:c r="X203" s="59" t="n">
        <x:v>0.027421955368133823</x:v>
      </x:c>
    </x:row>
    <x:row r="204">
      <x:c r="A204" s="57" t="str">
        <x:v>S26_LDW</x:v>
      </x:c>
      <x:c r="B204" s="58" t="str">
        <x:v>S01</x:v>
      </x:c>
      <x:c r="C204" s="58" t="str">
        <x:v>FACE_R3</x:v>
      </x:c>
      <x:c r="D204" s="58" t="n">
        <x:v>3</x:v>
      </x:c>
      <x:c r="E204" s="58" t="n">
        <x:v>2</x:v>
      </x:c>
      <x:c r="F204" s="58" t="n">
        <x:v>146.3</x:v>
      </x:c>
      <x:c r="G204" s="58" t="n">
        <x:v>201.844</x:v>
      </x:c>
      <x:c r="H204" s="58" t="n">
        <x:v>55.544</x:v>
      </x:c>
      <x:c r="I204" s="58" t="n">
        <x:v>23.7393415605993</x:v>
      </x:c>
      <x:c r="J204" s="58" t="str">
        <x:v>23</x:v>
      </x:c>
      <x:c r="K204" s="58" t="str">
        <x:v>17</x:v>
      </x:c>
      <x:c r="L204" s="58" t="n">
        <x:v>0.8535236574170176</x:v>
      </x:c>
      <x:c r="M204" s="58" t="n">
        <x:v>23.996099223307656</x:v>
      </x:c>
      <x:c r="N204" s="58" t="n">
        <x:v>23.991595469264762</x:v>
      </x:c>
      <x:c r="O204" s="58" t="n">
        <x:v>23.996099223307656</x:v>
      </x:c>
      <x:c r="P204" s="58" t="n">
        <x:v>0.2522539086654625</x:v>
      </x:c>
      <x:c r="Q204" s="58" t="n">
        <x:v>0.2567576627083561</x:v>
      </x:c>
      <x:c r="R204" s="58" t="n">
        <x:v>0.2567576627083561</x:v>
      </x:c>
      <x:c r="S204" s="58" t="str">
        <x:v>1.1415899511296175</x:v>
      </x:c>
      <x:c r="T204" s="58" t="str">
        <x:v>0.006303466906798739</x:v>
      </x:c>
      <x:c r="U204" s="58" t="n">
        <x:v>0.7842184137372117</x:v>
      </x:c>
      <x:c r="V204" s="58" t="n">
        <x:v>0.09436719687606947</x:v>
      </x:c>
      <x:c r="W204" s="58" t="n">
        <x:v>0.24985992448774605</x:v>
      </x:c>
      <x:c r="X204" s="59" t="n">
        <x:v>0.028583749729787528</x:v>
      </x:c>
    </x:row>
    <x:row r="205">
      <x:c r="A205" s="57" t="str">
        <x:v>S26_LDW</x:v>
      </x:c>
      <x:c r="B205" s="58" t="str">
        <x:v>S01</x:v>
      </x:c>
      <x:c r="C205" s="58" t="str">
        <x:v>FACE_R3</x:v>
      </x:c>
      <x:c r="D205" s="58" t="n">
        <x:v>3</x:v>
      </x:c>
      <x:c r="E205" s="58" t="n">
        <x:v>3</x:v>
      </x:c>
      <x:c r="F205" s="58" t="n">
        <x:v>146.3</x:v>
      </x:c>
      <x:c r="G205" s="58" t="n">
        <x:v>201.844</x:v>
      </x:c>
      <x:c r="H205" s="58" t="n">
        <x:v>55.544</x:v>
      </x:c>
      <x:c r="I205" s="58" t="n">
        <x:v>23.7393415605993</x:v>
      </x:c>
      <x:c r="J205" s="58" t="str">
        <x:v>15</x:v>
      </x:c>
      <x:c r="K205" s="58" t="str">
        <x:v>23</x:v>
      </x:c>
      <x:c r="L205" s="58" t="n">
        <x:v>0.7321553911751865</x:v>
      </x:c>
      <x:c r="M205" s="58" t="n">
        <x:v>23.927809693402292</x:v>
      </x:c>
      <x:c r="N205" s="58" t="n">
        <x:v>24.01552363303195</x:v>
      </x:c>
      <x:c r="O205" s="58" t="n">
        <x:v>23.927809693402292</x:v>
      </x:c>
      <x:c r="P205" s="58" t="n">
        <x:v>0.27618207243265047</x:v>
      </x:c>
      <x:c r="Q205" s="58" t="n">
        <x:v>0.18846813280299202</x:v>
      </x:c>
      <x:c r="R205" s="58" t="n">
        <x:v>0.18846813280299202</x:v>
      </x:c>
      <x:c r="S205" s="58" t="str">
        <x:v>0.8261864985004862</x:v>
      </x:c>
      <x:c r="T205" s="58" t="str">
        <x:v>0.0</x:v>
      </x:c>
      <x:c r="U205" s="58" t="n">
        <x:v>0.7868352765094392</x:v>
      </x:c>
      <x:c r="V205" s="58" t="n">
        <x:v>0.07473259416713549</x:v>
      </x:c>
      <x:c r="W205" s="58" t="n">
        <x:v>0.2502587272171992</x:v>
      </x:c>
      <x:c r="X205" s="59" t="n">
        <x:v>0.02074231475800403</x:v>
      </x:c>
    </x:row>
    <x:row r="206">
      <x:c r="A206" s="57" t="str">
        <x:v>S26_LDW</x:v>
      </x:c>
      <x:c r="B206" s="58" t="str">
        <x:v>S02</x:v>
      </x:c>
      <x:c r="C206" s="58" t="str">
        <x:v>NORMAL</x:v>
      </x:c>
      <x:c r="D206" s="58" t="str"/>
      <x:c r="E206" s="58" t="n">
        <x:v>1</x:v>
      </x:c>
      <x:c r="F206" s="58" t="n">
        <x:v>270.096</x:v>
      </x:c>
      <x:c r="G206" s="58" t="n">
        <x:v>320.096</x:v>
      </x:c>
      <x:c r="H206" s="58" t="n">
        <x:v>50</x:v>
      </x:c>
      <x:c r="I206" s="58" t="n">
        <x:v>15.784680425622696</x:v>
      </x:c>
      <x:c r="J206" s="58" t="str">
        <x:v>13</x:v>
      </x:c>
      <x:c r="K206" s="58" t="str">
        <x:v>64</x:v>
      </x:c>
      <x:c r="L206" s="58" t="n">
        <x:v>-0.8521013211106293</x:v>
      </x:c>
      <x:c r="M206" s="58" t="n">
        <x:v>15.806433417179313</x:v>
      </x:c>
      <x:c r="N206" s="58" t="n">
        <x:v>15.831290029506103</x:v>
      </x:c>
      <x:c r="O206" s="58" t="n">
        <x:v>15.806433417179313</x:v>
      </x:c>
      <x:c r="P206" s="58" t="n">
        <x:v>0.0466096038834074</x:v>
      </x:c>
      <x:c r="Q206" s="58" t="n">
        <x:v>0.021752991556617474</x:v>
      </x:c>
      <x:c r="R206" s="58" t="n">
        <x:v>0.021752991556617474</x:v>
      </x:c>
      <x:c r="S206" s="58" t="str">
        <x:v>1.0135373255935298</x:v>
      </x:c>
      <x:c r="T206" s="58" t="str">
        <x:v>0.0</x:v>
      </x:c>
      <x:c r="U206" s="58" t="n">
        <x:v>0.8022791301503289</x:v>
      </x:c>
      <x:c r="V206" s="58" t="n">
        <x:v>0.07577738714310128</x:v>
      </x:c>
      <x:c r="W206" s="58" t="n">
        <x:v>0.11385483382510173</x:v>
      </x:c>
      <x:c r="X206" s="59" t="n">
        <x:v>0.030032411780445998</x:v>
      </x:c>
    </x:row>
    <x:row r="207">
      <x:c r="A207" s="57" t="str">
        <x:v>S26_LDW</x:v>
      </x:c>
      <x:c r="B207" s="58" t="str">
        <x:v>S02</x:v>
      </x:c>
      <x:c r="C207" s="58" t="str">
        <x:v>NORMAL</x:v>
      </x:c>
      <x:c r="D207" s="58" t="str"/>
      <x:c r="E207" s="58" t="n">
        <x:v>2</x:v>
      </x:c>
      <x:c r="F207" s="58" t="n">
        <x:v>270.096</x:v>
      </x:c>
      <x:c r="G207" s="58" t="n">
        <x:v>320.096</x:v>
      </x:c>
      <x:c r="H207" s="58" t="n">
        <x:v>50</x:v>
      </x:c>
      <x:c r="I207" s="58" t="n">
        <x:v>15.784680425622696</x:v>
      </x:c>
      <x:c r="J207" s="58" t="str">
        <x:v>65</x:v>
      </x:c>
      <x:c r="K207" s="58" t="str"/>
      <x:c r="L207" s="58" t="str"/>
      <x:c r="M207" s="58" t="n">
        <x:v>18.62156077679542</x:v>
      </x:c>
      <x:c r="N207" s="58" t="n">
        <x:v>18.62154376533874</x:v>
      </x:c>
      <x:c r="O207" s="58" t="n">
        <x:v>18.62156077679542</x:v>
      </x:c>
      <x:c r="P207" s="58" t="n">
        <x:v>2.836863339716043</x:v>
      </x:c>
      <x:c r="Q207" s="58" t="n">
        <x:v>2.8368803511727236</x:v>
      </x:c>
      <x:c r="R207" s="58" t="n">
        <x:v>2.8368803511727236</x:v>
      </x:c>
      <x:c r="S207" s="58" t="str">
        <x:v>0.5581405732880572</x:v>
      </x:c>
      <x:c r="T207" s="58" t="str">
        <x:v>0.0045</x:v>
      </x:c>
      <x:c r="U207" s="58" t="n">
        <x:v>0.8294278046424364</x:v>
      </x:c>
      <x:c r="V207" s="58" t="n">
        <x:v>0.05357761892348309</x:v>
      </x:c>
      <x:c r="W207" s="58" t="n">
        <x:v>0.16035906275564568</x:v>
      </x:c>
      <x:c r="X207" s="59" t="n">
        <x:v>0.0300919613426074</x:v>
      </x:c>
    </x:row>
    <x:row r="208">
      <x:c r="A208" s="57" t="str">
        <x:v>S26_LDW</x:v>
      </x:c>
      <x:c r="B208" s="58" t="str">
        <x:v>S02</x:v>
      </x:c>
      <x:c r="C208" s="58" t="str">
        <x:v>NORMAL</x:v>
      </x:c>
      <x:c r="D208" s="58" t="str"/>
      <x:c r="E208" s="58" t="n">
        <x:v>3</x:v>
      </x:c>
      <x:c r="F208" s="58" t="n">
        <x:v>270.096</x:v>
      </x:c>
      <x:c r="G208" s="58" t="n">
        <x:v>320.096</x:v>
      </x:c>
      <x:c r="H208" s="58" t="n">
        <x:v>50</x:v>
      </x:c>
      <x:c r="I208" s="58" t="n">
        <x:v>15.784680425622696</x:v>
      </x:c>
      <x:c r="J208" s="58" t="str">
        <x:v>15</x:v>
      </x:c>
      <x:c r="K208" s="58" t="str">
        <x:v>58</x:v>
      </x:c>
      <x:c r="L208" s="58" t="n">
        <x:v>-0.8478372359081239</x:v>
      </x:c>
      <x:c r="M208" s="58" t="n">
        <x:v>15.855920094056573</x:v>
      </x:c>
      <x:c r="N208" s="58" t="n">
        <x:v>16.158298679982234</x:v>
      </x:c>
      <x:c r="O208" s="58" t="n">
        <x:v>15.855920094056573</x:v>
      </x:c>
      <x:c r="P208" s="58" t="n">
        <x:v>0.3736182543595383</x:v>
      </x:c>
      <x:c r="Q208" s="58" t="n">
        <x:v>0.07123966843387741</x:v>
      </x:c>
      <x:c r="R208" s="58" t="n">
        <x:v>0.07123966843387741</x:v>
      </x:c>
      <x:c r="S208" s="58" t="str">
        <x:v>1.2720992042783397</x:v>
      </x:c>
      <x:c r="T208" s="58" t="str">
        <x:v>0.0</x:v>
      </x:c>
      <x:c r="U208" s="58" t="n">
        <x:v>0.7792316908829094</x:v>
      </x:c>
      <x:c r="V208" s="58" t="n">
        <x:v>0.07313070916309208</x:v>
      </x:c>
      <x:c r="W208" s="58" t="n">
        <x:v>0.11930497799970394</x:v>
      </x:c>
      <x:c r="X208" s="59" t="n">
        <x:v>0.02452184618912039</x:v>
      </x:c>
    </x:row>
    <x:row r="209">
      <x:c r="A209" s="57" t="str">
        <x:v>S26_LDW</x:v>
      </x:c>
      <x:c r="B209" s="58" t="str">
        <x:v>S02</x:v>
      </x:c>
      <x:c r="C209" s="58" t="str">
        <x:v>SLOW</x:v>
      </x:c>
      <x:c r="D209" s="58" t="str"/>
      <x:c r="E209" s="58" t="n">
        <x:v>1</x:v>
      </x:c>
      <x:c r="F209" s="58" t="n">
        <x:v>330.096</x:v>
      </x:c>
      <x:c r="G209" s="58" t="n">
        <x:v>380.096</x:v>
      </x:c>
      <x:c r="H209" s="58" t="n">
        <x:v>50</x:v>
      </x:c>
      <x:c r="I209" s="58" t="n">
        <x:v>5.98321049691463</x:v>
      </x:c>
      <x:c r="J209" s="58" t="str">
        <x:v>14</x:v>
      </x:c>
      <x:c r="K209" s="58" t="str">
        <x:v>58</x:v>
      </x:c>
      <x:c r="L209" s="58" t="n">
        <x:v>0.8376615978328541</x:v>
      </x:c>
      <x:c r="M209" s="58" t="n">
        <x:v>6.093803829315972</x:v>
      </x:c>
      <x:c r="N209" s="58" t="n">
        <x:v>6.079364079087439</x:v>
      </x:c>
      <x:c r="O209" s="58" t="n">
        <x:v>6.093803829315972</x:v>
      </x:c>
      <x:c r="P209" s="58" t="n">
        <x:v>0.09615358217280878</x:v>
      </x:c>
      <x:c r="Q209" s="58" t="n">
        <x:v>0.11059333240134173</x:v>
      </x:c>
      <x:c r="R209" s="58" t="n">
        <x:v>0.11059333240134173</x:v>
      </x:c>
      <x:c r="S209" s="58" t="str">
        <x:v>4.954025804588174</x:v>
      </x:c>
      <x:c r="T209" s="58" t="str">
        <x:v>0.0005</x:v>
      </x:c>
      <x:c r="U209" s="58" t="n">
        <x:v>0.6601487758826762</x:v>
      </x:c>
      <x:c r="V209" s="58" t="n">
        <x:v>0.13509154715943444</x:v>
      </x:c>
      <x:c r="W209" s="58" t="n">
        <x:v>0.03132273465145731</x:v>
      </x:c>
      <x:c r="X209" s="59" t="n">
        <x:v>0.03041246186649593</x:v>
      </x:c>
    </x:row>
    <x:row r="210">
      <x:c r="A210" s="57" t="str">
        <x:v>S26_LDW</x:v>
      </x:c>
      <x:c r="B210" s="58" t="str">
        <x:v>S02</x:v>
      </x:c>
      <x:c r="C210" s="58" t="str">
        <x:v>SLOW</x:v>
      </x:c>
      <x:c r="D210" s="58" t="str"/>
      <x:c r="E210" s="58" t="n">
        <x:v>2</x:v>
      </x:c>
      <x:c r="F210" s="58" t="n">
        <x:v>330.096</x:v>
      </x:c>
      <x:c r="G210" s="58" t="n">
        <x:v>380.096</x:v>
      </x:c>
      <x:c r="H210" s="58" t="n">
        <x:v>50</x:v>
      </x:c>
      <x:c r="I210" s="58" t="n">
        <x:v>5.98321049691463</x:v>
      </x:c>
      <x:c r="J210" s="58" t="str">
        <x:v>19</x:v>
      </x:c>
      <x:c r="K210" s="58" t="str">
        <x:v>30</x:v>
      </x:c>
      <x:c r="L210" s="58" t="n">
        <x:v>-0.8552945337546688</x:v>
      </x:c>
      <x:c r="M210" s="58" t="n">
        <x:v>6.062043104333338</x:v>
      </x:c>
      <x:c r="N210" s="58" t="n">
        <x:v>6.052243238934189</x:v>
      </x:c>
      <x:c r="O210" s="58" t="n">
        <x:v>6.062043104333338</x:v>
      </x:c>
      <x:c r="P210" s="58" t="n">
        <x:v>0.06903274201955867</x:v>
      </x:c>
      <x:c r="Q210" s="58" t="n">
        <x:v>0.07883260741870757</x:v>
      </x:c>
      <x:c r="R210" s="58" t="n">
        <x:v>0.07883260741870757</x:v>
      </x:c>
      <x:c r="S210" s="58" t="str">
        <x:v>5.403865951100354</x:v>
      </x:c>
      <x:c r="T210" s="58" t="str">
        <x:v>0.001</x:v>
      </x:c>
      <x:c r="U210" s="58" t="n">
        <x:v>0.6330235916523426</x:v>
      </x:c>
      <x:c r="V210" s="58" t="n">
        <x:v>0.14943261939341967</x:v>
      </x:c>
      <x:c r="W210" s="58" t="n">
        <x:v>0.030870720648903144</x:v>
      </x:c>
      <x:c r="X210" s="59" t="n">
        <x:v>0.029141037917472825</x:v>
      </x:c>
    </x:row>
    <x:row r="211">
      <x:c r="A211" s="57" t="str">
        <x:v>S26_LDW</x:v>
      </x:c>
      <x:c r="B211" s="58" t="str">
        <x:v>S02</x:v>
      </x:c>
      <x:c r="C211" s="58" t="str">
        <x:v>SLOW</x:v>
      </x:c>
      <x:c r="D211" s="58" t="str"/>
      <x:c r="E211" s="58" t="n">
        <x:v>3</x:v>
      </x:c>
      <x:c r="F211" s="58" t="n">
        <x:v>330.096</x:v>
      </x:c>
      <x:c r="G211" s="58" t="n">
        <x:v>380.096</x:v>
      </x:c>
      <x:c r="H211" s="58" t="n">
        <x:v>50</x:v>
      </x:c>
      <x:c r="I211" s="58" t="n">
        <x:v>5.98321049691463</x:v>
      </x:c>
      <x:c r="J211" s="58" t="str">
        <x:v>14</x:v>
      </x:c>
      <x:c r="K211" s="58" t="str">
        <x:v>20</x:v>
      </x:c>
      <x:c r="L211" s="58" t="n">
        <x:v>-0.7882733144065998</x:v>
      </x:c>
      <x:c r="M211" s="58" t="n">
        <x:v>6.0144988782163225</x:v>
      </x:c>
      <x:c r="N211" s="58" t="n">
        <x:v>6.041108737759679</x:v>
      </x:c>
      <x:c r="O211" s="58" t="n">
        <x:v>6.0144988782163225</x:v>
      </x:c>
      <x:c r="P211" s="58" t="n">
        <x:v>0.057898240845048576</x:v>
      </x:c>
      <x:c r="Q211" s="58" t="n">
        <x:v>0.031288381301692425</x:v>
      </x:c>
      <x:c r="R211" s="58" t="n">
        <x:v>0.031288381301692425</x:v>
      </x:c>
      <x:c r="S211" s="58" t="str">
        <x:v>4.700315005861733</x:v>
      </x:c>
      <x:c r="T211" s="58" t="str">
        <x:v>0.0005</x:v>
      </x:c>
      <x:c r="U211" s="58" t="n">
        <x:v>0.6939051448474156</x:v>
      </x:c>
      <x:c r="V211" s="58" t="n">
        <x:v>0.11917318780444695</x:v>
      </x:c>
      <x:c r="W211" s="58" t="n">
        <x:v>0.030685145629327976</x:v>
      </x:c>
      <x:c r="X211" s="59" t="n">
        <x:v>0.023680016321921266</x:v>
      </x:c>
    </x:row>
    <x:row r="212">
      <x:c r="A212" s="57" t="str">
        <x:v>S26_LDW</x:v>
      </x:c>
      <x:c r="B212" s="58" t="str">
        <x:v>S02</x:v>
      </x:c>
      <x:c r="C212" s="58" t="str">
        <x:v>POST_HOLD</x:v>
      </x:c>
      <x:c r="D212" s="58" t="str"/>
      <x:c r="E212" s="58" t="n">
        <x:v>1</x:v>
      </x:c>
      <x:c r="F212" s="58" t="n">
        <x:v>420.096</x:v>
      </x:c>
      <x:c r="G212" s="58" t="n">
        <x:v>470.096</x:v>
      </x:c>
      <x:c r="H212" s="58" t="n">
        <x:v>50</x:v>
      </x:c>
      <x:c r="I212" s="58" t="n">
        <x:v>18.60086769626014</x:v>
      </x:c>
      <x:c r="J212" s="58" t="str">
        <x:v>13</x:v>
      </x:c>
      <x:c r="K212" s="58" t="str">
        <x:v>60</x:v>
      </x:c>
      <x:c r="L212" s="58" t="n">
        <x:v>-0.40664888938416155</x:v>
      </x:c>
      <x:c r="M212" s="58" t="n">
        <x:v>22.457609476896003</x:v>
      </x:c>
      <x:c r="N212" s="58" t="n">
        <x:v>22.409848471465555</x:v>
      </x:c>
      <x:c r="O212" s="58" t="n">
        <x:v>22.457609476896003</x:v>
      </x:c>
      <x:c r="P212" s="58" t="n">
        <x:v>3.8089807752054163</x:v>
      </x:c>
      <x:c r="Q212" s="58" t="n">
        <x:v>3.856741780635865</x:v>
      </x:c>
      <x:c r="R212" s="58" t="n">
        <x:v>3.856741780635865</x:v>
      </x:c>
      <x:c r="S212" s="58" t="str">
        <x:v>1.1702748226370954</x:v>
      </x:c>
      <x:c r="T212" s="58" t="str">
        <x:v>0.0035</x:v>
      </x:c>
      <x:c r="U212" s="58" t="n">
        <x:v>0.8340220784696349</x:v>
      </x:c>
      <x:c r="V212" s="58" t="n">
        <x:v>0.07846712220201173</x:v>
      </x:c>
      <x:c r="W212" s="58" t="n">
        <x:v>0.2234974745244259</x:v>
      </x:c>
      <x:c r="X212" s="59" t="n">
        <x:v>0.03194118849680517</x:v>
      </x:c>
    </x:row>
    <x:row r="213">
      <x:c r="A213" s="57" t="str">
        <x:v>S26_LDW</x:v>
      </x:c>
      <x:c r="B213" s="58" t="str">
        <x:v>S02</x:v>
      </x:c>
      <x:c r="C213" s="58" t="str">
        <x:v>POST_HOLD</x:v>
      </x:c>
      <x:c r="D213" s="58" t="str"/>
      <x:c r="E213" s="58" t="n">
        <x:v>2</x:v>
      </x:c>
      <x:c r="F213" s="58" t="n">
        <x:v>420.096</x:v>
      </x:c>
      <x:c r="G213" s="58" t="n">
        <x:v>470.096</x:v>
      </x:c>
      <x:c r="H213" s="58" t="n">
        <x:v>50</x:v>
      </x:c>
      <x:c r="I213" s="58" t="n">
        <x:v>18.60086769626014</x:v>
      </x:c>
      <x:c r="J213" s="58" t="str">
        <x:v>68</x:v>
      </x:c>
      <x:c r="K213" s="58" t="str">
        <x:v>76</x:v>
      </x:c>
      <x:c r="L213" s="58" t="n">
        <x:v>0.7521274958168128</x:v>
      </x:c>
      <x:c r="M213" s="58" t="n">
        <x:v>21.506686868929616</x:v>
      </x:c>
      <x:c r="N213" s="58" t="n">
        <x:v>21.505868853511483</x:v>
      </x:c>
      <x:c r="O213" s="58" t="n">
        <x:v>21.506686868929616</x:v>
      </x:c>
      <x:c r="P213" s="58" t="n">
        <x:v>2.905001157251345</x:v>
      </x:c>
      <x:c r="Q213" s="58" t="n">
        <x:v>2.905819172669478</x:v>
      </x:c>
      <x:c r="R213" s="58" t="n">
        <x:v>2.905819172669478</x:v>
      </x:c>
      <x:c r="S213" s="58" t="str">
        <x:v>0.7210645393722108</x:v>
      </x:c>
      <x:c r="T213" s="58" t="str">
        <x:v>0.001</x:v>
      </x:c>
      <x:c r="U213" s="58" t="n">
        <x:v>0.8762207611074462</x:v>
      </x:c>
      <x:c r="V213" s="58" t="n">
        <x:v>0.06511831357670843</x:v>
      </x:c>
      <x:c r="W213" s="58" t="n">
        <x:v>0.20843114755852474</x:v>
      </x:c>
      <x:c r="X213" s="59" t="n">
        <x:v>0.029614323335435157</x:v>
      </x:c>
    </x:row>
    <x:row r="214">
      <x:c r="A214" s="57" t="str">
        <x:v>S26_LDW</x:v>
      </x:c>
      <x:c r="B214" s="58" t="str">
        <x:v>S02</x:v>
      </x:c>
      <x:c r="C214" s="58" t="str">
        <x:v>POST_HOLD</x:v>
      </x:c>
      <x:c r="D214" s="58" t="str"/>
      <x:c r="E214" s="58" t="n">
        <x:v>3</x:v>
      </x:c>
      <x:c r="F214" s="58" t="n">
        <x:v>420.096</x:v>
      </x:c>
      <x:c r="G214" s="58" t="n">
        <x:v>470.096</x:v>
      </x:c>
      <x:c r="H214" s="58" t="n">
        <x:v>50</x:v>
      </x:c>
      <x:c r="I214" s="58" t="n">
        <x:v>18.60086769626014</x:v>
      </x:c>
      <x:c r="J214" s="58" t="str">
        <x:v>76</x:v>
      </x:c>
      <x:c r="K214" s="58" t="str">
        <x:v>17</x:v>
      </x:c>
      <x:c r="L214" s="58" t="n">
        <x:v>0.8918781529099091</x:v>
      </x:c>
      <x:c r="M214" s="58" t="n">
        <x:v>21.884486904071554</x:v>
      </x:c>
      <x:c r="N214" s="58" t="n">
        <x:v>21.810935546876177</x:v>
      </x:c>
      <x:c r="O214" s="58" t="n">
        <x:v>21.884486904071554</x:v>
      </x:c>
      <x:c r="P214" s="58" t="n">
        <x:v>3.2100678506160385</x:v>
      </x:c>
      <x:c r="Q214" s="58" t="n">
        <x:v>3.283619207811416</x:v>
      </x:c>
      <x:c r="R214" s="58" t="n">
        <x:v>3.283619207811416</x:v>
      </x:c>
      <x:c r="S214" s="58" t="str">
        <x:v>1.224300806523367</x:v>
      </x:c>
      <x:c r="T214" s="58" t="str">
        <x:v>0.0</x:v>
      </x:c>
      <x:c r="U214" s="58" t="n">
        <x:v>0.7513435161688279</x:v>
      </x:c>
      <x:c r="V214" s="58" t="n">
        <x:v>0.08434929397540296</x:v>
      </x:c>
      <x:c r="W214" s="58" t="n">
        <x:v>0.2135155924479363</x:v>
      </x:c>
      <x:c r="X214" s="59" t="n">
        <x:v>0.021266226458740045</x:v>
      </x:c>
    </x:row>
    <x:row r="215">
      <x:c r="A215" s="57" t="str">
        <x:v>S26_LDW</x:v>
      </x:c>
      <x:c r="B215" s="58" t="str">
        <x:v>S02</x:v>
      </x:c>
      <x:c r="C215" s="58" t="str">
        <x:v>SQUAT</x:v>
      </x:c>
      <x:c r="D215" s="58" t="str"/>
      <x:c r="E215" s="58" t="n">
        <x:v>1</x:v>
      </x:c>
      <x:c r="F215" s="58" t="n">
        <x:v>495.096</x:v>
      </x:c>
      <x:c r="G215" s="58" t="n">
        <x:v>545.096</x:v>
      </x:c>
      <x:c r="H215" s="58" t="n">
        <x:v>50</x:v>
      </x:c>
      <x:c r="I215" s="58" t="n">
        <x:v>16.946608391503</x:v>
      </x:c>
      <x:c r="J215" s="58" t="str">
        <x:v>77</x:v>
      </x:c>
      <x:c r="K215" s="58" t="str">
        <x:v>37</x:v>
      </x:c>
      <x:c r="L215" s="58" t="n">
        <x:v>0.9378984644278252</x:v>
      </x:c>
      <x:c r="M215" s="58" t="n">
        <x:v>16.874203590361205</x:v>
      </x:c>
      <x:c r="N215" s="58" t="n">
        <x:v>16.806825407793067</x:v>
      </x:c>
      <x:c r="O215" s="58" t="n">
        <x:v>16.874203590361205</x:v>
      </x:c>
      <x:c r="P215" s="58" t="n">
        <x:v>0.13978298370993159</x:v>
      </x:c>
      <x:c r="Q215" s="58" t="n">
        <x:v>0.07240480114179348</x:v>
      </x:c>
      <x:c r="R215" s="58" t="n">
        <x:v>0.07240480114179348</x:v>
      </x:c>
      <x:c r="S215" s="58" t="str">
        <x:v>2.384351933997864</x:v>
      </x:c>
      <x:c r="T215" s="58" t="str">
        <x:v>0.005</x:v>
      </x:c>
      <x:c r="U215" s="58" t="n">
        <x:v>0.7287995905966095</x:v>
      </x:c>
      <x:c r="V215" s="58" t="n">
        <x:v>0.09380630925124649</x:v>
      </x:c>
      <x:c r="W215" s="58" t="n">
        <x:v>0.1301137567965511</x:v>
      </x:c>
      <x:c r="X215" s="59" t="n">
        <x:v>0.10185734841717281</x:v>
      </x:c>
    </x:row>
    <x:row r="216">
      <x:c r="A216" s="57" t="str">
        <x:v>S26_LDW</x:v>
      </x:c>
      <x:c r="B216" s="58" t="str">
        <x:v>S02</x:v>
      </x:c>
      <x:c r="C216" s="58" t="str">
        <x:v>SQUAT</x:v>
      </x:c>
      <x:c r="D216" s="58" t="str"/>
      <x:c r="E216" s="58" t="n">
        <x:v>2</x:v>
      </x:c>
      <x:c r="F216" s="58" t="n">
        <x:v>495.096</x:v>
      </x:c>
      <x:c r="G216" s="58" t="n">
        <x:v>545.096</x:v>
      </x:c>
      <x:c r="H216" s="58" t="n">
        <x:v>50</x:v>
      </x:c>
      <x:c r="I216" s="58" t="n">
        <x:v>16.946608391503</x:v>
      </x:c>
      <x:c r="J216" s="58" t="str">
        <x:v>42</x:v>
      </x:c>
      <x:c r="K216" s="58" t="str">
        <x:v>38</x:v>
      </x:c>
      <x:c r="L216" s="58" t="n">
        <x:v>0.8088384523388646</x:v>
      </x:c>
      <x:c r="M216" s="58" t="n">
        <x:v>16.563225885122748</x:v>
      </x:c>
      <x:c r="N216" s="58" t="n">
        <x:v>16.44378983245321</x:v>
      </x:c>
      <x:c r="O216" s="58" t="n">
        <x:v>16.563225885122748</x:v>
      </x:c>
      <x:c r="P216" s="58" t="n">
        <x:v>0.5028185590497891</x:v>
      </x:c>
      <x:c r="Q216" s="58" t="n">
        <x:v>0.38338250638025073</x:v>
      </x:c>
      <x:c r="R216" s="58" t="n">
        <x:v>0.38338250638025073</x:v>
      </x:c>
      <x:c r="S216" s="58" t="str">
        <x:v>1.811838911335273</x:v>
      </x:c>
      <x:c r="T216" s="58" t="str">
        <x:v>0.0155</x:v>
      </x:c>
      <x:c r="U216" s="58" t="n">
        <x:v>0.7527196412126915</x:v>
      </x:c>
      <x:c r="V216" s="58" t="n">
        <x:v>0.09184819548245053</x:v>
      </x:c>
      <x:c r="W216" s="58" t="n">
        <x:v>0.12406316387422014</x:v>
      </x:c>
      <x:c r="X216" s="59" t="n">
        <x:v>0.0935638797811697</x:v>
      </x:c>
    </x:row>
    <x:row r="217">
      <x:c r="A217" s="57" t="str">
        <x:v>S26_LDW</x:v>
      </x:c>
      <x:c r="B217" s="58" t="str">
        <x:v>S02</x:v>
      </x:c>
      <x:c r="C217" s="58" t="str">
        <x:v>SQUAT</x:v>
      </x:c>
      <x:c r="D217" s="58" t="str"/>
      <x:c r="E217" s="58" t="n">
        <x:v>3</x:v>
      </x:c>
      <x:c r="F217" s="58" t="n">
        <x:v>495.096</x:v>
      </x:c>
      <x:c r="G217" s="58" t="n">
        <x:v>545.096</x:v>
      </x:c>
      <x:c r="H217" s="58" t="n">
        <x:v>50</x:v>
      </x:c>
      <x:c r="I217" s="58" t="n">
        <x:v>16.946608391503</x:v>
      </x:c>
      <x:c r="J217" s="58" t="str">
        <x:v>29</x:v>
      </x:c>
      <x:c r="K217" s="58" t="str">
        <x:v>88</x:v>
      </x:c>
      <x:c r="L217" s="58" t="n">
        <x:v>-0.8403018550381919</x:v>
      </x:c>
      <x:c r="M217" s="58" t="n">
        <x:v>16.829485516618885</x:v>
      </x:c>
      <x:c r="N217" s="58" t="n">
        <x:v>16.767846953097493</x:v>
      </x:c>
      <x:c r="O217" s="58" t="n">
        <x:v>16.829485516618885</x:v>
      </x:c>
      <x:c r="P217" s="58" t="n">
        <x:v>0.1787614384055054</x:v>
      </x:c>
      <x:c r="Q217" s="58" t="n">
        <x:v>0.11712287488411377</x:v>
      </x:c>
      <x:c r="R217" s="58" t="n">
        <x:v>0.11712287488411377</x:v>
      </x:c>
      <x:c r="S217" s="58" t="str">
        <x:v>2.013655154808724</x:v>
      </x:c>
      <x:c r="T217" s="58" t="str">
        <x:v>0.0055</x:v>
      </x:c>
      <x:c r="U217" s="58" t="n">
        <x:v>0.7663213936152012</x:v>
      </x:c>
      <x:c r="V217" s="58" t="n">
        <x:v>0.10107781084330264</x:v>
      </x:c>
      <x:c r="W217" s="58" t="n">
        <x:v>0.12946411588495824</x:v>
      </x:c>
      <x:c r="X217" s="59" t="n">
        <x:v>0.09091612802352264</x:v>
      </x:c>
    </x:row>
    <x:row r="218">
      <x:c r="A218" s="57" t="str">
        <x:v>S26_LDW</x:v>
      </x:c>
      <x:c r="B218" s="58" t="str">
        <x:v>S02</x:v>
      </x:c>
      <x:c r="C218" s="58" t="str">
        <x:v>POST_EXERCISE</x:v>
      </x:c>
      <x:c r="D218" s="58" t="str"/>
      <x:c r="E218" s="58" t="n">
        <x:v>1</x:v>
      </x:c>
      <x:c r="F218" s="58" t="n">
        <x:v>570.096</x:v>
      </x:c>
      <x:c r="G218" s="58" t="n">
        <x:v>620.096</x:v>
      </x:c>
      <x:c r="H218" s="58" t="n">
        <x:v>50</x:v>
      </x:c>
      <x:c r="I218" s="58" t="n">
        <x:v>31.598341462791847</x:v>
      </x:c>
      <x:c r="J218" s="58" t="str">
        <x:v>24</x:v>
      </x:c>
      <x:c r="K218" s="58" t="str">
        <x:v>12</x:v>
      </x:c>
      <x:c r="L218" s="58" t="n">
        <x:v>0.9406579560667065</x:v>
      </x:c>
      <x:c r="M218" s="58" t="n">
        <x:v>32.3322657992021</x:v>
      </x:c>
      <x:c r="N218" s="58" t="n">
        <x:v>32.05607477319924</x:v>
      </x:c>
      <x:c r="O218" s="58" t="n">
        <x:v>32.3322657992021</x:v>
      </x:c>
      <x:c r="P218" s="58" t="n">
        <x:v>0.45773331040739507</x:v>
      </x:c>
      <x:c r="Q218" s="58" t="n">
        <x:v>0.7339243364102508</x:v>
      </x:c>
      <x:c r="R218" s="58" t="n">
        <x:v>0.7339243364102508</x:v>
      </x:c>
      <x:c r="S218" s="58" t="str">
        <x:v>1.0209134634650774</x:v>
      </x:c>
      <x:c r="T218" s="58" t="str">
        <x:v>0.0</x:v>
      </x:c>
      <x:c r="U218" s="58" t="n">
        <x:v>0.7189471760981405</x:v>
      </x:c>
      <x:c r="V218" s="58" t="n">
        <x:v>0.0843425939249982</x:v>
      </x:c>
      <x:c r="W218" s="58" t="n">
        <x:v>0.3842679128866541</x:v>
      </x:c>
      <x:c r="X218" s="59" t="n">
        <x:v>0.03161481923725032</x:v>
      </x:c>
    </x:row>
    <x:row r="219">
      <x:c r="A219" s="57" t="str">
        <x:v>S26_LDW</x:v>
      </x:c>
      <x:c r="B219" s="58" t="str">
        <x:v>S02</x:v>
      </x:c>
      <x:c r="C219" s="58" t="str">
        <x:v>POST_EXERCISE</x:v>
      </x:c>
      <x:c r="D219" s="58" t="str"/>
      <x:c r="E219" s="58" t="n">
        <x:v>2</x:v>
      </x:c>
      <x:c r="F219" s="58" t="n">
        <x:v>570.096</x:v>
      </x:c>
      <x:c r="G219" s="58" t="n">
        <x:v>620.096</x:v>
      </x:c>
      <x:c r="H219" s="58" t="n">
        <x:v>50</x:v>
      </x:c>
      <x:c r="I219" s="58" t="n">
        <x:v>31.598341462791847</x:v>
      </x:c>
      <x:c r="J219" s="58" t="str">
        <x:v>64</x:v>
      </x:c>
      <x:c r="K219" s="58" t="str">
        <x:v>77</x:v>
      </x:c>
      <x:c r="L219" s="58" t="n">
        <x:v>-0.832801564343979</x:v>
      </x:c>
      <x:c r="M219" s="58" t="n">
        <x:v>30.717493490551163</x:v>
      </x:c>
      <x:c r="N219" s="58" t="n">
        <x:v>30.548434890562522</x:v>
      </x:c>
      <x:c r="O219" s="58" t="n">
        <x:v>30.717493490551163</x:v>
      </x:c>
      <x:c r="P219" s="58" t="n">
        <x:v>1.0499065722293253</x:v>
      </x:c>
      <x:c r="Q219" s="58" t="n">
        <x:v>0.8808479722406837</x:v>
      </x:c>
      <x:c r="R219" s="58" t="n">
        <x:v>0.8808479722406837</x:v>
      </x:c>
      <x:c r="S219" s="58" t="str">
        <x:v>1.9081007898033253</x:v>
      </x:c>
      <x:c r="T219" s="58" t="str">
        <x:v>0.0</x:v>
      </x:c>
      <x:c r="U219" s="58" t="n">
        <x:v>0.674925030661376</x:v>
      </x:c>
      <x:c r="V219" s="58" t="n">
        <x:v>0.09645430846007641</x:v>
      </x:c>
      <x:c r="W219" s="58" t="n">
        <x:v>0.35914058150937533</x:v>
      </x:c>
      <x:c r="X219" s="59" t="n">
        <x:v>0.02748606096059964</x:v>
      </x:c>
    </x:row>
    <x:row r="220">
      <x:c r="A220" s="57" t="str">
        <x:v>S26_LDW</x:v>
      </x:c>
      <x:c r="B220" s="58" t="str">
        <x:v>S02</x:v>
      </x:c>
      <x:c r="C220" s="58" t="str">
        <x:v>POST_EXERCISE</x:v>
      </x:c>
      <x:c r="D220" s="58" t="str"/>
      <x:c r="E220" s="58" t="n">
        <x:v>3</x:v>
      </x:c>
      <x:c r="F220" s="58" t="n">
        <x:v>570.096</x:v>
      </x:c>
      <x:c r="G220" s="58" t="n">
        <x:v>620.096</x:v>
      </x:c>
      <x:c r="H220" s="58" t="n">
        <x:v>50</x:v>
      </x:c>
      <x:c r="I220" s="58" t="n">
        <x:v>31.598341462791847</x:v>
      </x:c>
      <x:c r="J220" s="58" t="str">
        <x:v>14</x:v>
      </x:c>
      <x:c r="K220" s="58" t="str">
        <x:v>78</x:v>
      </x:c>
      <x:c r="L220" s="58" t="n">
        <x:v>-0.6148864340050236</x:v>
      </x:c>
      <x:c r="M220" s="58" t="n">
        <x:v>31.69253507169139</x:v>
      </x:c>
      <x:c r="N220" s="58" t="n">
        <x:v>31.16869762556419</x:v>
      </x:c>
      <x:c r="O220" s="58" t="n">
        <x:v>31.69253507169139</x:v>
      </x:c>
      <x:c r="P220" s="58" t="n">
        <x:v>0.4296438372276583</x:v>
      </x:c>
      <x:c r="Q220" s="58" t="n">
        <x:v>0.0941936088995412</x:v>
      </x:c>
      <x:c r="R220" s="58" t="n">
        <x:v>0.0941936088995412</x:v>
      </x:c>
      <x:c r="S220" s="58" t="str">
        <x:v>1.040190623277702</x:v>
      </x:c>
      <x:c r="T220" s="58" t="str">
        <x:v>0.005</x:v>
      </x:c>
      <x:c r="U220" s="58" t="n">
        <x:v>0.8332412747429179</x:v>
      </x:c>
      <x:c r="V220" s="58" t="n">
        <x:v>0.060417021728149674</x:v>
      </x:c>
      <x:c r="W220" s="58" t="n">
        <x:v>0.3694782937594031</x:v>
      </x:c>
      <x:c r="X220" s="59" t="n">
        <x:v>0.02528892928129007</x:v>
      </x:c>
    </x:row>
    <x:row r="221">
      <x:c r="A221" s="57" t="str">
        <x:v>S28_KDH</x:v>
      </x:c>
      <x:c r="B221" s="58" t="str">
        <x:v>S01</x:v>
      </x:c>
      <x:c r="C221" s="58" t="str">
        <x:v>FACE_R1</x:v>
      </x:c>
      <x:c r="D221" s="58" t="n">
        <x:v>1</x:v>
      </x:c>
      <x:c r="E221" s="58" t="n">
        <x:v>1</x:v>
      </x:c>
      <x:c r="F221" s="58" t="n">
        <x:v>26.002</x:v>
      </x:c>
      <x:c r="G221" s="58" t="n">
        <x:v>77.6</x:v>
      </x:c>
      <x:c r="H221" s="58" t="n">
        <x:v>51.598</x:v>
      </x:c>
      <x:c r="I221" s="58" t="n">
        <x:v>19.244457751769787</x:v>
      </x:c>
      <x:c r="J221" s="58" t="str">
        <x:v>16</x:v>
      </x:c>
      <x:c r="K221" s="58" t="str">
        <x:v>30</x:v>
      </x:c>
      <x:c r="L221" s="58" t="n">
        <x:v>-0.848224883959006</x:v>
      </x:c>
      <x:c r="M221" s="58" t="n">
        <x:v>19.28787874723561</x:v>
      </x:c>
      <x:c r="N221" s="58" t="n">
        <x:v>19.387282987250618</x:v>
      </x:c>
      <x:c r="O221" s="58" t="n">
        <x:v>19.28787874723561</x:v>
      </x:c>
      <x:c r="P221" s="58" t="n">
        <x:v>0.14282523548083148</x:v>
      </x:c>
      <x:c r="Q221" s="58" t="n">
        <x:v>0.0434209954658229</x:v>
      </x:c>
      <x:c r="R221" s="58" t="n">
        <x:v>0.0434209954658229</x:v>
      </x:c>
      <x:c r="S221" s="58" t="str">
        <x:v>1.235894146081006</x:v>
      </x:c>
      <x:c r="T221" s="58" t="str">
        <x:v>0.0</x:v>
      </x:c>
      <x:c r="U221" s="58" t="n">
        <x:v>0.788939749978005</x:v>
      </x:c>
      <x:c r="V221" s="58" t="n">
        <x:v>0.08461435771593698</x:v>
      </x:c>
      <x:c r="W221" s="58" t="n">
        <x:v>0.17312138312084366</x:v>
      </x:c>
      <x:c r="X221" s="59" t="n">
        <x:v>0.03316995477815821</x:v>
      </x:c>
    </x:row>
    <x:row r="222">
      <x:c r="A222" s="57" t="str">
        <x:v>S28_KDH</x:v>
      </x:c>
      <x:c r="B222" s="58" t="str">
        <x:v>S01</x:v>
      </x:c>
      <x:c r="C222" s="58" t="str">
        <x:v>FACE_R1</x:v>
      </x:c>
      <x:c r="D222" s="58" t="n">
        <x:v>1</x:v>
      </x:c>
      <x:c r="E222" s="58" t="n">
        <x:v>2</x:v>
      </x:c>
      <x:c r="F222" s="58" t="n">
        <x:v>26.002</x:v>
      </x:c>
      <x:c r="G222" s="58" t="n">
        <x:v>77.6</x:v>
      </x:c>
      <x:c r="H222" s="58" t="n">
        <x:v>51.598</x:v>
      </x:c>
      <x:c r="I222" s="58" t="n">
        <x:v>19.244457751769787</x:v>
      </x:c>
      <x:c r="J222" s="58" t="str">
        <x:v>19</x:v>
      </x:c>
      <x:c r="K222" s="58" t="str">
        <x:v>84</x:v>
      </x:c>
      <x:c r="L222" s="58" t="n">
        <x:v>0.8538187325711519</x:v>
      </x:c>
      <x:c r="M222" s="58" t="n">
        <x:v>18.985057282550873</x:v>
      </x:c>
      <x:c r="N222" s="58" t="n">
        <x:v>19.099802819986863</x:v>
      </x:c>
      <x:c r="O222" s="58" t="n">
        <x:v>18.985057282550873</x:v>
      </x:c>
      <x:c r="P222" s="58" t="n">
        <x:v>0.14465493178292377</x:v>
      </x:c>
      <x:c r="Q222" s="58" t="n">
        <x:v>0.2594004692189138</x:v>
      </x:c>
      <x:c r="R222" s="58" t="n">
        <x:v>0.2594004692189138</x:v>
      </x:c>
      <x:c r="S222" s="58" t="str">
        <x:v>0.6047892671110526</x:v>
      </x:c>
      <x:c r="T222" s="58" t="str">
        <x:v>0.0</x:v>
      </x:c>
      <x:c r="U222" s="58" t="n">
        <x:v>0.8507598646356775</x:v>
      </x:c>
      <x:c r="V222" s="58" t="n">
        <x:v>0.06590507903268455</x:v>
      </x:c>
      <x:c r="W222" s="58" t="n">
        <x:v>0.16833004699978107</x:v>
      </x:c>
      <x:c r="X222" s="59" t="n">
        <x:v>0.03943365287771502</x:v>
      </x:c>
    </x:row>
    <x:row r="223">
      <x:c r="A223" s="57" t="str">
        <x:v>S28_KDH</x:v>
      </x:c>
      <x:c r="B223" s="58" t="str">
        <x:v>S01</x:v>
      </x:c>
      <x:c r="C223" s="58" t="str">
        <x:v>FACE_R1</x:v>
      </x:c>
      <x:c r="D223" s="58" t="n">
        <x:v>1</x:v>
      </x:c>
      <x:c r="E223" s="58" t="n">
        <x:v>3</x:v>
      </x:c>
      <x:c r="F223" s="58" t="n">
        <x:v>26.002</x:v>
      </x:c>
      <x:c r="G223" s="58" t="n">
        <x:v>77.6</x:v>
      </x:c>
      <x:c r="H223" s="58" t="n">
        <x:v>51.598</x:v>
      </x:c>
      <x:c r="I223" s="58" t="n">
        <x:v>19.244457751769787</x:v>
      </x:c>
      <x:c r="J223" s="58" t="str">
        <x:v>77</x:v>
      </x:c>
      <x:c r="K223" s="58" t="str">
        <x:v>18</x:v>
      </x:c>
      <x:c r="L223" s="58" t="n">
        <x:v>0.46455541541882783</x:v>
      </x:c>
      <x:c r="M223" s="58" t="n">
        <x:v>15.552053246723807</x:v>
      </x:c>
      <x:c r="N223" s="58" t="n">
        <x:v>15.827052078552112</x:v>
      </x:c>
      <x:c r="O223" s="58" t="n">
        <x:v>15.552053246723807</x:v>
      </x:c>
      <x:c r="P223" s="58" t="n">
        <x:v>3.417405673217674</x:v>
      </x:c>
      <x:c r="Q223" s="58" t="n">
        <x:v>3.69240450504598</x:v>
      </x:c>
      <x:c r="R223" s="58" t="n">
        <x:v>3.69240450504598</x:v>
      </x:c>
      <x:c r="S223" s="58" t="str">
        <x:v>0.4584319116681527</x:v>
      </x:c>
      <x:c r="T223" s="58" t="str">
        <x:v>0.00872515753756665</x:v>
      </x:c>
      <x:c r="U223" s="58" t="n">
        <x:v>0.8625709881951801</x:v>
      </x:c>
      <x:c r="V223" s="58" t="n">
        <x:v>0.05612285424985073</x:v>
      </x:c>
      <x:c r="W223" s="58" t="n">
        <x:v>0.11378420130920189</x:v>
      </x:c>
      <x:c r="X223" s="59" t="n">
        <x:v>0.022059092381989973</x:v>
      </x:c>
    </x:row>
    <x:row r="224">
      <x:c r="A224" s="57" t="str">
        <x:v>S28_KDH</x:v>
      </x:c>
      <x:c r="B224" s="58" t="str">
        <x:v>S01</x:v>
      </x:c>
      <x:c r="C224" s="58" t="str">
        <x:v>FACE_R2</x:v>
      </x:c>
      <x:c r="D224" s="58" t="n">
        <x:v>2</x:v>
      </x:c>
      <x:c r="E224" s="58" t="n">
        <x:v>1</x:v>
      </x:c>
      <x:c r="F224" s="58" t="n">
        <x:v>87.6</x:v>
      </x:c>
      <x:c r="G224" s="58" t="n">
        <x:v>139</x:v>
      </x:c>
      <x:c r="H224" s="58" t="n">
        <x:v>51.4</x:v>
      </x:c>
      <x:c r="I224" s="58" t="n">
        <x:v>13.548741353565065</x:v>
      </x:c>
      <x:c r="J224" s="58" t="str">
        <x:v>12</x:v>
      </x:c>
      <x:c r="K224" s="58" t="str">
        <x:v>30</x:v>
      </x:c>
      <x:c r="L224" s="58" t="n">
        <x:v>-0.9403882277332768</x:v>
      </x:c>
      <x:c r="M224" s="58" t="n">
        <x:v>13.491325948744644</x:v>
      </x:c>
      <x:c r="N224" s="58" t="n">
        <x:v>13.546786920936176</x:v>
      </x:c>
      <x:c r="O224" s="58" t="n">
        <x:v>13.491325948744644</x:v>
      </x:c>
      <x:c r="P224" s="58" t="n">
        <x:v>0.001954432628888725</x:v>
      </x:c>
      <x:c r="Q224" s="58" t="n">
        <x:v>0.0574154048204214</x:v>
      </x:c>
      <x:c r="R224" s="58" t="n">
        <x:v>0.0574154048204214</x:v>
      </x:c>
      <x:c r="S224" s="58" t="str">
        <x:v>2.0114392938889054</x:v>
      </x:c>
      <x:c r="T224" s="58" t="str">
        <x:v>0.0</x:v>
      </x:c>
      <x:c r="U224" s="58" t="n">
        <x:v>0.7150123471389876</x:v>
      </x:c>
      <x:c r="V224" s="58" t="n">
        <x:v>0.11367580747669072</x:v>
      </x:c>
      <x:c r="W224" s="58" t="n">
        <x:v>0.07577978201560295</x:v>
      </x:c>
      <x:c r="X224" s="59" t="n">
        <x:v>0.02830616518984039</x:v>
      </x:c>
    </x:row>
    <x:row r="225">
      <x:c r="A225" s="57" t="str">
        <x:v>S28_KDH</x:v>
      </x:c>
      <x:c r="B225" s="58" t="str">
        <x:v>S01</x:v>
      </x:c>
      <x:c r="C225" s="58" t="str">
        <x:v>FACE_R2</x:v>
      </x:c>
      <x:c r="D225" s="58" t="n">
        <x:v>2</x:v>
      </x:c>
      <x:c r="E225" s="58" t="n">
        <x:v>2</x:v>
      </x:c>
      <x:c r="F225" s="58" t="n">
        <x:v>87.6</x:v>
      </x:c>
      <x:c r="G225" s="58" t="n">
        <x:v>139</x:v>
      </x:c>
      <x:c r="H225" s="58" t="n">
        <x:v>51.4</x:v>
      </x:c>
      <x:c r="I225" s="58" t="n">
        <x:v>13.548741353565065</x:v>
      </x:c>
      <x:c r="J225" s="58" t="str">
        <x:v>64</x:v>
      </x:c>
      <x:c r="K225" s="58" t="str">
        <x:v>86</x:v>
      </x:c>
      <x:c r="L225" s="58" t="n">
        <x:v>0.896781691866696</x:v>
      </x:c>
      <x:c r="M225" s="58" t="n">
        <x:v>13.499407536161884</x:v>
      </x:c>
      <x:c r="N225" s="58" t="n">
        <x:v>13.450047519697325</x:v>
      </x:c>
      <x:c r="O225" s="58" t="n">
        <x:v>13.499407536161884</x:v>
      </x:c>
      <x:c r="P225" s="58" t="n">
        <x:v>0.09869383386774011</x:v>
      </x:c>
      <x:c r="Q225" s="58" t="n">
        <x:v>0.04933381740318055</x:v>
      </x:c>
      <x:c r="R225" s="58" t="n">
        <x:v>0.04933381740318055</x:v>
      </x:c>
      <x:c r="S225" s="58" t="str">
        <x:v>1.3705159078392155</x:v>
      </x:c>
      <x:c r="T225" s="58" t="str">
        <x:v>0.0</x:v>
      </x:c>
      <x:c r="U225" s="58" t="n">
        <x:v>0.7543618857914164</x:v>
      </x:c>
      <x:c r="V225" s="58" t="n">
        <x:v>0.11137389112374971</x:v>
      </x:c>
      <x:c r="W225" s="58" t="n">
        <x:v>0.07416745866162208</x:v>
      </x:c>
      <x:c r="X225" s="59" t="n">
        <x:v>0.036971660944515906</x:v>
      </x:c>
    </x:row>
    <x:row r="226">
      <x:c r="A226" s="57" t="str">
        <x:v>S28_KDH</x:v>
      </x:c>
      <x:c r="B226" s="58" t="str">
        <x:v>S01</x:v>
      </x:c>
      <x:c r="C226" s="58" t="str">
        <x:v>FACE_R2</x:v>
      </x:c>
      <x:c r="D226" s="58" t="n">
        <x:v>2</x:v>
      </x:c>
      <x:c r="E226" s="58" t="n">
        <x:v>3</x:v>
      </x:c>
      <x:c r="F226" s="58" t="n">
        <x:v>87.6</x:v>
      </x:c>
      <x:c r="G226" s="58" t="n">
        <x:v>139</x:v>
      </x:c>
      <x:c r="H226" s="58" t="n">
        <x:v>51.4</x:v>
      </x:c>
      <x:c r="I226" s="58" t="n">
        <x:v>13.548741353565065</x:v>
      </x:c>
      <x:c r="J226" s="58" t="str">
        <x:v>58</x:v>
      </x:c>
      <x:c r="K226" s="58" t="str">
        <x:v>27</x:v>
      </x:c>
      <x:c r="L226" s="58" t="n">
        <x:v>-0.908785461076708</x:v>
      </x:c>
      <x:c r="M226" s="58" t="n">
        <x:v>13.49401716301027</x:v>
      </x:c>
      <x:c r="N226" s="58" t="n">
        <x:v>13.490723164609792</x:v>
      </x:c>
      <x:c r="O226" s="58" t="n">
        <x:v>13.49401716301027</x:v>
      </x:c>
      <x:c r="P226" s="58" t="n">
        <x:v>0.05801818895527333</x:v>
      </x:c>
      <x:c r="Q226" s="58" t="n">
        <x:v>0.05472419055479527</x:v>
      </x:c>
      <x:c r="R226" s="58" t="n">
        <x:v>0.05472419055479527</x:v>
      </x:c>
      <x:c r="S226" s="58" t="str">
        <x:v>1.0746201583117831</x:v>
      </x:c>
      <x:c r="T226" s="58" t="str">
        <x:v>0.0</x:v>
      </x:c>
      <x:c r="U226" s="58" t="n">
        <x:v>0.7482325436491679</x:v>
      </x:c>
      <x:c r="V226" s="58" t="n">
        <x:v>0.1154000276932501</x:v>
      </x:c>
      <x:c r="W226" s="58" t="n">
        <x:v>0.07484538607682986</x:v>
      </x:c>
      <x:c r="X226" s="59" t="n">
        <x:v>0.023266414174559217</x:v>
      </x:c>
    </x:row>
    <x:row r="227">
      <x:c r="A227" s="57" t="str">
        <x:v>S28_KDH</x:v>
      </x:c>
      <x:c r="B227" s="58" t="str">
        <x:v>S01</x:v>
      </x:c>
      <x:c r="C227" s="58" t="str">
        <x:v>FACE_R3</x:v>
      </x:c>
      <x:c r="D227" s="58" t="n">
        <x:v>3</x:v>
      </x:c>
      <x:c r="E227" s="58" t="n">
        <x:v>1</x:v>
      </x:c>
      <x:c r="F227" s="58" t="n">
        <x:v>149</x:v>
      </x:c>
      <x:c r="G227" s="58" t="n">
        <x:v>202.58</x:v>
      </x:c>
      <x:c r="H227" s="58" t="n">
        <x:v>53.58</x:v>
      </x:c>
      <x:c r="I227" s="58" t="n">
        <x:v>20.189388064334562</x:v>
      </x:c>
      <x:c r="J227" s="58" t="str">
        <x:v>12</x:v>
      </x:c>
      <x:c r="K227" s="58" t="str">
        <x:v>69</x:v>
      </x:c>
      <x:c r="L227" s="58" t="n">
        <x:v>0.6550982116691524</x:v>
      </x:c>
      <x:c r="M227" s="58" t="n">
        <x:v>20.137573504772703</x:v>
      </x:c>
      <x:c r="N227" s="58" t="n">
        <x:v>20.27391627983661</x:v>
      </x:c>
      <x:c r="O227" s="58" t="n">
        <x:v>20.137573504772703</x:v>
      </x:c>
      <x:c r="P227" s="58" t="n">
        <x:v>0.08452821550204703</x:v>
      </x:c>
      <x:c r="Q227" s="58" t="n">
        <x:v>0.05181455956185843</x:v>
      </x:c>
      <x:c r="R227" s="58" t="n">
        <x:v>0.05181455956185843</x:v>
      </x:c>
      <x:c r="S227" s="58" t="str">
        <x:v>1.2016279171919315</x:v>
      </x:c>
      <x:c r="T227" s="58" t="str">
        <x:v>0.0</x:v>
      </x:c>
      <x:c r="U227" s="58" t="n">
        <x:v>0.7106626357820611</x:v>
      </x:c>
      <x:c r="V227" s="58" t="n">
        <x:v>0.09222693939342064</x:v>
      </x:c>
      <x:c r="W227" s="58" t="n">
        <x:v>0.1878986046639435</x:v>
      </x:c>
      <x:c r="X227" s="59" t="n">
        <x:v>0.031112585066526494</x:v>
      </x:c>
    </x:row>
    <x:row r="228">
      <x:c r="A228" s="57" t="str">
        <x:v>S28_KDH</x:v>
      </x:c>
      <x:c r="B228" s="58" t="str">
        <x:v>S01</x:v>
      </x:c>
      <x:c r="C228" s="58" t="str">
        <x:v>FACE_R3</x:v>
      </x:c>
      <x:c r="D228" s="58" t="n">
        <x:v>3</x:v>
      </x:c>
      <x:c r="E228" s="58" t="n">
        <x:v>2</x:v>
      </x:c>
      <x:c r="F228" s="58" t="n">
        <x:v>149</x:v>
      </x:c>
      <x:c r="G228" s="58" t="n">
        <x:v>202.58</x:v>
      </x:c>
      <x:c r="H228" s="58" t="n">
        <x:v>53.58</x:v>
      </x:c>
      <x:c r="I228" s="58" t="n">
        <x:v>20.189388064334562</x:v>
      </x:c>
      <x:c r="J228" s="58" t="str">
        <x:v>66</x:v>
      </x:c>
      <x:c r="K228" s="58" t="str">
        <x:v>21</x:v>
      </x:c>
      <x:c r="L228" s="58" t="n">
        <x:v>0.8648177417979906</x:v>
      </x:c>
      <x:c r="M228" s="58" t="n">
        <x:v>20.340404118315323</x:v>
      </x:c>
      <x:c r="N228" s="58" t="n">
        <x:v>20.322565079872444</x:v>
      </x:c>
      <x:c r="O228" s="58" t="n">
        <x:v>20.340404118315323</x:v>
      </x:c>
      <x:c r="P228" s="58" t="n">
        <x:v>0.13317701553788197</x:v>
      </x:c>
      <x:c r="Q228" s="58" t="n">
        <x:v>0.15101605398076146</x:v>
      </x:c>
      <x:c r="R228" s="58" t="n">
        <x:v>0.15101605398076146</x:v>
      </x:c>
      <x:c r="S228" s="58" t="str">
        <x:v>0.9775674631247081</x:v>
      </x:c>
      <x:c r="T228" s="58" t="str">
        <x:v>0.0</x:v>
      </x:c>
      <x:c r="U228" s="58" t="n">
        <x:v>0.7914520409308312</x:v>
      </x:c>
      <x:c r="V228" s="58" t="n">
        <x:v>0.09119287191774765</x:v>
      </x:c>
      <x:c r="W228" s="58" t="n">
        <x:v>0.18870941799787408</x:v>
      </x:c>
      <x:c r="X228" s="59" t="n">
        <x:v>0.03636882636171608</x:v>
      </x:c>
    </x:row>
    <x:row r="229">
      <x:c r="A229" s="57" t="str">
        <x:v>S28_KDH</x:v>
      </x:c>
      <x:c r="B229" s="58" t="str">
        <x:v>S01</x:v>
      </x:c>
      <x:c r="C229" s="58" t="str">
        <x:v>FACE_R3</x:v>
      </x:c>
      <x:c r="D229" s="58" t="n">
        <x:v>3</x:v>
      </x:c>
      <x:c r="E229" s="58" t="n">
        <x:v>3</x:v>
      </x:c>
      <x:c r="F229" s="58" t="n">
        <x:v>149</x:v>
      </x:c>
      <x:c r="G229" s="58" t="n">
        <x:v>202.58</x:v>
      </x:c>
      <x:c r="H229" s="58" t="n">
        <x:v>53.58</x:v>
      </x:c>
      <x:c r="I229" s="58" t="n">
        <x:v>20.189388064334562</x:v>
      </x:c>
      <x:c r="J229" s="58" t="str">
        <x:v>63</x:v>
      </x:c>
      <x:c r="K229" s="58" t="str">
        <x:v>15</x:v>
      </x:c>
      <x:c r="L229" s="58" t="n">
        <x:v>0.9277551589345775</x:v>
      </x:c>
      <x:c r="M229" s="58" t="n">
        <x:v>20.04736712372719</x:v>
      </x:c>
      <x:c r="N229" s="58" t="n">
        <x:v>20.073667462265156</x:v>
      </x:c>
      <x:c r="O229" s="58" t="n">
        <x:v>20.04736712372719</x:v>
      </x:c>
      <x:c r="P229" s="58" t="n">
        <x:v>0.11572060206940549</x:v>
      </x:c>
      <x:c r="Q229" s="58" t="n">
        <x:v>0.14202094060737025</x:v>
      </x:c>
      <x:c r="R229" s="58" t="n">
        <x:v>0.14202094060737025</x:v>
      </x:c>
      <x:c r="S229" s="58" t="str">
        <x:v>1.2244259141455318</x:v>
      </x:c>
      <x:c r="T229" s="58" t="str">
        <x:v>0.0</x:v>
      </x:c>
      <x:c r="U229" s="58" t="n">
        <x:v>0.7238563190788663</x:v>
      </x:c>
      <x:c r="V229" s="58" t="n">
        <x:v>0.09843707906258543</x:v>
      </x:c>
      <x:c r="W229" s="58" t="n">
        <x:v>0.18456112437108593</x:v>
      </x:c>
      <x:c r="X229" s="59" t="n">
        <x:v>0.026030853743979038</x:v>
      </x:c>
    </x:row>
    <x:row r="230">
      <x:c r="A230" s="57" t="str">
        <x:v>S28_KDH</x:v>
      </x:c>
      <x:c r="B230" s="58" t="str">
        <x:v>S02</x:v>
      </x:c>
      <x:c r="C230" s="58" t="str">
        <x:v>NORMAL</x:v>
      </x:c>
      <x:c r="D230" s="58" t="str"/>
      <x:c r="E230" s="58" t="n">
        <x:v>1</x:v>
      </x:c>
      <x:c r="F230" s="58" t="n">
        <x:v>252.62</x:v>
      </x:c>
      <x:c r="G230" s="58" t="n">
        <x:v>302.62</x:v>
      </x:c>
      <x:c r="H230" s="58" t="n">
        <x:v>50</x:v>
      </x:c>
      <x:c r="I230" s="58" t="n">
        <x:v>11.174380919766126</x:v>
      </x:c>
      <x:c r="J230" s="58" t="str">
        <x:v>30</x:v>
      </x:c>
      <x:c r="K230" s="58" t="str">
        <x:v>14</x:v>
      </x:c>
      <x:c r="L230" s="58" t="n">
        <x:v>0.8446139523998387</x:v>
      </x:c>
      <x:c r="M230" s="58" t="n">
        <x:v>11.095860026252916</x:v>
      </x:c>
      <x:c r="N230" s="58" t="n">
        <x:v>11.11988585443436</x:v>
      </x:c>
      <x:c r="O230" s="58" t="n">
        <x:v>11.095860026252916</x:v>
      </x:c>
      <x:c r="P230" s="58" t="n">
        <x:v>0.05449506533176596</x:v>
      </x:c>
      <x:c r="Q230" s="58" t="n">
        <x:v>0.07852089351320934</x:v>
      </x:c>
      <x:c r="R230" s="58" t="n">
        <x:v>0.07852089351320934</x:v>
      </x:c>
      <x:c r="S230" s="58" t="str">
        <x:v>2.146759135431101</x:v>
      </x:c>
      <x:c r="T230" s="58" t="str">
        <x:v>0.0</x:v>
      </x:c>
      <x:c r="U230" s="58" t="n">
        <x:v>0.6583562728531696</x:v>
      </x:c>
      <x:c r="V230" s="58" t="n">
        <x:v>0.14540282787305128</x:v>
      </x:c>
      <x:c r="W230" s="58" t="n">
        <x:v>0.035331430907239336</x:v>
      </x:c>
      <x:c r="X230" s="59" t="n">
        <x:v>0.03248547931040024</x:v>
      </x:c>
    </x:row>
    <x:row r="231">
      <x:c r="A231" s="57" t="str">
        <x:v>S28_KDH</x:v>
      </x:c>
      <x:c r="B231" s="58" t="str">
        <x:v>S02</x:v>
      </x:c>
      <x:c r="C231" s="58" t="str">
        <x:v>NORMAL</x:v>
      </x:c>
      <x:c r="D231" s="58" t="str"/>
      <x:c r="E231" s="58" t="n">
        <x:v>2</x:v>
      </x:c>
      <x:c r="F231" s="58" t="n">
        <x:v>252.62</x:v>
      </x:c>
      <x:c r="G231" s="58" t="n">
        <x:v>302.62</x:v>
      </x:c>
      <x:c r="H231" s="58" t="n">
        <x:v>50</x:v>
      </x:c>
      <x:c r="I231" s="58" t="n">
        <x:v>11.174380919766126</x:v>
      </x:c>
      <x:c r="J231" s="58" t="str">
        <x:v>19</x:v>
      </x:c>
      <x:c r="K231" s="58" t="str">
        <x:v>28</x:v>
      </x:c>
      <x:c r="L231" s="58" t="n">
        <x:v>0.767952050469573</x:v>
      </x:c>
      <x:c r="M231" s="58" t="n">
        <x:v>11.033876192547003</x:v>
      </x:c>
      <x:c r="N231" s="58" t="n">
        <x:v>11.192040666434654</x:v>
      </x:c>
      <x:c r="O231" s="58" t="n">
        <x:v>11.033876192547003</x:v>
      </x:c>
      <x:c r="P231" s="58" t="n">
        <x:v>0.017659746668527987</x:v>
      </x:c>
      <x:c r="Q231" s="58" t="n">
        <x:v>0.14050472721912222</x:v>
      </x:c>
      <x:c r="R231" s="58" t="n">
        <x:v>0.14050472721912222</x:v>
      </x:c>
      <x:c r="S231" s="58" t="str">
        <x:v>1.6162683526543322</x:v>
      </x:c>
      <x:c r="T231" s="58" t="str">
        <x:v>0.003</x:v>
      </x:c>
      <x:c r="U231" s="58" t="n">
        <x:v>0.7508873146396899</x:v>
      </x:c>
      <x:c r="V231" s="58" t="n">
        <x:v>0.07793593004876216</x:v>
      </x:c>
      <x:c r="W231" s="58" t="n">
        <x:v>0.036534011107244246</x:v>
      </x:c>
      <x:c r="X231" s="59" t="n">
        <x:v>0.03890354161458572</x:v>
      </x:c>
    </x:row>
    <x:row r="232">
      <x:c r="A232" s="57" t="str">
        <x:v>S28_KDH</x:v>
      </x:c>
      <x:c r="B232" s="58" t="str">
        <x:v>S02</x:v>
      </x:c>
      <x:c r="C232" s="58" t="str">
        <x:v>NORMAL</x:v>
      </x:c>
      <x:c r="D232" s="58" t="str"/>
      <x:c r="E232" s="58" t="n">
        <x:v>3</x:v>
      </x:c>
      <x:c r="F232" s="58" t="n">
        <x:v>252.62</x:v>
      </x:c>
      <x:c r="G232" s="58" t="n">
        <x:v>302.62</x:v>
      </x:c>
      <x:c r="H232" s="58" t="n">
        <x:v>50</x:v>
      </x:c>
      <x:c r="I232" s="58" t="n">
        <x:v>11.174380919766126</x:v>
      </x:c>
      <x:c r="J232" s="58" t="str">
        <x:v>60</x:v>
      </x:c>
      <x:c r="K232" s="58" t="str">
        <x:v>16</x:v>
      </x:c>
      <x:c r="L232" s="58" t="n">
        <x:v>-0.8299403623976251</x:v>
      </x:c>
      <x:c r="M232" s="58" t="n">
        <x:v>11.080269761645066</x:v>
      </x:c>
      <x:c r="N232" s="58" t="n">
        <x:v>11.032129148258447</x:v>
      </x:c>
      <x:c r="O232" s="58" t="n">
        <x:v>11.080269761645066</x:v>
      </x:c>
      <x:c r="P232" s="58" t="n">
        <x:v>0.14225177150767898</x:v>
      </x:c>
      <x:c r="Q232" s="58" t="n">
        <x:v>0.09411115812105919</x:v>
      </x:c>
      <x:c r="R232" s="58" t="n">
        <x:v>0.09411115812105919</x:v>
      </x:c>
      <x:c r="S232" s="58" t="str">
        <x:v>3.4766113994867665</x:v>
      </x:c>
      <x:c r="T232" s="58" t="str">
        <x:v>0.0</x:v>
      </x:c>
      <x:c r="U232" s="58" t="n">
        <x:v>0.7211145362535851</x:v>
      </x:c>
      <x:c r="V232" s="58" t="n">
        <x:v>0.1276671020691569</x:v>
      </x:c>
      <x:c r="W232" s="58" t="n">
        <x:v>0.03386881913764078</x:v>
      </x:c>
      <x:c r="X232" s="59" t="n">
        <x:v>0.02541137581689972</x:v>
      </x:c>
    </x:row>
    <x:row r="233">
      <x:c r="A233" s="57" t="str">
        <x:v>S28_KDH</x:v>
      </x:c>
      <x:c r="B233" s="58" t="str">
        <x:v>S02</x:v>
      </x:c>
      <x:c r="C233" s="58" t="str">
        <x:v>SLOW</x:v>
      </x:c>
      <x:c r="D233" s="58" t="str"/>
      <x:c r="E233" s="58" t="n">
        <x:v>1</x:v>
      </x:c>
      <x:c r="F233" s="58" t="n">
        <x:v>312.62</x:v>
      </x:c>
      <x:c r="G233" s="58" t="n">
        <x:v>362.62</x:v>
      </x:c>
      <x:c r="H233" s="58" t="n">
        <x:v>50</x:v>
      </x:c>
      <x:c r="I233" s="58" t="n">
        <x:v>6.081566067975707</x:v>
      </x:c>
      <x:c r="J233" s="58" t="str">
        <x:v>57</x:v>
      </x:c>
      <x:c r="K233" s="58" t="str">
        <x:v>30</x:v>
      </x:c>
      <x:c r="L233" s="58" t="n">
        <x:v>0.8949589900308603</x:v>
      </x:c>
      <x:c r="M233" s="58" t="n">
        <x:v>6.0178706362287455</x:v>
      </x:c>
      <x:c r="N233" s="58" t="n">
        <x:v>6.013457714208624</x:v>
      </x:c>
      <x:c r="O233" s="58" t="n">
        <x:v>6.0178706362287455</x:v>
      </x:c>
      <x:c r="P233" s="58" t="n">
        <x:v>0.06810835376708368</x:v>
      </x:c>
      <x:c r="Q233" s="58" t="n">
        <x:v>0.0636954317469618</x:v>
      </x:c>
      <x:c r="R233" s="58" t="n">
        <x:v>0.0636954317469618</x:v>
      </x:c>
      <x:c r="S233" s="58" t="str">
        <x:v>3.4826940348803284</x:v>
      </x:c>
      <x:c r="T233" s="58" t="str">
        <x:v>0.001</x:v>
      </x:c>
      <x:c r="U233" s="58" t="n">
        <x:v>0.675753617825405</x:v>
      </x:c>
      <x:c r="V233" s="58" t="n">
        <x:v>0.13458390265016784</x:v>
      </x:c>
      <x:c r="W233" s="58" t="n">
        <x:v>0.03022429523681039</x:v>
      </x:c>
      <x:c r="X233" s="59" t="n">
        <x:v>0.03311923063830344</x:v>
      </x:c>
    </x:row>
    <x:row r="234">
      <x:c r="A234" s="57" t="str">
        <x:v>S28_KDH</x:v>
      </x:c>
      <x:c r="B234" s="58" t="str">
        <x:v>S02</x:v>
      </x:c>
      <x:c r="C234" s="58" t="str">
        <x:v>SLOW</x:v>
      </x:c>
      <x:c r="D234" s="58" t="str"/>
      <x:c r="E234" s="58" t="n">
        <x:v>2</x:v>
      </x:c>
      <x:c r="F234" s="58" t="n">
        <x:v>312.62</x:v>
      </x:c>
      <x:c r="G234" s="58" t="n">
        <x:v>362.62</x:v>
      </x:c>
      <x:c r="H234" s="58" t="n">
        <x:v>50</x:v>
      </x:c>
      <x:c r="I234" s="58" t="n">
        <x:v>6.081566067975707</x:v>
      </x:c>
      <x:c r="J234" s="58" t="str">
        <x:v>65</x:v>
      </x:c>
      <x:c r="K234" s="58" t="str">
        <x:v>80</x:v>
      </x:c>
      <x:c r="L234" s="58" t="n">
        <x:v>0.8256963018659932</x:v>
      </x:c>
      <x:c r="M234" s="58" t="n">
        <x:v>6.037421295217757</x:v>
      </x:c>
      <x:c r="N234" s="58" t="n">
        <x:v>5.981996913219435</x:v>
      </x:c>
      <x:c r="O234" s="58" t="n">
        <x:v>6.037421295217757</x:v>
      </x:c>
      <x:c r="P234" s="58" t="n">
        <x:v>0.09956915475627248</x:v>
      </x:c>
      <x:c r="Q234" s="58" t="n">
        <x:v>0.04414477275795026</x:v>
      </x:c>
      <x:c r="R234" s="58" t="n">
        <x:v>0.04414477275795026</x:v>
      </x:c>
      <x:c r="S234" s="58" t="str">
        <x:v>3.2732294894207477</x:v>
      </x:c>
      <x:c r="T234" s="58" t="str">
        <x:v>0.0</x:v>
      </x:c>
      <x:c r="U234" s="58" t="n">
        <x:v>0.6864100607449625</x:v>
      </x:c>
      <x:c r="V234" s="58" t="n">
        <x:v>0.13150840453613724</x:v>
      </x:c>
      <x:c r="W234" s="58" t="n">
        <x:v>0.029699948553657235</x:v>
      </x:c>
      <x:c r="X234" s="59" t="n">
        <x:v>0.03355078763802673</x:v>
      </x:c>
    </x:row>
    <x:row r="235">
      <x:c r="A235" s="57" t="str">
        <x:v>S28_KDH</x:v>
      </x:c>
      <x:c r="B235" s="58" t="str">
        <x:v>S02</x:v>
      </x:c>
      <x:c r="C235" s="58" t="str">
        <x:v>SLOW</x:v>
      </x:c>
      <x:c r="D235" s="58" t="str"/>
      <x:c r="E235" s="58" t="n">
        <x:v>3</x:v>
      </x:c>
      <x:c r="F235" s="58" t="n">
        <x:v>312.62</x:v>
      </x:c>
      <x:c r="G235" s="58" t="n">
        <x:v>362.62</x:v>
      </x:c>
      <x:c r="H235" s="58" t="n">
        <x:v>50</x:v>
      </x:c>
      <x:c r="I235" s="58" t="n">
        <x:v>6.081566067975707</x:v>
      </x:c>
      <x:c r="J235" s="58" t="str">
        <x:v>15</x:v>
      </x:c>
      <x:c r="K235" s="58" t="str">
        <x:v>60</x:v>
      </x:c>
      <x:c r="L235" s="58" t="n">
        <x:v>0.7798548711850817</x:v>
      </x:c>
      <x:c r="M235" s="58" t="n">
        <x:v>6.083928610330511</x:v>
      </x:c>
      <x:c r="N235" s="58" t="n">
        <x:v>6.1369380330171595</x:v>
      </x:c>
      <x:c r="O235" s="58" t="n">
        <x:v>6.083928610330511</x:v>
      </x:c>
      <x:c r="P235" s="58" t="n">
        <x:v>0.05537196504145214</x:v>
      </x:c>
      <x:c r="Q235" s="58" t="n">
        <x:v>0.0023625423548034874</x:v>
      </x:c>
      <x:c r="R235" s="58" t="n">
        <x:v>0.0023625423548034874</x:v>
      </x:c>
      <x:c r="S235" s="58" t="str">
        <x:v>3.8914507738433763</x:v>
      </x:c>
      <x:c r="T235" s="58" t="str">
        <x:v>0.0</x:v>
      </x:c>
      <x:c r="U235" s="58" t="n">
        <x:v>0.7104255097432732</x:v>
      </x:c>
      <x:c r="V235" s="58" t="n">
        <x:v>0.14476288325663522</x:v>
      </x:c>
      <x:c r="W235" s="58" t="n">
        <x:v>0.03228230055028598</x:v>
      </x:c>
      <x:c r="X235" s="59" t="n">
        <x:v>0.029819834972119014</x:v>
      </x:c>
    </x:row>
    <x:row r="236">
      <x:c r="A236" s="57" t="str">
        <x:v>S28_KDH</x:v>
      </x:c>
      <x:c r="B236" s="58" t="str">
        <x:v>S02</x:v>
      </x:c>
      <x:c r="C236" s="58" t="str">
        <x:v>POST_HOLD</x:v>
      </x:c>
      <x:c r="D236" s="58" t="str"/>
      <x:c r="E236" s="58" t="n">
        <x:v>1</x:v>
      </x:c>
      <x:c r="F236" s="58" t="n">
        <x:v>402.475</x:v>
      </x:c>
      <x:c r="G236" s="58" t="n">
        <x:v>452.62</x:v>
      </x:c>
      <x:c r="H236" s="58" t="n">
        <x:v>50.145</x:v>
      </x:c>
      <x:c r="I236" s="58" t="n">
        <x:v>12.208772988246299</x:v>
      </x:c>
      <x:c r="J236" s="58" t="str">
        <x:v>59</x:v>
      </x:c>
      <x:c r="K236" s="58" t="str">
        <x:v>23</x:v>
      </x:c>
      <x:c r="L236" s="58" t="n">
        <x:v>-0.7514638080778068</x:v>
      </x:c>
      <x:c r="M236" s="58" t="n">
        <x:v>12.086027743608856</x:v>
      </x:c>
      <x:c r="N236" s="58" t="n">
        <x:v>12.016359588748248</x:v>
      </x:c>
      <x:c r="O236" s="58" t="n">
        <x:v>12.086027743608856</x:v>
      </x:c>
      <x:c r="P236" s="58" t="n">
        <x:v>0.1924133994980508</x:v>
      </x:c>
      <x:c r="Q236" s="58" t="n">
        <x:v>0.12274524463744285</x:v>
      </x:c>
      <x:c r="R236" s="58" t="n">
        <x:v>0.12274524463744285</x:v>
      </x:c>
      <x:c r="S236" s="58" t="str">
        <x:v>1.4036116826158347</x:v>
      </x:c>
      <x:c r="T236" s="58" t="str">
        <x:v>0.0</x:v>
      </x:c>
      <x:c r="U236" s="58" t="n">
        <x:v>0.763055831851686</x:v>
      </x:c>
      <x:c r="V236" s="58" t="n">
        <x:v>0.10034748198258787</x:v>
      </x:c>
      <x:c r="W236" s="58" t="n">
        <x:v>0.05027265981247081</x:v>
      </x:c>
      <x:c r="X236" s="59" t="n">
        <x:v>0.034853535444096646</x:v>
      </x:c>
    </x:row>
    <x:row r="237">
      <x:c r="A237" s="57" t="str">
        <x:v>S28_KDH</x:v>
      </x:c>
      <x:c r="B237" s="58" t="str">
        <x:v>S02</x:v>
      </x:c>
      <x:c r="C237" s="58" t="str">
        <x:v>POST_HOLD</x:v>
      </x:c>
      <x:c r="D237" s="58" t="str"/>
      <x:c r="E237" s="58" t="n">
        <x:v>2</x:v>
      </x:c>
      <x:c r="F237" s="58" t="n">
        <x:v>402.475</x:v>
      </x:c>
      <x:c r="G237" s="58" t="n">
        <x:v>452.62</x:v>
      </x:c>
      <x:c r="H237" s="58" t="n">
        <x:v>50.145</x:v>
      </x:c>
      <x:c r="I237" s="58" t="n">
        <x:v>12.208772988246299</x:v>
      </x:c>
      <x:c r="J237" s="58" t="str">
        <x:v>64</x:v>
      </x:c>
      <x:c r="K237" s="58" t="str">
        <x:v>28</x:v>
      </x:c>
      <x:c r="L237" s="58" t="n">
        <x:v>0.8038361312882022</x:v>
      </x:c>
      <x:c r="M237" s="58" t="n">
        <x:v>12.13938989574178</x:v>
      </x:c>
      <x:c r="N237" s="58" t="n">
        <x:v>12.102635398836593</x:v>
      </x:c>
      <x:c r="O237" s="58" t="n">
        <x:v>12.13938989574178</x:v>
      </x:c>
      <x:c r="P237" s="58" t="n">
        <x:v>0.10613758940970541</x:v>
      </x:c>
      <x:c r="Q237" s="58" t="n">
        <x:v>0.06938309250451802</x:v>
      </x:c>
      <x:c r="R237" s="58" t="n">
        <x:v>0.06938309250451802</x:v>
      </x:c>
      <x:c r="S237" s="58" t="str">
        <x:v>2.109408743292643</x:v>
      </x:c>
      <x:c r="T237" s="58" t="str">
        <x:v>0.0</x:v>
      </x:c>
      <x:c r="U237" s="58" t="n">
        <x:v>0.7147723245622065</x:v>
      </x:c>
      <x:c r="V237" s="58" t="n">
        <x:v>0.11022730229184877</x:v>
      </x:c>
      <x:c r="W237" s="58" t="n">
        <x:v>0.0517105899806099</x:v>
      </x:c>
      <x:c r="X237" s="59" t="n">
        <x:v>0.03782638999189923</x:v>
      </x:c>
    </x:row>
    <x:row r="238">
      <x:c r="A238" s="57" t="str">
        <x:v>S28_KDH</x:v>
      </x:c>
      <x:c r="B238" s="58" t="str">
        <x:v>S02</x:v>
      </x:c>
      <x:c r="C238" s="58" t="str">
        <x:v>POST_HOLD</x:v>
      </x:c>
      <x:c r="D238" s="58" t="str"/>
      <x:c r="E238" s="58" t="n">
        <x:v>3</x:v>
      </x:c>
      <x:c r="F238" s="58" t="n">
        <x:v>402.475</x:v>
      </x:c>
      <x:c r="G238" s="58" t="n">
        <x:v>452.62</x:v>
      </x:c>
      <x:c r="H238" s="58" t="n">
        <x:v>50.145</x:v>
      </x:c>
      <x:c r="I238" s="58" t="n">
        <x:v>12.208772988246299</x:v>
      </x:c>
      <x:c r="J238" s="58" t="str">
        <x:v>60</x:v>
      </x:c>
      <x:c r="K238" s="58" t="str">
        <x:v>14</x:v>
      </x:c>
      <x:c r="L238" s="58" t="n">
        <x:v>-0.5884742297426725</x:v>
      </x:c>
      <x:c r="M238" s="58" t="n">
        <x:v>11.9778596647057</x:v>
      </x:c>
      <x:c r="N238" s="58" t="n">
        <x:v>11.805161586648861</x:v>
      </x:c>
      <x:c r="O238" s="58" t="n">
        <x:v>11.9778596647057</x:v>
      </x:c>
      <x:c r="P238" s="58" t="n">
        <x:v>0.4036114015974377</x:v>
      </x:c>
      <x:c r="Q238" s="58" t="n">
        <x:v>0.23091332354059801</x:v>
      </x:c>
      <x:c r="R238" s="58" t="n">
        <x:v>0.23091332354059801</x:v>
      </x:c>
      <x:c r="S238" s="58" t="str">
        <x:v>3.481518744386549</x:v>
      </x:c>
      <x:c r="T238" s="58" t="str">
        <x:v>0.00399002493765586</x:v>
      </x:c>
      <x:c r="U238" s="58" t="n">
        <x:v>0.6524170568533341</x:v>
      </x:c>
      <x:c r="V238" s="58" t="n">
        <x:v>0.10571762160008195</x:v>
      </x:c>
      <x:c r="W238" s="58" t="n">
        <x:v>0.04675269311081434</x:v>
      </x:c>
      <x:c r="X238" s="59" t="n">
        <x:v>0.027904696698473997</x:v>
      </x:c>
    </x:row>
    <x:row r="239">
      <x:c r="A239" s="57" t="str">
        <x:v>S28_KDH</x:v>
      </x:c>
      <x:c r="B239" s="58" t="str">
        <x:v>S02</x:v>
      </x:c>
      <x:c r="C239" s="58" t="str">
        <x:v>SQUAT</x:v>
      </x:c>
      <x:c r="D239" s="58" t="str"/>
      <x:c r="E239" s="58" t="n">
        <x:v>1</x:v>
      </x:c>
      <x:c r="F239" s="58" t="n">
        <x:v>477.62</x:v>
      </x:c>
      <x:c r="G239" s="58" t="n">
        <x:v>527.62</x:v>
      </x:c>
      <x:c r="H239" s="58" t="n">
        <x:v>50</x:v>
      </x:c>
      <x:c r="I239" s="58" t="n">
        <x:v>17.306738179146933</x:v>
      </x:c>
      <x:c r="J239" s="58" t="str">
        <x:v>77</x:v>
      </x:c>
      <x:c r="K239" s="58" t="str">
        <x:v>40</x:v>
      </x:c>
      <x:c r="L239" s="58" t="n">
        <x:v>-0.9730147513008607</x:v>
      </x:c>
      <x:c r="M239" s="58" t="n">
        <x:v>21.624634866557642</x:v>
      </x:c>
      <x:c r="N239" s="58" t="n">
        <x:v>21.617514337476667</x:v>
      </x:c>
      <x:c r="O239" s="58" t="n">
        <x:v>21.624634866557642</x:v>
      </x:c>
      <x:c r="P239" s="58" t="n">
        <x:v>4.310776158329734</x:v>
      </x:c>
      <x:c r="Q239" s="58" t="n">
        <x:v>4.317896687410709</x:v>
      </x:c>
      <x:c r="R239" s="58" t="n">
        <x:v>4.317896687410709</x:v>
      </x:c>
      <x:c r="S239" s="58" t="str">
        <x:v>4.272532381596547</x:v>
      </x:c>
      <x:c r="T239" s="58" t="str">
        <x:v>0.0</x:v>
      </x:c>
      <x:c r="U239" s="58" t="n">
        <x:v>0.5639979688010259</x:v>
      </x:c>
      <x:c r="V239" s="58" t="n">
        <x:v>0.1536667740932848</x:v>
      </x:c>
      <x:c r="W239" s="58" t="n">
        <x:v>0.21029190562461111</x:v>
      </x:c>
      <x:c r="X239" s="59" t="n">
        <x:v>0.08889529944185737</x:v>
      </x:c>
    </x:row>
    <x:row r="240">
      <x:c r="A240" s="57" t="str">
        <x:v>S28_KDH</x:v>
      </x:c>
      <x:c r="B240" s="58" t="str">
        <x:v>S02</x:v>
      </x:c>
      <x:c r="C240" s="58" t="str">
        <x:v>SQUAT</x:v>
      </x:c>
      <x:c r="D240" s="58" t="str"/>
      <x:c r="E240" s="58" t="n">
        <x:v>2</x:v>
      </x:c>
      <x:c r="F240" s="58" t="n">
        <x:v>477.62</x:v>
      </x:c>
      <x:c r="G240" s="58" t="n">
        <x:v>527.62</x:v>
      </x:c>
      <x:c r="H240" s="58" t="n">
        <x:v>50</x:v>
      </x:c>
      <x:c r="I240" s="58" t="n">
        <x:v>17.306738179146933</x:v>
      </x:c>
      <x:c r="J240" s="58" t="str">
        <x:v>42</x:v>
      </x:c>
      <x:c r="K240" s="58" t="str">
        <x:v>88</x:v>
      </x:c>
      <x:c r="L240" s="58" t="n">
        <x:v>0.9421043392015008</x:v>
      </x:c>
      <x:c r="M240" s="58" t="n">
        <x:v>21.67181865268821</x:v>
      </x:c>
      <x:c r="N240" s="58" t="n">
        <x:v>21.654196433443246</x:v>
      </x:c>
      <x:c r="O240" s="58" t="n">
        <x:v>21.67181865268821</x:v>
      </x:c>
      <x:c r="P240" s="58" t="n">
        <x:v>4.347458254296313</x:v>
      </x:c>
      <x:c r="Q240" s="58" t="n">
        <x:v>4.365080473541276</x:v>
      </x:c>
      <x:c r="R240" s="58" t="n">
        <x:v>4.365080473541276</x:v>
      </x:c>
      <x:c r="S240" s="58" t="str">
        <x:v>6.072001846943278</x:v>
      </x:c>
      <x:c r="T240" s="58" t="str">
        <x:v>0.009</x:v>
      </x:c>
      <x:c r="U240" s="58" t="n">
        <x:v>0.5532983914309055</x:v>
      </x:c>
      <x:c r="V240" s="58" t="n">
        <x:v>0.16076042377397934</x:v>
      </x:c>
      <x:c r="W240" s="58" t="n">
        <x:v>0.21090327389072075</x:v>
      </x:c>
      <x:c r="X240" s="59" t="n">
        <x:v>0.0838308349981162</x:v>
      </x:c>
    </x:row>
    <x:row r="241">
      <x:c r="A241" s="57" t="str">
        <x:v>S28_KDH</x:v>
      </x:c>
      <x:c r="B241" s="58" t="str">
        <x:v>S02</x:v>
      </x:c>
      <x:c r="C241" s="58" t="str">
        <x:v>SQUAT</x:v>
      </x:c>
      <x:c r="D241" s="58" t="str"/>
      <x:c r="E241" s="58" t="n">
        <x:v>3</x:v>
      </x:c>
      <x:c r="F241" s="58" t="n">
        <x:v>477.62</x:v>
      </x:c>
      <x:c r="G241" s="58" t="n">
        <x:v>527.62</x:v>
      </x:c>
      <x:c r="H241" s="58" t="n">
        <x:v>50</x:v>
      </x:c>
      <x:c r="I241" s="58" t="n">
        <x:v>17.306738179146933</x:v>
      </x:c>
      <x:c r="J241" s="58" t="str">
        <x:v>76</x:v>
      </x:c>
      <x:c r="K241" s="58" t="str">
        <x:v>31</x:v>
      </x:c>
      <x:c r="L241" s="58" t="n">
        <x:v>0.7982257013936325</x:v>
      </x:c>
      <x:c r="M241" s="58" t="n">
        <x:v>21.70739346407362</x:v>
      </x:c>
      <x:c r="N241" s="58" t="n">
        <x:v>21.704524885997678</x:v>
      </x:c>
      <x:c r="O241" s="58" t="n">
        <x:v>21.70739346407362</x:v>
      </x:c>
      <x:c r="P241" s="58" t="n">
        <x:v>4.397786706850745</x:v>
      </x:c>
      <x:c r="Q241" s="58" t="n">
        <x:v>4.400655284926685</x:v>
      </x:c>
      <x:c r="R241" s="58" t="n">
        <x:v>4.400655284926685</x:v>
      </x:c>
      <x:c r="S241" s="58" t="str">
        <x:v>3.3341600641511286</x:v>
      </x:c>
      <x:c r="T241" s="58" t="str">
        <x:v>0.043</x:v>
      </x:c>
      <x:c r="U241" s="58" t="n">
        <x:v>0.735826338988785</x:v>
      </x:c>
      <x:c r="V241" s="58" t="n">
        <x:v>0.11732878402334511</x:v>
      </x:c>
      <x:c r="W241" s="58" t="n">
        <x:v>0.21174208143329462</x:v>
      </x:c>
      <x:c r="X241" s="59" t="n">
        <x:v>0.1005233039319547</x:v>
      </x:c>
    </x:row>
    <x:row r="242">
      <x:c r="A242" s="57" t="str">
        <x:v>S28_KDH</x:v>
      </x:c>
      <x:c r="B242" s="58" t="str">
        <x:v>S02</x:v>
      </x:c>
      <x:c r="C242" s="58" t="str">
        <x:v>POST_EXERCISE</x:v>
      </x:c>
      <x:c r="D242" s="58" t="str"/>
      <x:c r="E242" s="58" t="n">
        <x:v>1</x:v>
      </x:c>
      <x:c r="F242" s="58" t="n">
        <x:v>552.62</x:v>
      </x:c>
      <x:c r="G242" s="58" t="n">
        <x:v>602.62</x:v>
      </x:c>
      <x:c r="H242" s="58" t="n">
        <x:v>50</x:v>
      </x:c>
      <x:c r="I242" s="58" t="n">
        <x:v>20.33630072190211</x:v>
      </x:c>
      <x:c r="J242" s="58" t="str">
        <x:v>70</x:v>
      </x:c>
      <x:c r="K242" s="58" t="str">
        <x:v>34</x:v>
      </x:c>
      <x:c r="L242" s="58" t="n">
        <x:v>-0.7398638296494244</x:v>
      </x:c>
      <x:c r="M242" s="58" t="n">
        <x:v>20.631804049316493</x:v>
      </x:c>
      <x:c r="N242" s="58" t="n">
        <x:v>20.58207226285028</x:v>
      </x:c>
      <x:c r="O242" s="58" t="n">
        <x:v>20.631804049316493</x:v>
      </x:c>
      <x:c r="P242" s="58" t="n">
        <x:v>0.24577154094816933</x:v>
      </x:c>
      <x:c r="Q242" s="58" t="n">
        <x:v>0.2955033274143837</x:v>
      </x:c>
      <x:c r="R242" s="58" t="n">
        <x:v>0.2955033274143837</x:v>
      </x:c>
      <x:c r="S242" s="58" t="str">
        <x:v>1.0294353081938887</x:v>
      </x:c>
      <x:c r="T242" s="58" t="str">
        <x:v>0.0</x:v>
      </x:c>
      <x:c r="U242" s="58" t="n">
        <x:v>0.8004058629983943</x:v>
      </x:c>
      <x:c r="V242" s="58" t="n">
        <x:v>0.07378754325761595</x:v>
      </x:c>
      <x:c r="W242" s="58" t="n">
        <x:v>0.1930345377141713</x:v>
      </x:c>
      <x:c r="X242" s="59" t="n">
        <x:v>0.03264701351310109</x:v>
      </x:c>
    </x:row>
    <x:row r="243">
      <x:c r="A243" s="57" t="str">
        <x:v>S28_KDH</x:v>
      </x:c>
      <x:c r="B243" s="58" t="str">
        <x:v>S02</x:v>
      </x:c>
      <x:c r="C243" s="58" t="str">
        <x:v>POST_EXERCISE</x:v>
      </x:c>
      <x:c r="D243" s="58" t="str"/>
      <x:c r="E243" s="58" t="n">
        <x:v>2</x:v>
      </x:c>
      <x:c r="F243" s="58" t="n">
        <x:v>552.62</x:v>
      </x:c>
      <x:c r="G243" s="58" t="n">
        <x:v>602.62</x:v>
      </x:c>
      <x:c r="H243" s="58" t="n">
        <x:v>50</x:v>
      </x:c>
      <x:c r="I243" s="58" t="n">
        <x:v>20.33630072190211</x:v>
      </x:c>
      <x:c r="J243" s="58" t="str">
        <x:v>20</x:v>
      </x:c>
      <x:c r="K243" s="58" t="str">
        <x:v>76</x:v>
      </x:c>
      <x:c r="L243" s="58" t="n">
        <x:v>0.8877554780739488</x:v>
      </x:c>
      <x:c r="M243" s="58" t="n">
        <x:v>20.349870845272505</x:v>
      </x:c>
      <x:c r="N243" s="58" t="n">
        <x:v>20.38816687795903</x:v>
      </x:c>
      <x:c r="O243" s="58" t="n">
        <x:v>20.349870845272505</x:v>
      </x:c>
      <x:c r="P243" s="58" t="n">
        <x:v>0.05186615605692069</x:v>
      </x:c>
      <x:c r="Q243" s="58" t="n">
        <x:v>0.013570123370396203</x:v>
      </x:c>
      <x:c r="R243" s="58" t="n">
        <x:v>0.013570123370396203</x:v>
      </x:c>
      <x:c r="S243" s="58" t="str">
        <x:v>2.308771727284601</x:v>
      </x:c>
      <x:c r="T243" s="58" t="str">
        <x:v>0.0</x:v>
      </x:c>
      <x:c r="U243" s="58" t="n">
        <x:v>0.7402353190655238</x:v>
      </x:c>
      <x:c r="V243" s="58" t="n">
        <x:v>0.10212413101876644</x:v>
      </x:c>
      <x:c r="W243" s="58" t="n">
        <x:v>0.18980278129931719</x:v>
      </x:c>
      <x:c r="X243" s="59" t="n">
        <x:v>0.04282250746250045</x:v>
      </x:c>
    </x:row>
    <x:row r="244">
      <x:c r="A244" s="60" t="str">
        <x:v>S28_KDH</x:v>
      </x:c>
      <x:c r="B244" s="61" t="str">
        <x:v>S02</x:v>
      </x:c>
      <x:c r="C244" s="61" t="str">
        <x:v>POST_EXERCISE</x:v>
      </x:c>
      <x:c r="D244" s="61" t="str"/>
      <x:c r="E244" s="61" t="n">
        <x:v>3</x:v>
      </x:c>
      <x:c r="F244" s="61" t="n">
        <x:v>552.62</x:v>
      </x:c>
      <x:c r="G244" s="61" t="n">
        <x:v>602.62</x:v>
      </x:c>
      <x:c r="H244" s="61" t="n">
        <x:v>50</x:v>
      </x:c>
      <x:c r="I244" s="61" t="n">
        <x:v>20.33630072190211</x:v>
      </x:c>
      <x:c r="J244" s="61" t="str">
        <x:v>60</x:v>
      </x:c>
      <x:c r="K244" s="61" t="str">
        <x:v>27</x:v>
      </x:c>
      <x:c r="L244" s="61" t="n">
        <x:v>-0.8963767352091883</x:v>
      </x:c>
      <x:c r="M244" s="61" t="n">
        <x:v>20.380004698254737</x:v>
      </x:c>
      <x:c r="N244" s="61" t="n">
        <x:v>20.547029872841712</x:v>
      </x:c>
      <x:c r="O244" s="61" t="n">
        <x:v>20.380004698254737</x:v>
      </x:c>
      <x:c r="P244" s="61" t="n">
        <x:v>0.21072915093960276</x:v>
      </x:c>
      <x:c r="Q244" s="61" t="n">
        <x:v>0.043703976352627905</x:v>
      </x:c>
      <x:c r="R244" s="61" t="n">
        <x:v>0.043703976352627905</x:v>
      </x:c>
      <x:c r="S244" s="61" t="str">
        <x:v>1.4179150182813005</x:v>
      </x:c>
      <x:c r="T244" s="61" t="str">
        <x:v>0.0</x:v>
      </x:c>
      <x:c r="U244" s="61" t="n">
        <x:v>0.7317583771923498</x:v>
      </x:c>
      <x:c r="V244" s="61" t="n">
        <x:v>0.09753105286300606</x:v>
      </x:c>
      <x:c r="W244" s="61" t="n">
        <x:v>0.1924504978806952</x:v>
      </x:c>
      <x:c r="X244" s="62" t="n">
        <x:v>0.027685142148126677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163f7dd4917245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  <x:col min="22" max="22" width="12" hidden="0" customWidth="1"/>
    <x:col min="23" max="23" width="14" hidden="0" customWidth="1"/>
    <x:col min="24" max="24" width="14" hidden="0" customWidth="1"/>
    <x:col min="25" max="25" width="14" hidden="0" customWidth="1"/>
    <x:col min="26" max="26" width="16" hidden="0" customWidth="1"/>
    <x:col min="27" max="27" width="14" hidden="0" customWidth="1"/>
  </x:cols>
  <x:sheetData>
    <x:row r="1" ht="34" customHeight="1">
      <x:c r="A1" s="3" t="str">
        <x:v>개발군 실패 사례</x:v>
      </x:c>
    </x:row>
    <x:row r="2" ht="26" customHeight="1">
      <x:c r="A2" s="7" t="str">
        <x:v>오차가 큰 순서로 고정했습니다. 이 목록은 독립검증 전에 알고리즘 한계를 설명하기 위한 개발 기록입니다.</x:v>
      </x:c>
    </x:row>
    <x:row r="4" ht="28" customHeight="1">
      <x:c r="A4" s="63" t="str">
        <x:v>subject</x:v>
      </x:c>
      <x:c r="B4" s="64" t="str">
        <x:v>experiment</x:v>
      </x:c>
      <x:c r="C4" s="64" t="str">
        <x:v>state</x:v>
      </x:c>
      <x:c r="D4" s="64" t="str">
        <x:v>nominal_facing_radar</x:v>
      </x:c>
      <x:c r="E4" s="64" t="str">
        <x:v>start_s</x:v>
      </x:c>
      <x:c r="F4" s="64" t="str">
        <x:v>end_s</x:v>
      </x:c>
      <x:c r="G4" s="64" t="str">
        <x:v>duration_s</x:v>
      </x:c>
      <x:c r="H4" s="64" t="str">
        <x:v>rsp_rr_bpm</x:v>
      </x:c>
      <x:c r="I4" s="64" t="str">
        <x:v>radar1_rr_bpm</x:v>
      </x:c>
      <x:c r="J4" s="64" t="str">
        <x:v>radar2_rr_bpm</x:v>
      </x:c>
      <x:c r="K4" s="64" t="str">
        <x:v>radar3_rr_bpm</x:v>
      </x:c>
      <x:c r="L4" s="64" t="str">
        <x:v>radar1_primary_rr_bpm</x:v>
      </x:c>
      <x:c r="M4" s="64" t="str">
        <x:v>radar2_primary_rr_bpm</x:v>
      </x:c>
      <x:c r="N4" s="64" t="str">
        <x:v>radar3_primary_rr_bpm</x:v>
      </x:c>
      <x:c r="O4" s="64" t="str">
        <x:v>quality_best_radar</x:v>
      </x:c>
      <x:c r="P4" s="64" t="str">
        <x:v>quality_best_rr_bpm</x:v>
      </x:c>
      <x:c r="Q4" s="64" t="str">
        <x:v>consensus_rr_bpm</x:v>
      </x:c>
      <x:c r="R4" s="64" t="str">
        <x:v>radar_rr_mad_bpm</x:v>
      </x:c>
      <x:c r="S4" s="64" t="str">
        <x:v>edge_quality</x:v>
      </x:c>
      <x:c r="T4" s="64" t="str">
        <x:v>motion_quality</x:v>
      </x:c>
      <x:c r="U4" s="64" t="str">
        <x:v>max_motion_index</x:v>
      </x:c>
      <x:c r="V4" s="64" t="str">
        <x:v>confidence</x:v>
      </x:c>
      <x:c r="W4" s="64" t="str">
        <x:v>reject</x:v>
      </x:c>
      <x:c r="X4" s="64" t="str">
        <x:v>rr_abs_error</x:v>
      </x:c>
      <x:c r="Y4" s="64" t="str">
        <x:v>oracle_abs_error</x:v>
      </x:c>
      <x:c r="Z4" s="64" t="str">
        <x:v>waveform_abs_corr</x:v>
      </x:c>
      <x:c r="AA4" s="65" t="str">
        <x:v>median_motion_index</x:v>
      </x:c>
    </x:row>
    <x:row r="5">
      <x:c r="A5" s="57" t="str">
        <x:v>S26_LDW</x:v>
      </x:c>
      <x:c r="B5" s="58" t="str">
        <x:v>S01</x:v>
      </x:c>
      <x:c r="C5" s="58" t="str">
        <x:v>FACE_R2</x:v>
      </x:c>
      <x:c r="D5" s="58" t="n">
        <x:v>2</x:v>
      </x:c>
      <x:c r="E5" s="58" t="n">
        <x:v>85.4</x:v>
      </x:c>
      <x:c r="F5" s="58" t="n">
        <x:v>136.3</x:v>
      </x:c>
      <x:c r="G5" s="58" t="n">
        <x:v>50.9</x:v>
      </x:c>
      <x:c r="H5" s="58" t="n">
        <x:v>21.75290640166097</x:v>
      </x:c>
      <x:c r="I5" s="58" t="n">
        <x:v>21.605194166796263</x:v>
      </x:c>
      <x:c r="J5" s="58" t="n">
        <x:v>9.08203125</x:v>
      </x:c>
      <x:c r="K5" s="58" t="n">
        <x:v>9.08203125</x:v>
      </x:c>
      <x:c r="L5" s="58" t="n">
        <x:v>21.46730557256883</x:v>
      </x:c>
      <x:c r="M5" s="58" t="n">
        <x:v>9.08203125</x:v>
      </x:c>
      <x:c r="N5" s="58" t="n">
        <x:v>9.08203125</x:v>
      </x:c>
      <x:c r="O5" s="58" t="n">
        <x:v>2</x:v>
      </x:c>
      <x:c r="P5" s="58" t="n">
        <x:v>9.08203125</x:v>
      </x:c>
      <x:c r="Q5" s="58" t="n">
        <x:v>9.08203125</x:v>
      </x:c>
      <x:c r="R5" s="58" t="n">
        <x:v>0</x:v>
      </x:c>
      <x:c r="S5" s="58" t="n">
        <x:v>0.03906250000000015</x:v>
      </x:c>
      <x:c r="T5" s="58" t="n">
        <x:v>1</x:v>
      </x:c>
      <x:c r="U5" s="58" t="n">
        <x:v>0.031167552593409784</x:v>
      </x:c>
      <x:c r="V5" s="58" t="str">
        <x:v>0.6557570199618958</x:v>
      </x:c>
      <x:c r="W5" s="58" t="n">
        <x:v>1</x:v>
      </x:c>
      <x:c r="X5" s="58" t="n">
        <x:v>12.670875151660969</x:v>
      </x:c>
      <x:c r="Y5" s="58" t="n">
        <x:v>0.14771223486470575</x:v>
      </x:c>
      <x:c r="Z5" s="58" t="n">
        <x:v>0.33318578819336797</x:v>
      </x:c>
      <x:c r="AA5" s="59" t="n">
        <x:v>0.028236731640460096</x:v>
      </x:c>
    </x:row>
    <x:row r="6">
      <x:c r="A6" s="57" t="str">
        <x:v>S23_KDM</x:v>
      </x:c>
      <x:c r="B6" s="58" t="str">
        <x:v>S02</x:v>
      </x:c>
      <x:c r="C6" s="58" t="str">
        <x:v>POST_HOLD</x:v>
      </x:c>
      <x:c r="D6" s="58" t="str"/>
      <x:c r="E6" s="58" t="n">
        <x:v>391.608</x:v>
      </x:c>
      <x:c r="F6" s="58" t="n">
        <x:v>441.608</x:v>
      </x:c>
      <x:c r="G6" s="58" t="n">
        <x:v>50</x:v>
      </x:c>
      <x:c r="H6" s="58" t="n">
        <x:v>14.954700994447135</x:v>
      </x:c>
      <x:c r="I6" s="58" t="n">
        <x:v>10.72854540871266</x:v>
      </x:c>
      <x:c r="J6" s="58" t="n">
        <x:v>11.227225542508695</x:v>
      </x:c>
      <x:c r="K6" s="58" t="n">
        <x:v>11.67130138939899</x:v>
      </x:c>
      <x:c r="L6" s="58" t="n">
        <x:v>10.727306873883308</x:v>
      </x:c>
      <x:c r="M6" s="58" t="n">
        <x:v>11.001104537855738</x:v>
      </x:c>
      <x:c r="N6" s="58" t="n">
        <x:v>11.678135708901134</x:v>
      </x:c>
      <x:c r="O6" s="58" t="n">
        <x:v>3</x:v>
      </x:c>
      <x:c r="P6" s="58" t="n">
        <x:v>11.67130138939899</x:v>
      </x:c>
      <x:c r="Q6" s="58" t="n">
        <x:v>11.227225542508695</x:v>
      </x:c>
      <x:c r="R6" s="58" t="n">
        <x:v>0.44407584689029456</x:v>
      </x:c>
      <x:c r="S6" s="58" t="n">
        <x:v>0.9529069227884474</x:v>
      </x:c>
      <x:c r="T6" s="58" t="n">
        <x:v>1</x:v>
      </x:c>
      <x:c r="U6" s="58" t="n">
        <x:v>0.028216892413201473</x:v>
      </x:c>
      <x:c r="V6" s="58" t="str">
        <x:v>0.7761328421837292</x:v>
      </x:c>
      <x:c r="W6" s="58" t="n">
        <x:v>0</x:v>
      </x:c>
      <x:c r="X6" s="58" t="n">
        <x:v>3.7274754519384405</x:v>
      </x:c>
      <x:c r="Y6" s="58" t="n">
        <x:v>3.283399605048146</x:v>
      </x:c>
      <x:c r="Z6" s="58" t="n">
        <x:v>0.3812530092755226</x:v>
      </x:c>
      <x:c r="AA6" s="59" t="n">
        <x:v>0.02610277101759094</x:v>
      </x:c>
    </x:row>
    <x:row r="7">
      <x:c r="A7" s="57" t="str">
        <x:v>S17_RJS</x:v>
      </x:c>
      <x:c r="B7" s="58" t="str">
        <x:v>S02</x:v>
      </x:c>
      <x:c r="C7" s="58" t="str">
        <x:v>POST_HOLD</x:v>
      </x:c>
      <x:c r="D7" s="58" t="str"/>
      <x:c r="E7" s="58" t="n">
        <x:v>393.25</x:v>
      </x:c>
      <x:c r="F7" s="58" t="n">
        <x:v>443.63</x:v>
      </x:c>
      <x:c r="G7" s="58" t="n">
        <x:v>50.38</x:v>
      </x:c>
      <x:c r="H7" s="58" t="n">
        <x:v>15.953071942182167</x:v>
      </x:c>
      <x:c r="I7" s="58" t="n">
        <x:v>12.32207915444225</x:v>
      </x:c>
      <x:c r="J7" s="58" t="n">
        <x:v>12.271599918844977</x:v>
      </x:c>
      <x:c r="K7" s="58" t="n">
        <x:v>12.146666118606456</x:v>
      </x:c>
      <x:c r="L7" s="58" t="n">
        <x:v>12.390901095765411</x:v>
      </x:c>
      <x:c r="M7" s="58" t="n">
        <x:v>12.27813241640137</x:v>
      </x:c>
      <x:c r="N7" s="58" t="n">
        <x:v>11.995747104372168</x:v>
      </x:c>
      <x:c r="O7" s="58" t="n">
        <x:v>3</x:v>
      </x:c>
      <x:c r="P7" s="58" t="n">
        <x:v>12.146666118606456</x:v>
      </x:c>
      <x:c r="Q7" s="58" t="n">
        <x:v>12.271599918844977</x:v>
      </x:c>
      <x:c r="R7" s="58" t="n">
        <x:v>0.05047923559727252</x:v>
      </x:c>
      <x:c r="S7" s="58" t="n">
        <x:v>1</x:v>
      </x:c>
      <x:c r="T7" s="58" t="n">
        <x:v>1</x:v>
      </x:c>
      <x:c r="U7" s="58" t="n">
        <x:v>0.029162789775595138</x:v>
      </x:c>
      <x:c r="V7" s="58" t="str">
        <x:v>0.8606799817446732</x:v>
      </x:c>
      <x:c r="W7" s="58" t="n">
        <x:v>0</x:v>
      </x:c>
      <x:c r="X7" s="58" t="n">
        <x:v>3.6814720233371894</x:v>
      </x:c>
      <x:c r="Y7" s="58" t="n">
        <x:v>3.630992787739917</x:v>
      </x:c>
      <x:c r="Z7" s="58" t="n">
        <x:v>0.5873912840318043</x:v>
      </x:c>
      <x:c r="AA7" s="59" t="n">
        <x:v>0.026706274910946997</x:v>
      </x:c>
    </x:row>
    <x:row r="8">
      <x:c r="A8" s="57" t="str">
        <x:v>S26_LDW</x:v>
      </x:c>
      <x:c r="B8" s="58" t="str">
        <x:v>S02</x:v>
      </x:c>
      <x:c r="C8" s="58" t="str">
        <x:v>POST_HOLD</x:v>
      </x:c>
      <x:c r="D8" s="58" t="str"/>
      <x:c r="E8" s="58" t="n">
        <x:v>420.096</x:v>
      </x:c>
      <x:c r="F8" s="58" t="n">
        <x:v>470.096</x:v>
      </x:c>
      <x:c r="G8" s="58" t="n">
        <x:v>50</x:v>
      </x:c>
      <x:c r="H8" s="58" t="n">
        <x:v>18.60086769626014</x:v>
      </x:c>
      <x:c r="I8" s="58" t="n">
        <x:v>22.457609476896003</x:v>
      </x:c>
      <x:c r="J8" s="58" t="n">
        <x:v>21.506686868929616</x:v>
      </x:c>
      <x:c r="K8" s="58" t="n">
        <x:v>21.884486904071554</x:v>
      </x:c>
      <x:c r="L8" s="58" t="n">
        <x:v>22.409848471465555</x:v>
      </x:c>
      <x:c r="M8" s="58" t="n">
        <x:v>21.505868853511483</x:v>
      </x:c>
      <x:c r="N8" s="58" t="n">
        <x:v>21.810935546876177</x:v>
      </x:c>
      <x:c r="O8" s="58" t="n">
        <x:v>3</x:v>
      </x:c>
      <x:c r="P8" s="58" t="n">
        <x:v>21.884486904071554</x:v>
      </x:c>
      <x:c r="Q8" s="58" t="n">
        <x:v>21.884486904071554</x:v>
      </x:c>
      <x:c r="R8" s="58" t="n">
        <x:v>0.37780003514193794</x:v>
      </x:c>
      <x:c r="S8" s="58" t="n">
        <x:v>1</x:v>
      </x:c>
      <x:c r="T8" s="58" t="n">
        <x:v>1</x:v>
      </x:c>
      <x:c r="U8" s="58" t="n">
        <x:v>0.03194118849680517</x:v>
      </x:c>
      <x:c r="V8" s="58" t="str">
        <x:v>0.8031687185572721</x:v>
      </x:c>
      <x:c r="W8" s="58" t="n">
        <x:v>0</x:v>
      </x:c>
      <x:c r="X8" s="58" t="n">
        <x:v>3.283619207811416</x:v>
      </x:c>
      <x:c r="Y8" s="58" t="n">
        <x:v>2.905819172669478</x:v>
      </x:c>
      <x:c r="Z8" s="58" t="n">
        <x:v>0.6127004727357948</x:v>
      </x:c>
      <x:c r="AA8" s="59" t="n">
        <x:v>0.029614323335435157</x:v>
      </x:c>
    </x:row>
    <x:row r="9">
      <x:c r="A9" s="57" t="str">
        <x:v>S09_HDH</x:v>
      </x:c>
      <x:c r="B9" s="58" t="str">
        <x:v>S02</x:v>
      </x:c>
      <x:c r="C9" s="58" t="str">
        <x:v>POST_EXERCISE</x:v>
      </x:c>
      <x:c r="D9" s="58" t="str"/>
      <x:c r="E9" s="58" t="n">
        <x:v>584.862</x:v>
      </x:c>
      <x:c r="F9" s="58" t="n">
        <x:v>634.862</x:v>
      </x:c>
      <x:c r="G9" s="58" t="n">
        <x:v>50</x:v>
      </x:c>
      <x:c r="H9" s="58" t="n">
        <x:v>13.804994148803555</x:v>
      </x:c>
      <x:c r="I9" s="58" t="n">
        <x:v>15.999591013224277</x:v>
      </x:c>
      <x:c r="J9" s="58" t="n">
        <x:v>11.483685257868462</x:v>
      </x:c>
      <x:c r="K9" s="58" t="n">
        <x:v>10.717028259713812</x:v>
      </x:c>
      <x:c r="L9" s="58" t="n">
        <x:v>16.000947896907878</x:v>
      </x:c>
      <x:c r="M9" s="58" t="n">
        <x:v>11.598241691995499</x:v>
      </x:c>
      <x:c r="N9" s="58" t="n">
        <x:v>10.502264442800461</x:v>
      </x:c>
      <x:c r="O9" s="58" t="n">
        <x:v>2</x:v>
      </x:c>
      <x:c r="P9" s="58" t="n">
        <x:v>11.483685257868462</x:v>
      </x:c>
      <x:c r="Q9" s="58" t="n">
        <x:v>11.483685257868462</x:v>
      </x:c>
      <x:c r="R9" s="58" t="n">
        <x:v>0.7666569981546498</x:v>
      </x:c>
      <x:c r="S9" s="58" t="n">
        <x:v>1</x:v>
      </x:c>
      <x:c r="T9" s="58" t="n">
        <x:v>1</x:v>
      </x:c>
      <x:c r="U9" s="58" t="n">
        <x:v>0.034340075778692955</x:v>
      </x:c>
      <x:c r="V9" s="58" t="str">
        <x:v>0.7365092092312489</x:v>
      </x:c>
      <x:c r="W9" s="58" t="n">
        <x:v>0</x:v>
      </x:c>
      <x:c r="X9" s="58" t="n">
        <x:v>2.321308890935093</x:v>
      </x:c>
      <x:c r="Y9" s="58" t="n">
        <x:v>2.1945968644207223</x:v>
      </x:c>
      <x:c r="Z9" s="58" t="n">
        <x:v>0.22611498147196799</x:v>
      </x:c>
      <x:c r="AA9" s="59" t="n">
        <x:v>0.032433695570086504</x:v>
      </x:c>
    </x:row>
    <x:row r="10">
      <x:c r="A10" s="57" t="str">
        <x:v>S26_LDW</x:v>
      </x:c>
      <x:c r="B10" s="58" t="str">
        <x:v>S01</x:v>
      </x:c>
      <x:c r="C10" s="58" t="str">
        <x:v>FACE_R1</x:v>
      </x:c>
      <x:c r="D10" s="58" t="n">
        <x:v>1</x:v>
      </x:c>
      <x:c r="E10" s="58" t="n">
        <x:v>24.716</x:v>
      </x:c>
      <x:c r="F10" s="58" t="n">
        <x:v>75.4</x:v>
      </x:c>
      <x:c r="G10" s="58" t="n">
        <x:v>50.684</x:v>
      </x:c>
      <x:c r="H10" s="58" t="n">
        <x:v>25.774623936147602</x:v>
      </x:c>
      <x:c r="I10" s="58" t="n">
        <x:v>24.062546781402702</x:v>
      </x:c>
      <x:c r="J10" s="58" t="n">
        <x:v>26.62496556326612</x:v>
      </x:c>
      <x:c r="K10" s="58" t="n">
        <x:v>11.159691873889631</x:v>
      </x:c>
      <x:c r="L10" s="58" t="n">
        <x:v>24.059088999595723</x:v>
      </x:c>
      <x:c r="M10" s="58" t="n">
        <x:v>26.573397892925364</x:v>
      </x:c>
      <x:c r="N10" s="58" t="n">
        <x:v>11.660496860743542</x:v>
      </x:c>
      <x:c r="O10" s="58" t="n">
        <x:v>1</x:v>
      </x:c>
      <x:c r="P10" s="58" t="n">
        <x:v>24.062546781402702</x:v>
      </x:c>
      <x:c r="Q10" s="58" t="n">
        <x:v>24.062546781402702</x:v>
      </x:c>
      <x:c r="R10" s="58" t="n">
        <x:v>2.5624187818634176</x:v>
      </x:c>
      <x:c r="S10" s="58" t="n">
        <x:v>1</x:v>
      </x:c>
      <x:c r="T10" s="58" t="n">
        <x:v>1</x:v>
      </x:c>
      <x:c r="U10" s="58" t="n">
        <x:v>0.030048665066515247</x:v>
      </x:c>
      <x:c r="V10" s="58" t="str">
        <x:v>0.6273739154457766</x:v>
      </x:c>
      <x:c r="W10" s="58" t="n">
        <x:v>0</x:v>
      </x:c>
      <x:c r="X10" s="58" t="n">
        <x:v>1.7120771547449003</x:v>
      </x:c>
      <x:c r="Y10" s="58" t="n">
        <x:v>0.8503416271185174</x:v>
      </x:c>
      <x:c r="Z10" s="58" t="n">
        <x:v>0.5457736911395376</x:v>
      </x:c>
      <x:c r="AA10" s="59" t="n">
        <x:v>0.025856246632202973</x:v>
      </x:c>
    </x:row>
    <x:row r="11">
      <x:c r="A11" s="57" t="str">
        <x:v>S23_KDM</x:v>
      </x:c>
      <x:c r="B11" s="58" t="str">
        <x:v>S02</x:v>
      </x:c>
      <x:c r="C11" s="58" t="str">
        <x:v>POST_EXERCISE</x:v>
      </x:c>
      <x:c r="D11" s="58" t="str"/>
      <x:c r="E11" s="58" t="n">
        <x:v>541.608</x:v>
      </x:c>
      <x:c r="F11" s="58" t="n">
        <x:v>591.608</x:v>
      </x:c>
      <x:c r="G11" s="58" t="n">
        <x:v>50</x:v>
      </x:c>
      <x:c r="H11" s="58" t="n">
        <x:v>38.4521484375</x:v>
      </x:c>
      <x:c r="I11" s="58" t="n">
        <x:v>37.41243919566688</x:v>
      </x:c>
      <x:c r="J11" s="58" t="n">
        <x:v>37.12949834047062</x:v>
      </x:c>
      <x:c r="K11" s="58" t="n">
        <x:v>10.840062769538322</x:v>
      </x:c>
      <x:c r="L11" s="58" t="n">
        <x:v>37.45832570488838</x:v>
      </x:c>
      <x:c r="M11" s="58" t="n">
        <x:v>37.21307075253521</x:v>
      </x:c>
      <x:c r="N11" s="58" t="n">
        <x:v>10.838904756324379</x:v>
      </x:c>
      <x:c r="O11" s="58" t="n">
        <x:v>2</x:v>
      </x:c>
      <x:c r="P11" s="58" t="n">
        <x:v>37.12949834047062</x:v>
      </x:c>
      <x:c r="Q11" s="58" t="n">
        <x:v>37.12949834047062</x:v>
      </x:c>
      <x:c r="R11" s="58" t="n">
        <x:v>0.28294085519625867</x:v>
      </x:c>
      <x:c r="S11" s="58" t="n">
        <x:v>1</x:v>
      </x:c>
      <x:c r="T11" s="58" t="n">
        <x:v>1</x:v>
      </x:c>
      <x:c r="U11" s="58" t="n">
        <x:v>0.032253724197940925</x:v>
      </x:c>
      <x:c r="V11" s="58" t="str">
        <x:v>0.8200233397538171</x:v>
      </x:c>
      <x:c r="W11" s="58" t="n">
        <x:v>0</x:v>
      </x:c>
      <x:c r="X11" s="58" t="n">
        <x:v>1.3226500970293813</x:v>
      </x:c>
      <x:c r="Y11" s="58" t="n">
        <x:v>1.0397092418331226</x:v>
      </x:c>
      <x:c r="Z11" s="58" t="n">
        <x:v>0.2604050903854685</x:v>
      </x:c>
      <x:c r="AA11" s="59" t="n">
        <x:v>0.03215665084121764</x:v>
      </x:c>
    </x:row>
    <x:row r="12">
      <x:c r="A12" s="57" t="str">
        <x:v>S07_KDM</x:v>
      </x:c>
      <x:c r="B12" s="58" t="str">
        <x:v>S02</x:v>
      </x:c>
      <x:c r="C12" s="58" t="str">
        <x:v>NORMAL</x:v>
      </x:c>
      <x:c r="D12" s="58" t="str"/>
      <x:c r="E12" s="58" t="n">
        <x:v>286.189</x:v>
      </x:c>
      <x:c r="F12" s="58" t="n">
        <x:v>336.189</x:v>
      </x:c>
      <x:c r="G12" s="58" t="n">
        <x:v>50</x:v>
      </x:c>
      <x:c r="H12" s="58" t="n">
        <x:v>15.587172268442544</x:v>
      </x:c>
      <x:c r="I12" s="58" t="n">
        <x:v>16.20164724158091</x:v>
      </x:c>
      <x:c r="J12" s="58" t="n">
        <x:v>14.084959786786701</x:v>
      </x:c>
      <x:c r="K12" s="58" t="n">
        <x:v>16.27212675831719</x:v>
      </x:c>
      <x:c r="L12" s="58" t="n">
        <x:v>16.272526510586474</x:v>
      </x:c>
      <x:c r="M12" s="58" t="n">
        <x:v>14.146642825514505</x:v>
      </x:c>
      <x:c r="N12" s="58" t="n">
        <x:v>16.28030935764356</x:v>
      </x:c>
      <x:c r="O12" s="58" t="n">
        <x:v>3</x:v>
      </x:c>
      <x:c r="P12" s="58" t="n">
        <x:v>16.27212675831719</x:v>
      </x:c>
      <x:c r="Q12" s="58" t="n">
        <x:v>16.20164724158091</x:v>
      </x:c>
      <x:c r="R12" s="58" t="n">
        <x:v>0.0704795167362775</x:v>
      </x:c>
      <x:c r="S12" s="58" t="n">
        <x:v>1</x:v>
      </x:c>
      <x:c r="T12" s="58" t="n">
        <x:v>1</x:v>
      </x:c>
      <x:c r="U12" s="58" t="n">
        <x:v>0.031215165356372532</x:v>
      </x:c>
      <x:c r="V12" s="58" t="str">
        <x:v>0.8547197311618137</x:v>
      </x:c>
      <x:c r="W12" s="58" t="n">
        <x:v>0</x:v>
      </x:c>
      <x:c r="X12" s="58" t="n">
        <x:v>0.6144749731383676</x:v>
      </x:c>
      <x:c r="Y12" s="58" t="n">
        <x:v>0.6144749731383676</x:v>
      </x:c>
      <x:c r="Z12" s="58" t="n">
        <x:v>0.6764105409752806</x:v>
      </x:c>
      <x:c r="AA12" s="59" t="n">
        <x:v>0.030431162667533193</x:v>
      </x:c>
    </x:row>
    <x:row r="13">
      <x:c r="A13" s="57" t="str">
        <x:v>S23_KDM</x:v>
      </x:c>
      <x:c r="B13" s="58" t="str">
        <x:v>S01</x:v>
      </x:c>
      <x:c r="C13" s="58" t="str">
        <x:v>FACE_R2</x:v>
      </x:c>
      <x:c r="D13" s="58" t="n">
        <x:v>2</x:v>
      </x:c>
      <x:c r="E13" s="58" t="n">
        <x:v>82.5</x:v>
      </x:c>
      <x:c r="F13" s="58" t="n">
        <x:v>134.7</x:v>
      </x:c>
      <x:c r="G13" s="58" t="n">
        <x:v>52.2</x:v>
      </x:c>
      <x:c r="H13" s="58" t="n">
        <x:v>12.367003512586832</x:v>
      </x:c>
      <x:c r="I13" s="58" t="n">
        <x:v>11.856507535952048</x:v>
      </x:c>
      <x:c r="J13" s="58" t="n">
        <x:v>11.873550960722692</x:v>
      </x:c>
      <x:c r="K13" s="58" t="n">
        <x:v>11.831706663225967</x:v>
      </x:c>
      <x:c r="L13" s="58" t="n">
        <x:v>11.920245013251687</x:v>
      </x:c>
      <x:c r="M13" s="58" t="n">
        <x:v>11.895547257390211</x:v>
      </x:c>
      <x:c r="N13" s="58" t="n">
        <x:v>11.819984674491243</x:v>
      </x:c>
      <x:c r="O13" s="58" t="n">
        <x:v>3</x:v>
      </x:c>
      <x:c r="P13" s="58" t="n">
        <x:v>11.831706663225967</x:v>
      </x:c>
      <x:c r="Q13" s="58" t="n">
        <x:v>11.856507535952048</x:v>
      </x:c>
      <x:c r="R13" s="58" t="n">
        <x:v>0.017043424770644577</x:v>
      </x:c>
      <x:c r="S13" s="58" t="n">
        <x:v>1</x:v>
      </x:c>
      <x:c r="T13" s="58" t="n">
        <x:v>1</x:v>
      </x:c>
      <x:c r="U13" s="58" t="n">
        <x:v>0.028441037545774095</x:v>
      </x:c>
      <x:c r="V13" s="58" t="str">
        <x:v>0.860650830913897</x:v>
      </x:c>
      <x:c r="W13" s="58" t="n">
        <x:v>0</x:v>
      </x:c>
      <x:c r="X13" s="58" t="n">
        <x:v>0.5104959766347843</x:v>
      </x:c>
      <x:c r="Y13" s="58" t="n">
        <x:v>0.4934525518641397</x:v>
      </x:c>
      <x:c r="Z13" s="58" t="n">
        <x:v>0.7187306710697517</x:v>
      </x:c>
      <x:c r="AA13" s="59" t="n">
        <x:v>0.027401737646689607</x:v>
      </x:c>
    </x:row>
    <x:row r="14">
      <x:c r="A14" s="57" t="str">
        <x:v>S21_PSJ</x:v>
      </x:c>
      <x:c r="B14" s="58" t="str">
        <x:v>S01</x:v>
      </x:c>
      <x:c r="C14" s="58" t="str">
        <x:v>FACE_R2</x:v>
      </x:c>
      <x:c r="D14" s="58" t="n">
        <x:v>2</x:v>
      </x:c>
      <x:c r="E14" s="58" t="n">
        <x:v>86.4</x:v>
      </x:c>
      <x:c r="F14" s="58" t="n">
        <x:v>138.4</x:v>
      </x:c>
      <x:c r="G14" s="58" t="n">
        <x:v>52</x:v>
      </x:c>
      <x:c r="H14" s="58" t="n">
        <x:v>11.079927420085959</x:v>
      </x:c>
      <x:c r="I14" s="58" t="n">
        <x:v>11.486133530631054</x:v>
      </x:c>
      <x:c r="J14" s="58" t="n">
        <x:v>11.475879684748612</x:v>
      </x:c>
      <x:c r="K14" s="58" t="n">
        <x:v>10.977337870239364</x:v>
      </x:c>
      <x:c r="L14" s="58" t="n">
        <x:v>11.300147560009325</x:v>
      </x:c>
      <x:c r="M14" s="58" t="n">
        <x:v>11.335646183733402</x:v>
      </x:c>
      <x:c r="N14" s="58" t="n">
        <x:v>11.043783505657572</x:v>
      </x:c>
      <x:c r="O14" s="58" t="n">
        <x:v>2</x:v>
      </x:c>
      <x:c r="P14" s="58" t="n">
        <x:v>11.475879684748612</x:v>
      </x:c>
      <x:c r="Q14" s="58" t="n">
        <x:v>11.475879684748612</x:v>
      </x:c>
      <x:c r="R14" s="58" t="n">
        <x:v>0.010253845882441937</x:v>
      </x:c>
      <x:c r="S14" s="58" t="n">
        <x:v>1</x:v>
      </x:c>
      <x:c r="T14" s="58" t="n">
        <x:v>1</x:v>
      </x:c>
      <x:c r="U14" s="58" t="n">
        <x:v>0.033169637596053014</x:v>
      </x:c>
      <x:c r="V14" s="58" t="str">
        <x:v>0.8681669703629916</x:v>
      </x:c>
      <x:c r="W14" s="58" t="n">
        <x:v>0</x:v>
      </x:c>
      <x:c r="X14" s="58" t="n">
        <x:v>0.3959522646626539</x:v>
      </x:c>
      <x:c r="Y14" s="58" t="n">
        <x:v>0.10258954984659496</x:v>
      </x:c>
      <x:c r="Z14" s="58" t="n">
        <x:v>0.7332382898033057</x:v>
      </x:c>
      <x:c r="AA14" s="59" t="n">
        <x:v>0.02760142870048505</x:v>
      </x:c>
    </x:row>
    <x:row r="15">
      <x:c r="A15" s="57" t="str">
        <x:v>S23_KDM</x:v>
      </x:c>
      <x:c r="B15" s="58" t="str">
        <x:v>S01</x:v>
      </x:c>
      <x:c r="C15" s="58" t="str">
        <x:v>FACE_R3</x:v>
      </x:c>
      <x:c r="D15" s="58" t="n">
        <x:v>3</x:v>
      </x:c>
      <x:c r="E15" s="58" t="n">
        <x:v>144.7</x:v>
      </x:c>
      <x:c r="F15" s="58" t="n">
        <x:v>207.8</x:v>
      </x:c>
      <x:c r="G15" s="58" t="n">
        <x:v>63.1</x:v>
      </x:c>
      <x:c r="H15" s="58" t="n">
        <x:v>10.79733977521659</x:v>
      </x:c>
      <x:c r="I15" s="58" t="n">
        <x:v>10.899355599361748</x:v>
      </x:c>
      <x:c r="J15" s="58" t="n">
        <x:v>11.005978881591124</x:v>
      </x:c>
      <x:c r="K15" s="58" t="n">
        <x:v>11.15271784113259</x:v>
      </x:c>
      <x:c r="L15" s="58" t="n">
        <x:v>10.910502390037665</x:v>
      </x:c>
      <x:c r="M15" s="58" t="n">
        <x:v>10.935518558303533</x:v>
      </x:c>
      <x:c r="N15" s="58" t="n">
        <x:v>11.227133561020347</x:v>
      </x:c>
      <x:c r="O15" s="58" t="n">
        <x:v>3</x:v>
      </x:c>
      <x:c r="P15" s="58" t="n">
        <x:v>11.15271784113259</x:v>
      </x:c>
      <x:c r="Q15" s="58" t="n">
        <x:v>11.15271784113259</x:v>
      </x:c>
      <x:c r="R15" s="58" t="n">
        <x:v>0.10662328222937667</x:v>
      </x:c>
      <x:c r="S15" s="58" t="n">
        <x:v>0.9216755039540637</x:v>
      </x:c>
      <x:c r="T15" s="58" t="n">
        <x:v>1</x:v>
      </x:c>
      <x:c r="U15" s="58" t="n">
        <x:v>0.03306580411326561</x:v>
      </x:c>
      <x:c r="V15" s="58" t="str">
        <x:v>0.8579866493187642</x:v>
      </x:c>
      <x:c r="W15" s="58" t="n">
        <x:v>0</x:v>
      </x:c>
      <x:c r="X15" s="58" t="n">
        <x:v>0.35537806591599974</x:v>
      </x:c>
      <x:c r="Y15" s="58" t="n">
        <x:v>0.1020158241451572</x:v>
      </x:c>
      <x:c r="Z15" s="58" t="n">
        <x:v>0.529853211688789</x:v>
      </x:c>
      <x:c r="AA15" s="59" t="n">
        <x:v>0.029165901137452908</x:v>
      </x:c>
    </x:row>
    <x:row r="16">
      <x:c r="A16" s="57" t="str">
        <x:v>S21_PSJ</x:v>
      </x:c>
      <x:c r="B16" s="58" t="str">
        <x:v>S02</x:v>
      </x:c>
      <x:c r="C16" s="58" t="str">
        <x:v>POST_EXERCISE</x:v>
      </x:c>
      <x:c r="D16" s="58" t="str"/>
      <x:c r="E16" s="58" t="n">
        <x:v>548.808</x:v>
      </x:c>
      <x:c r="F16" s="58" t="n">
        <x:v>598.808</x:v>
      </x:c>
      <x:c r="G16" s="58" t="n">
        <x:v>50</x:v>
      </x:c>
      <x:c r="H16" s="58" t="n">
        <x:v>27.324089713857973</x:v>
      </x:c>
      <x:c r="I16" s="58" t="n">
        <x:v>27.757629749467277</x:v>
      </x:c>
      <x:c r="J16" s="58" t="n">
        <x:v>27.515833204995296</x:v>
      </x:c>
      <x:c r="K16" s="58" t="n">
        <x:v>27.671730580376547</x:v>
      </x:c>
      <x:c r="L16" s="58" t="n">
        <x:v>27.722172873800524</x:v>
      </x:c>
      <x:c r="M16" s="58" t="n">
        <x:v>27.556164348723847</x:v>
      </x:c>
      <x:c r="N16" s="58" t="n">
        <x:v>27.68362938190361</x:v>
      </x:c>
      <x:c r="O16" s="58" t="n">
        <x:v>3</x:v>
      </x:c>
      <x:c r="P16" s="58" t="n">
        <x:v>27.671730580376547</x:v>
      </x:c>
      <x:c r="Q16" s="58" t="n">
        <x:v>27.671730580376547</x:v>
      </x:c>
      <x:c r="R16" s="58" t="n">
        <x:v>0.08589916909073025</x:v>
      </x:c>
      <x:c r="S16" s="58" t="n">
        <x:v>1</x:v>
      </x:c>
      <x:c r="T16" s="58" t="n">
        <x:v>1</x:v>
      </x:c>
      <x:c r="U16" s="58" t="n">
        <x:v>0.03197165161701903</x:v>
      </x:c>
      <x:c r="V16" s="58" t="str">
        <x:v>0.8866767068315965</x:v>
      </x:c>
      <x:c r="W16" s="58" t="n">
        <x:v>0</x:v>
      </x:c>
      <x:c r="X16" s="58" t="n">
        <x:v>0.3476408665185744</x:v>
      </x:c>
      <x:c r="Y16" s="58" t="n">
        <x:v>0.19174349113732347</x:v>
      </x:c>
      <x:c r="Z16" s="58" t="n">
        <x:v>0.9439289515523863</x:v>
      </x:c>
      <x:c r="AA16" s="59" t="n">
        <x:v>0.03187660352662712</x:v>
      </x:c>
    </x:row>
    <x:row r="17">
      <x:c r="A17" s="57" t="str">
        <x:v>S07_KDM</x:v>
      </x:c>
      <x:c r="B17" s="58" t="str">
        <x:v>S01</x:v>
      </x:c>
      <x:c r="C17" s="58" t="str">
        <x:v>FACE_R2</x:v>
      </x:c>
      <x:c r="D17" s="58" t="n">
        <x:v>2</x:v>
      </x:c>
      <x:c r="E17" s="58" t="n">
        <x:v>89.4</x:v>
      </x:c>
      <x:c r="F17" s="58" t="n">
        <x:v>141.3</x:v>
      </x:c>
      <x:c r="G17" s="58" t="n">
        <x:v>51.9</x:v>
      </x:c>
      <x:c r="H17" s="58" t="n">
        <x:v>17.2789657455842</x:v>
      </x:c>
      <x:c r="I17" s="58" t="n">
        <x:v>16.952713572034632</x:v>
      </x:c>
      <x:c r="J17" s="58" t="n">
        <x:v>17.04348355862716</x:v>
      </x:c>
      <x:c r="K17" s="58" t="n">
        <x:v>16.87143726587806</x:v>
      </x:c>
      <x:c r="L17" s="58" t="n">
        <x:v>16.982492146348886</x:v>
      </x:c>
      <x:c r="M17" s="58" t="n">
        <x:v>17.21688947771315</x:v>
      </x:c>
      <x:c r="N17" s="58" t="n">
        <x:v>16.790587485144968</x:v>
      </x:c>
      <x:c r="O17" s="58" t="n">
        <x:v>1</x:v>
      </x:c>
      <x:c r="P17" s="58" t="n">
        <x:v>16.952713572034632</x:v>
      </x:c>
      <x:c r="Q17" s="58" t="n">
        <x:v>16.952713572034632</x:v>
      </x:c>
      <x:c r="R17" s="58" t="n">
        <x:v>0.08127630615657111</x:v>
      </x:c>
      <x:c r="S17" s="58" t="n">
        <x:v>1</x:v>
      </x:c>
      <x:c r="T17" s="58" t="n">
        <x:v>1</x:v>
      </x:c>
      <x:c r="U17" s="58" t="n">
        <x:v>0.029611613500613445</x:v>
      </x:c>
      <x:c r="V17" s="58" t="str">
        <x:v>0.8486230480034661</x:v>
      </x:c>
      <x:c r="W17" s="58" t="n">
        <x:v>0</x:v>
      </x:c>
      <x:c r="X17" s="58" t="n">
        <x:v>0.32625217354956604</x:v>
      </x:c>
      <x:c r="Y17" s="58" t="n">
        <x:v>0.23548218695703937</x:v>
      </x:c>
      <x:c r="Z17" s="58" t="n">
        <x:v>0.8561604306077043</x:v>
      </x:c>
      <x:c r="AA17" s="59" t="n">
        <x:v>0.028282656098357093</x:v>
      </x:c>
    </x:row>
    <x:row r="18">
      <x:c r="A18" s="57" t="str">
        <x:v>S26_LDW</x:v>
      </x:c>
      <x:c r="B18" s="58" t="str">
        <x:v>S01</x:v>
      </x:c>
      <x:c r="C18" s="58" t="str">
        <x:v>FACE_R3</x:v>
      </x:c>
      <x:c r="D18" s="58" t="n">
        <x:v>3</x:v>
      </x:c>
      <x:c r="E18" s="58" t="n">
        <x:v>146.3</x:v>
      </x:c>
      <x:c r="F18" s="58" t="n">
        <x:v>201.844</x:v>
      </x:c>
      <x:c r="G18" s="58" t="n">
        <x:v>55.544</x:v>
      </x:c>
      <x:c r="H18" s="58" t="n">
        <x:v>23.7393415605993</x:v>
      </x:c>
      <x:c r="I18" s="58" t="n">
        <x:v>23.822065365949253</x:v>
      </x:c>
      <x:c r="J18" s="58" t="n">
        <x:v>23.996099223307656</x:v>
      </x:c>
      <x:c r="K18" s="58" t="n">
        <x:v>23.927809693402292</x:v>
      </x:c>
      <x:c r="L18" s="58" t="n">
        <x:v>23.896817043427212</x:v>
      </x:c>
      <x:c r="M18" s="58" t="n">
        <x:v>23.991595469264762</x:v>
      </x:c>
      <x:c r="N18" s="58" t="n">
        <x:v>24.01552363303195</x:v>
      </x:c>
      <x:c r="O18" s="58" t="n">
        <x:v>2</x:v>
      </x:c>
      <x:c r="P18" s="58" t="n">
        <x:v>23.996099223307656</x:v>
      </x:c>
      <x:c r="Q18" s="58" t="n">
        <x:v>23.996099223307656</x:v>
      </x:c>
      <x:c r="R18" s="58" t="n">
        <x:v>0.06828952990536408</x:v>
      </x:c>
      <x:c r="S18" s="58" t="n">
        <x:v>1</x:v>
      </x:c>
      <x:c r="T18" s="58" t="n">
        <x:v>1</x:v>
      </x:c>
      <x:c r="U18" s="58" t="n">
        <x:v>0.028583749729787528</x:v>
      </x:c>
      <x:c r="V18" s="58" t="str">
        <x:v>0.8721101775812391</x:v>
      </x:c>
      <x:c r="W18" s="58" t="n">
        <x:v>0</x:v>
      </x:c>
      <x:c r="X18" s="58" t="n">
        <x:v>0.2567576627083561</x:v>
      </x:c>
      <x:c r="Y18" s="58" t="n">
        <x:v>0.0827238053499535</x:v>
      </x:c>
      <x:c r="Z18" s="58" t="n">
        <x:v>0.6478800430753829</x:v>
      </x:c>
      <x:c r="AA18" s="59" t="n">
        <x:v>0.027421955368133823</x:v>
      </x:c>
    </x:row>
    <x:row r="19">
      <x:c r="A19" s="60" t="str">
        <x:v>S09_HDH</x:v>
      </x:c>
      <x:c r="B19" s="61" t="str">
        <x:v>S01</x:v>
      </x:c>
      <x:c r="C19" s="61" t="str">
        <x:v>FACE_R2</x:v>
      </x:c>
      <x:c r="D19" s="61" t="n">
        <x:v>2</x:v>
      </x:c>
      <x:c r="E19" s="61" t="n">
        <x:v>90.9</x:v>
      </x:c>
      <x:c r="F19" s="61" t="n">
        <x:v>141.9</x:v>
      </x:c>
      <x:c r="G19" s="61" t="n">
        <x:v>51</x:v>
      </x:c>
      <x:c r="H19" s="61" t="n">
        <x:v>16.80295708097985</x:v>
      </x:c>
      <x:c r="I19" s="61" t="n">
        <x:v>16.761511801111677</x:v>
      </x:c>
      <x:c r="J19" s="61" t="n">
        <x:v>16.59218530378646</x:v>
      </x:c>
      <x:c r="K19" s="61" t="n">
        <x:v>16.532136029193573</x:v>
      </x:c>
      <x:c r="L19" s="61" t="n">
        <x:v>16.929712395436265</x:v>
      </x:c>
      <x:c r="M19" s="61" t="n">
        <x:v>17.165255858630353</x:v>
      </x:c>
      <x:c r="N19" s="61" t="n">
        <x:v>16.601414404600906</x:v>
      </x:c>
      <x:c r="O19" s="61" t="n">
        <x:v>3</x:v>
      </x:c>
      <x:c r="P19" s="61" t="n">
        <x:v>16.532136029193573</x:v>
      </x:c>
      <x:c r="Q19" s="61" t="n">
        <x:v>16.59218530378646</x:v>
      </x:c>
      <x:c r="R19" s="61" t="n">
        <x:v>0.060049274592888224</x:v>
      </x:c>
      <x:c r="S19" s="61" t="n">
        <x:v>1</x:v>
      </x:c>
      <x:c r="T19" s="61" t="n">
        <x:v>1</x:v>
      </x:c>
      <x:c r="U19" s="61" t="n">
        <x:v>0.028333323844759426</x:v>
      </x:c>
      <x:c r="V19" s="61" t="str">
        <x:v>0.8699417531824182</x:v>
      </x:c>
      <x:c r="W19" s="61" t="n">
        <x:v>0</x:v>
      </x:c>
      <x:c r="X19" s="61" t="n">
        <x:v>0.2107717771933899</x:v>
      </x:c>
      <x:c r="Y19" s="61" t="n">
        <x:v>0.04144527986817437</x:v>
      </x:c>
      <x:c r="Z19" s="61" t="n">
        <x:v>0.740343182738645</x:v>
      </x:c>
      <x:c r="AA19" s="62" t="n">
        <x:v>0.027165917403763618</x:v>
      </x:c>
    </x:row>
  </x:sheetData>
  <x:mergeCells>
    <x:mergeCell ref="A1:AJ1"/>
    <x:mergeCell ref="A2:AJ2"/>
  </x:mergeCells>
  <x:pageMargins left="0.7" right="0.7" top="0.75" bottom="0.75" header="0.3" footer="0.3"/>
  <x:drawing xmlns:r="http://schemas.openxmlformats.org/officeDocument/2006/relationships" r:id="Red25b9c6160e4184"/>
  <x:tableParts count="1">
    <x:tablePart xmlns:r="http://schemas.openxmlformats.org/officeDocument/2006/relationships" r:id="Rab686edb355641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4" hidden="0" customWidth="1"/>
    <x:col min="4" max="4" width="62" hidden="0" customWidth="1"/>
  </x:cols>
  <x:sheetData>
    <x:row r="1" ht="34" customHeight="1">
      <x:c r="A1" s="3" t="str">
        <x:v>동결할 신호처리·거절 설정값</x:v>
      </x:c>
    </x:row>
    <x:row r="2" ht="26" customHeight="1">
      <x:c r="A2" s="7" t="str">
        <x:v>독립검증군을 실행하기 전에 아래 값을 변경하지 않는 것이 원칙입니다.</x:v>
      </x:c>
    </x:row>
    <x:row r="4" ht="28" customHeight="1">
      <x:c r="A4" s="63" t="str">
        <x:v>group</x:v>
      </x:c>
      <x:c r="B4" s="64" t="str">
        <x:v>parameter</x:v>
      </x:c>
      <x:c r="C4" s="64" t="str">
        <x:v>value</x:v>
      </x:c>
      <x:c r="D4" s="65" t="str">
        <x:v>basis</x:v>
      </x:c>
    </x:row>
    <x:row r="5">
      <x:c r="A5" s="57" t="str">
        <x:v>신호</x:v>
      </x:c>
      <x:c r="B5" s="58" t="str">
        <x:v>radar_fs_hz</x:v>
      </x:c>
      <x:c r="C5" s="58" t="n">
        <x:v>40</x:v>
      </x:c>
      <x:c r="D5" s="59" t="str">
        <x:v>원시 레이더 설정</x:v>
      </x:c>
    </x:row>
    <x:row r="6">
      <x:c r="A6" s="57" t="str">
        <x:v>신호</x:v>
      </x:c>
      <x:c r="B6" s="58" t="str">
        <x:v>range_bins</x:v>
      </x:c>
      <x:c r="C6" s="58" t="n">
        <x:v>92</x:v>
      </x:c>
      <x:c r="D6" s="59" t="str">
        <x:v>I/Q 184개=92쌍</x:v>
      </x:c>
    </x:row>
    <x:row r="7">
      <x:c r="A7" s="57" t="str">
        <x:v>호흡대역</x:v>
      </x:c>
      <x:c r="B7" s="58" t="str">
        <x:v>S01/NORMAL low-high</x:v>
      </x:c>
      <x:c r="C7" s="58" t="str">
        <x:v>0.15-0.45/0.50 Hz</x:v>
      </x:c>
      <x:c r="D7" s="59" t="str">
        <x:v>정상 호흡 프로토콜 및 drift 억제</x:v>
      </x:c>
    </x:row>
    <x:row r="8">
      <x:c r="A8" s="57" t="str">
        <x:v>호흡대역</x:v>
      </x:c>
      <x:c r="B8" s="58" t="str">
        <x:v>SLOW low-high</x:v>
      </x:c>
      <x:c r="C8" s="58" t="str">
        <x:v>0.07-0.40 Hz</x:v>
      </x:c>
      <x:c r="D8" s="59" t="str">
        <x:v>유도된 느린 호흡 허용</x:v>
      </x:c>
    </x:row>
    <x:row r="9">
      <x:c r="A9" s="57" t="str">
        <x:v>호흡대역</x:v>
      </x:c>
      <x:c r="B9" s="58" t="str">
        <x:v>POST_HOLD</x:v>
      </x:c>
      <x:c r="C9" s="58" t="str">
        <x:v>0.15-0.55 Hz</x:v>
      </x:c>
      <x:c r="D9" s="59" t="str">
        <x:v>회복 호흡</x:v>
      </x:c>
    </x:row>
    <x:row r="10">
      <x:c r="A10" s="57" t="str">
        <x:v>호흡대역</x:v>
      </x:c>
      <x:c r="B10" s="58" t="str">
        <x:v>POST_EXERCISE</x:v>
      </x:c>
      <x:c r="C10" s="58" t="str">
        <x:v>0.15-0.65 Hz</x:v>
      </x:c>
      <x:c r="D10" s="59" t="str">
        <x:v>운동 후 빠른 호흡</x:v>
      </x:c>
    </x:row>
    <x:row r="11">
      <x:c r="A11" s="57" t="str">
        <x:v>경로</x:v>
      </x:c>
      <x:c r="B11" s="58" t="str">
        <x:v>보조 후보 bin separation</x:v>
      </x:c>
      <x:c r="C11" s="58" t="str">
        <x:v>&gt;=4 bins</x:v>
      </x:c>
      <x:c r="D11" s="59" t="str">
        <x:v>인접 bin 중복 억제</x:v>
      </x:c>
    </x:row>
    <x:row r="12">
      <x:c r="A12" s="57" t="str">
        <x:v>경로</x:v>
      </x:c>
      <x:c r="B12" s="58" t="str">
        <x:v>보조 후보 RR difference</x:v>
      </x:c>
      <x:c r="C12" s="58" t="str">
        <x:v>&lt;=0.03 Hz</x:v>
      </x:c>
      <x:c r="D12" s="59" t="str">
        <x:v>동일 호흡원 후보</x:v>
      </x:c>
    </x:row>
    <x:row r="13">
      <x:c r="A13" s="57" t="str">
        <x:v>경로</x:v>
      </x:c>
      <x:c r="B13" s="58" t="str">
        <x:v>보조 후보 abs correlation</x:v>
      </x:c>
      <x:c r="C13" s="58" t="str">
        <x:v>&gt;=0.35</x:v>
      </x:c>
      <x:c r="D13" s="59" t="str">
        <x:v>파형 유사성</x:v>
      </x:c>
    </x:row>
    <x:row r="14">
      <x:c r="A14" s="57" t="str">
        <x:v>레이더융합</x:v>
      </x:c>
      <x:c r="B14" s="58" t="str">
        <x:v>outlier rejection</x:v>
      </x:c>
      <x:c r="C14" s="58" t="str">
        <x:v>median ±3 bpm</x:v>
      </x:c>
      <x:c r="D14" s="59" t="str">
        <x:v>세 레이더 합의</x:v>
      </x:c>
    </x:row>
    <x:row r="15">
      <x:c r="A15" s="57" t="str">
        <x:v>거절</x:v>
      </x:c>
      <x:c r="B15" s="58" t="str">
        <x:v>confidence</x:v>
      </x:c>
      <x:c r="C15" s="58" t="str">
        <x:v>&lt;0.58</x:v>
      </x:c>
      <x:c r="D15" s="59" t="str">
        <x:v>개발군 고정</x:v>
      </x:c>
    </x:row>
    <x:row r="16">
      <x:c r="A16" s="57" t="str">
        <x:v>거절</x:v>
      </x:c>
      <x:c r="B16" s="58" t="str">
        <x:v>radar RR MAD</x:v>
      </x:c>
      <x:c r="C16" s="58" t="str">
        <x:v>&gt;4 bpm</x:v>
      </x:c>
      <x:c r="D16" s="59" t="str">
        <x:v>레이더 불일치</x:v>
      </x:c>
    </x:row>
    <x:row r="17">
      <x:c r="A17" s="57" t="str">
        <x:v>거절</x:v>
      </x:c>
      <x:c r="B17" s="58" t="str">
        <x:v>max motion index</x:v>
      </x:c>
      <x:c r="C17" s="58" t="str">
        <x:v>&gt;0.055</x:v>
      </x:c>
      <x:c r="D17" s="59" t="str">
        <x:v>스쿼트 움직임 분리</x:v>
      </x:c>
    </x:row>
    <x:row r="18">
      <x:c r="A18" s="60" t="str">
        <x:v>거절</x:v>
      </x:c>
      <x:c r="B18" s="61" t="str">
        <x:v>non-slow edge quality</x:v>
      </x:c>
      <x:c r="C18" s="61" t="str">
        <x:v>&lt;0.25</x:v>
      </x:c>
      <x:c r="D18" s="62" t="str">
        <x:v>대역 하단 drift 피크 거절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8b1e9e99a6844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68" hidden="0" customWidth="1"/>
    <x:col min="4" max="4" width="50" hidden="0" customWidth="1"/>
  </x:cols>
  <x:sheetData>
    <x:row r="1" ht="34" customHeight="1">
      <x:c r="A1" s="3" t="str">
        <x:v>판단 및 변경 이력</x:v>
      </x:c>
    </x:row>
    <x:row r="2" ht="26" customHeight="1">
      <x:c r="A2" s="7" t="str">
        <x:v>무엇을 바꿨고 왜 바꿨는지, 결과에 어떤 영향을 주는지 기록합니다.</x:v>
      </x:c>
    </x:row>
    <x:row r="4" ht="28" customHeight="1">
      <x:c r="A4" s="63" t="str">
        <x:v>date</x:v>
      </x:c>
      <x:c r="B4" s="64" t="str">
        <x:v>decision</x:v>
      </x:c>
      <x:c r="C4" s="64" t="str">
        <x:v>basis</x:v>
      </x:c>
      <x:c r="D4" s="65" t="str">
        <x:v>impact</x:v>
      </x:c>
    </x:row>
    <x:row r="5">
      <x:c r="A5" s="57" t="str">
        <x:v>2026-09-01</x:v>
      </x:c>
      <x:c r="B5" s="58" t="str">
        <x:v>최종 목표 변경</x:v>
      </x:c>
      <x:c r="C5" s="58" t="str">
        <x:v>방향 분류를 최종 출력으로 두지 않고 방향 적응형 호흡수·파형·신뢰도 출력으로 전환</x:v>
      </x:c>
      <x:c r="D5" s="59" t="str">
        <x:v>기존 SNN은 파일럿으로 보관</x:v>
      </x:c>
    </x:row>
    <x:row r="6">
      <x:c r="A6" s="57" t="str">
        <x:v>2026-09-01</x:v>
      </x:c>
      <x:c r="B6" s="58" t="str">
        <x:v>10명 개발군 고정</x:v>
      </x:c>
      <x:c r="C6" s="58" t="str">
        <x:v>이미 결과를 본 참가자이므로 개발 전용</x:v>
      </x:c>
      <x:c r="D6" s="59" t="str">
        <x:v>나머지 17명은 규칙 동결 후 독립검증</x:v>
      </x:c>
    </x:row>
    <x:row r="7">
      <x:c r="A7" s="57" t="str">
        <x:v>2026-09-01</x:v>
      </x:c>
      <x:c r="B7" s="58" t="str">
        <x:v>S12 M04=646.804</x:v>
      </x:c>
      <x:c r="C7" s="58" t="str">
        <x:v>기존 764.472는 S02 494초; 대체 원후보 사용 시 376.356초</x:v>
      </x:c>
      <x:c r="D7" s="59" t="str">
        <x:v>S01·S02 공통 사용 가능</x:v>
      </x:c>
    </x:row>
    <x:row r="8">
      <x:c r="A8" s="57" t="str">
        <x:v>2026-09-01</x:v>
      </x:c>
      <x:c r="B8" s="58" t="str">
        <x:v>S16 M04=654.944</x:v>
      </x:c>
      <x:c r="C8" s="58" t="str">
        <x:v>기존 759.140은 S02 477초; 대체 원후보 사용 시 372.932초</x:v>
      </x:c>
      <x:c r="D8" s="59" t="str">
        <x:v>S01·S02 공통 사용 가능</x:v>
      </x:c>
    </x:row>
    <x:row r="9">
      <x:c r="A9" s="57" t="str">
        <x:v>2026-09-01</x:v>
      </x:c>
      <x:c r="B9" s="58" t="str">
        <x:v>비느린호흡 하한 0.15 Hz</x:v>
      </x:c>
      <x:c r="C9" s="58" t="str">
        <x:v>0.08~0.12 Hz 잔여 drift가 여러 bin에서 동일 피크로 선택됨; 정상·회복·운동후 프로토콜 사전범위 적용</x:v>
      </x:c>
      <x:c r="D9" s="59" t="str">
        <x:v>개발군 전체 MAE 2.84→0.50회/분; 독립검증 전 고정</x:v>
      </x:c>
    </x:row>
    <x:row r="10">
      <x:c r="A10" s="57" t="str">
        <x:v>2026-09-01</x:v>
      </x:c>
      <x:c r="B10" s="58" t="str">
        <x:v>움직임 거절 임계값 max motion&gt;0.055</x:v>
      </x:c>
      <x:c r="C10" s="58" t="str">
        <x:v>개발군 비스쿼트 최대 0.043, 스쿼트 9명 0.07 이상</x:v>
      </x:c>
      <x:c r="D10" s="59" t="str">
        <x:v>스쿼트 9/10 검출, 비스쿼트 오검출 0; S18 예정구간은 움직임 미관측</x:v>
      </x:c>
    </x:row>
    <x:row r="11">
      <x:c r="A11" s="57" t="str">
        <x:v>2026-09-01</x:v>
      </x:c>
      <x:c r="B11" s="58" t="str">
        <x:v>보조 경로 후보 용어</x:v>
      </x:c>
      <x:c r="C11" s="58" t="str">
        <x:v>빈 환경·실험실 기하 정보가 없어 물리 ghost 확정 불가</x:v>
      </x:c>
      <x:c r="D11" s="59" t="str">
        <x:v>보고서에서 ghost 단정 금지</x:v>
      </x:c>
    </x:row>
    <x:row r="12">
      <x:c r="A12" s="60" t="str">
        <x:v>2026-09-01</x:v>
      </x:c>
      <x:c r="B12" s="61" t="str">
        <x:v>ANN/SNN 보류</x:v>
      </x:c>
      <x:c r="C12" s="61" t="str">
        <x:v>신뢰도가 포착하지 못하는 post-hold 실패가 남음</x:v>
      </x:c>
      <x:c r="D12" s="62" t="str">
        <x:v>기준선과 거절 규칙을 먼저 검증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0cdeb1186334088"/>
  </x:tableParts>
</x:worksheet>
</file>