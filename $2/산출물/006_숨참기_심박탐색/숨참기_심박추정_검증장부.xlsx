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f40623f471dd4f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caaf970f0887432d"/>
    <x:sheet xmlns:r="http://schemas.openxmlformats.org/officeDocument/2006/relationships" name="참가자별결과" sheetId="2" r:id="R68fb09edc2694de6"/>
    <x:sheet xmlns:r="http://schemas.openxmlformats.org/officeDocument/2006/relationships" name="방법비교" sheetId="3" r:id="Re3e79f8f5ede4a9d"/>
    <x:sheet xmlns:r="http://schemas.openxmlformats.org/officeDocument/2006/relationships" name="알고리즘_판단근거" sheetId="4" r:id="Rfc03eceecb1a4729"/>
    <x:sheet xmlns:r="http://schemas.openxmlformats.org/officeDocument/2006/relationships" name="제외_다음검증" sheetId="5" r:id="R69a09d24a2df4e34"/>
    <x:sheet xmlns:r="http://schemas.openxmlformats.org/officeDocument/2006/relationships" name="근거자료" sheetId="6" r:id="R488184e50e5d44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"/>
    <x:numFmt numFmtId="202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573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1"/>
      <x:color rgb="FF1F4E78"/>
      <x:name val="Carlito"/>
    </x:font>
    <x:font>
      <x:b/>
      <x:sz val="10"/>
      <x:color rgb="FF9C000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A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C6EFCE"/>
      </x:patternFill>
    </x:fill>
    <x:fill>
      <x:patternFill patternType="solid">
        <x:fgColor rgb="FFF4CCCC"/>
      </x:patternFill>
    </x:fill>
    <x:fill>
      <x:patternFill patternType="solid">
        <x:fgColor rgb="FFE7E6E6"/>
      </x:patternFill>
    </x:fill>
  </x:fills>
  <x:borders count="6">
    <x:border/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bottom style="thin">
        <x:color rgb="FFDCE6F1"/>
      </x:bottom>
    </x:border>
    <x:border>
      <x:top style="thin">
        <x:color rgb="FFDCE6F1"/>
      </x:top>
    </x:border>
    <x:border>
      <x:top style="thin">
        <x:color rgb="FFDCE6F1"/>
      </x:top>
      <x:bottom style="thin">
        <x:color rgb="FFDCE6F1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200" fontId="5" fillId="0" borderId="3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200" fontId="5" fillId="6" borderId="3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200" fontId="6" fillId="6" borderId="3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center" wrapText="1"/>
    </x:xf>
    <x:xf numFmtId="200" fontId="5" fillId="0" borderId="5" xfId="0" applyNumberFormat="1" applyFont="1" applyFill="1" applyBorder="1" applyAlignment="1">
      <x:alignment vertical="center" wrapText="1"/>
    </x:xf>
    <x:xf numFmtId="200" fontId="5" fillId="0" borderId="4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5" fillId="7" borderId="5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8" borderId="5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7" borderId="4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201" fontId="5" fillId="0" borderId="3" xfId="0" applyNumberFormat="1" applyFont="1" applyFill="1" applyBorder="1" applyAlignment="1">
      <x:alignment vertical="center" wrapText="1"/>
    </x:xf>
    <x:xf numFmtId="201" fontId="5" fillId="7" borderId="3" xfId="0" applyNumberFormat="1" applyFont="1" applyFill="1" applyBorder="1" applyAlignment="1">
      <x:alignment vertical="center" wrapText="1"/>
    </x:xf>
    <x:xf numFmtId="201" fontId="5" fillId="0" borderId="5" xfId="0" applyNumberFormat="1" applyFont="1" applyFill="1" applyBorder="1" applyAlignment="1">
      <x:alignment vertical="center" wrapText="1"/>
    </x:xf>
    <x:xf numFmtId="201" fontId="5" fillId="7" borderId="5" xfId="0" applyNumberFormat="1" applyFont="1" applyFill="1" applyBorder="1" applyAlignment="1">
      <x:alignment vertical="center" wrapText="1"/>
    </x:xf>
    <x:xf numFmtId="201" fontId="7" fillId="0" borderId="5" xfId="0" applyNumberFormat="1" applyFont="1" applyFill="1" applyBorder="1" applyAlignment="1">
      <x:alignment vertical="center" wrapText="1"/>
    </x:xf>
    <x:xf numFmtId="201" fontId="7" fillId="8" borderId="5" xfId="0" applyNumberFormat="1" applyFont="1" applyFill="1" applyBorder="1" applyAlignment="1">
      <x:alignment vertical="center" wrapText="1"/>
    </x:xf>
    <x:xf numFmtId="201" fontId="5" fillId="4" borderId="5" xfId="0" applyNumberFormat="1" applyFont="1" applyFill="1" applyBorder="1" applyAlignment="1">
      <x:alignment vertical="center" wrapText="1"/>
    </x:xf>
    <x:xf numFmtId="201" fontId="5" fillId="0" borderId="4" xfId="0" applyNumberFormat="1" applyFont="1" applyFill="1" applyBorder="1" applyAlignment="1">
      <x:alignment vertical="center" wrapText="1"/>
    </x:xf>
    <x:xf numFmtId="201" fontId="5" fillId="4" borderId="4" xfId="0" applyNumberFormat="1" applyFont="1" applyFill="1" applyBorder="1" applyAlignment="1">
      <x:alignment vertical="center" wrapText="1"/>
    </x:xf>
    <x:xf numFmtId="202" fontId="5" fillId="0" borderId="3" xfId="0" applyNumberFormat="1" applyFont="1" applyFill="1" applyBorder="1" applyAlignment="1">
      <x:alignment vertical="center" wrapText="1"/>
    </x:xf>
    <x:xf numFmtId="202" fontId="5" fillId="0" borderId="5" xfId="0" applyNumberFormat="1" applyFont="1" applyFill="1" applyBorder="1" applyAlignment="1">
      <x:alignment vertical="center" wrapText="1"/>
    </x:xf>
    <x:xf numFmtId="202" fontId="7" fillId="0" borderId="5" xfId="0" applyNumberFormat="1" applyFont="1" applyFill="1" applyBorder="1" applyAlignment="1">
      <x:alignment vertical="center" wrapText="1"/>
    </x:xf>
    <x:xf numFmtId="202" fontId="5" fillId="0" borderId="4" xfId="0" applyNumberFormat="1" applyFont="1" applyFill="1" applyBorder="1" applyAlignment="1">
      <x:alignment vertical="center" wrapText="1"/>
    </x:xf>
    <x:xf numFmtId="0" fontId="5" fillId="8" borderId="3" xfId="0" applyNumberFormat="1" applyFont="1" applyFill="1" applyBorder="1" applyAlignment="1">
      <x:alignment vertical="center" wrapText="1"/>
    </x:xf>
    <x:xf numFmtId="0" fontId="5" fillId="8" borderId="4" xfId="0" applyNumberFormat="1" applyFont="1" applyFill="1" applyBorder="1" applyAlignment="1">
      <x:alignment vertical="center" wrapText="1"/>
    </x:xf>
    <x:xf numFmtId="0" fontId="7" fillId="8" borderId="3" xfId="0" applyNumberFormat="1" applyFont="1" applyFill="1" applyBorder="1" applyAlignment="1">
      <x:alignment vertical="center" wrapText="1"/>
    </x:xf>
    <x:xf numFmtId="0" fontId="7" fillId="8" borderId="4" xfId="0" applyNumberFormat="1" applyFont="1" applyFill="1" applyBorder="1" applyAlignment="1">
      <x:alignment vertical="center" wrapText="1"/>
    </x:xf>
    <x:xf numFmtId="0" fontId="5" fillId="9" borderId="3" xfId="0" applyNumberFormat="1" applyFont="1" applyFill="1" applyBorder="1" applyAlignment="1">
      <x:alignment vertical="center" wrapText="1"/>
    </x:xf>
    <x:xf numFmtId="0" fontId="5" fillId="9" borderId="5" xfId="0" applyNumberFormat="1" applyFont="1" applyFill="1" applyBorder="1" applyAlignment="1">
      <x:alignment vertical="center" wrapText="1"/>
    </x:xf>
    <x:xf numFmtId="0" fontId="5" fillId="9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7329ba52275f4e3c" /><Relationship Type="http://schemas.openxmlformats.org/officeDocument/2006/relationships/theme" Target="/xl/theme/theme1.xml" Id="R5ff911565ebb42f4" /><Relationship Type="http://schemas.openxmlformats.org/officeDocument/2006/relationships/sharedStrings" Target="/xl/sharedStrings.xml" Id="Rf1b9c3a5e3fc41f3" /><Relationship Type="http://schemas.openxmlformats.org/officeDocument/2006/relationships/worksheet" Target="/xl/worksheets/sheet1.xml" Id="Rcaaf970f0887432d" /><Relationship Type="http://schemas.openxmlformats.org/officeDocument/2006/relationships/worksheet" Target="/xl/worksheets/sheet2.xml" Id="R68fb09edc2694de6" /><Relationship Type="http://schemas.openxmlformats.org/officeDocument/2006/relationships/worksheet" Target="/xl/worksheets/sheet3.xml" Id="Re3e79f8f5ede4a9d" /><Relationship Type="http://schemas.openxmlformats.org/officeDocument/2006/relationships/worksheet" Target="/xl/worksheets/sheet4.xml" Id="Rfc03eceecb1a4729" /><Relationship Type="http://schemas.openxmlformats.org/officeDocument/2006/relationships/worksheet" Target="/xl/worksheets/sheet5.xml" Id="R69a09d24a2df4e34" /><Relationship Type="http://schemas.openxmlformats.org/officeDocument/2006/relationships/worksheet" Target="/xl/worksheets/sheet6.xml" Id="R488184e50e5d4471" />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.png" Id="R77eafd6f62ef4011" /></Relationships>
</file>

<file path=xl/drawings/_rels/drawing2.xml.rels><?xml version="1.0" encoding="utf-8"?><Relationships xmlns="http://schemas.openxmlformats.org/package/2006/relationships"><Relationship Type="http://schemas.openxmlformats.org/officeDocument/2006/relationships/chart" Target="/xl/drawings/charts/chart1.xml" Id="R8d7561c6136245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전체 24명 MAE 비교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MAE</c:v>
          </c:tx>
          <c:cat>
            <c:strRef>
              <c:f>'방법비교'!$J$5:$J$10</c:f>
              <c:strCache>
                <c:ptCount val="0"/>
              </c:strCache>
            </c:strRef>
          </c:cat>
          <c:val>
            <c:numRef>
              <c:f>'방법비교'!$K$5:$K$10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17</xdr:row>
      <xdr:rowOff>0</xdr:rowOff>
    </xdr:from>
    <xdr:ext cx="6858000" cy="4095750"/>
    <xdr:pic>
      <xdr:nvPicPr>
        <xdr:cNvPr id="1" name="95697281-a199-4f09-aac5-afaa9ca3a0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eafd6f62ef40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11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7561c6136245a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$2">
  <a:themeElements>
    <a:clrScheme name="$2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$2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R24e83a75194b42e2" /></Relationships>
</file>

<file path=xl/worksheets/_rels/sheet3.xml.rels><?xml version="1.0" encoding="utf-8"?><Relationships xmlns="http://schemas.openxmlformats.org/package/2006/relationships"><Relationship Type="http://schemas.openxmlformats.org/officeDocument/2006/relationships/drawing" Target="/xl/drawings/drawing2.xml" Id="Rf03a1305c0d04e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2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1" customHeight="1">
      <x:c r="A1" s="3" t="str">
        <x:v>실험 2 숨 참기 구간 레이더 심박 추정 검증장부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ECG를 기준으로 3대 레이더의 위상 기반 심박 후보를 비교한 연구 타당성 분석 — 의료용 검증 결과가 아님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2" t="str">
        <x:v>중요: 현재 수치는 같은 데이터에서 실패 양상을 본 뒤 미분·구간 중앙 스펙트럼·고조파 보정 규칙을 조정한 결과입니다. 따라서 독립 검증 성능이 아니라 ‘가능성 확인’으로만 해석해야 합니다.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</x:row>
    <x:row r="8">
      <x:c r="A8" s="18" t="str">
        <x:v>분석 가능</x:v>
      </x:c>
      <x:c r="B8" s="18" t="str">
        <x:v>ECG 기준</x:v>
      </x:c>
      <x:c r="C8" s="18" t="str">
        <x:v>MAE</x:v>
      </x:c>
      <x:c r="D8" s="18" t="str">
        <x:v>중앙 절대오차</x:v>
      </x:c>
      <x:c r="E8" s="18" t="str">
        <x:v>±5 bpm</x:v>
      </x:c>
      <x:c r="F8" s="18" t="str">
        <x:v>±10 bpm</x:v>
      </x:c>
      <x:c r="G8" s="18" t="str">
        <x:v>상관계수 r</x:v>
      </x:c>
      <x:c r="H8" s="18" t="str">
        <x:v>결론</x:v>
      </x:c>
      <x:c r="I8" s="18" t="str">
        <x:v>해석 항목</x:v>
      </x:c>
      <x:c r="J8" s="18" t="str">
        <x:v>판단</x:v>
      </x:c>
      <x:c r="K8" s="18"/>
      <x:c r="L8" s="18"/>
    </x:row>
    <x:row r="9">
      <x:c r="A9" s="29" t="n">
        <x:v>24</x:v>
      </x:c>
      <x:c r="B9" s="29" t="str">
        <x:v>30/30 MAT에 ECG 존재</x:v>
      </x:c>
      <x:c r="C9" s="29" t="n">
        <x:v>2.66</x:v>
      </x:c>
      <x:c r="D9" s="29" t="n">
        <x:v>1.4</x:v>
      </x:c>
      <x:c r="E9" s="30" t="n">
        <x:v>0.875</x:v>
      </x:c>
      <x:c r="F9" s="30" t="n">
        <x:v>0.875</x:v>
      </x:c>
      <x:c r="G9" s="29" t="n">
        <x:v>0.948</x:v>
      </x:c>
      <x:c r="H9" s="29" t="str">
        <x:v>유망하지만 독립 재검증 필요</x:v>
      </x:c>
      <x:c r="I9" s="36" t="str">
        <x:v>숨 참기 25~30초</x:v>
      </x:c>
      <x:c r="J9" s="24" t="str">
        <x:v>평균 심박은 시도 가능</x:v>
      </x:c>
      <x:c r="K9" s="24"/>
      <x:c r="L9" s="24"/>
    </x:row>
    <x:row r="10">
      <x:c r="A10" s="25" t="str">
        <x:v>6명 제외</x:v>
      </x:c>
      <x:c r="B10" s="25" t="str">
        <x:v>250 Hz</x:v>
      </x:c>
      <x:c r="C10" s="25" t="str">
        <x:v>bpm</x:v>
      </x:c>
      <x:c r="D10" s="25" t="str">
        <x:v>bpm</x:v>
      </x:c>
      <x:c r="E10" s="25" t="str">
        <x:v>21/24</x:v>
      </x:c>
      <x:c r="F10" s="25" t="str">
        <x:v>21/24</x:v>
      </x:c>
      <x:c r="G10" s="25" t="str">
        <x:v>참고 지표</x:v>
      </x:c>
      <x:c r="H10" s="25" t="str">
        <x:v>임상·진단용 사용 금지</x:v>
      </x:c>
      <x:c r="I10" s="37" t="str">
        <x:v>순간 심박/HRV</x:v>
      </x:c>
      <x:c r="J10" s="33" t="str">
        <x:v>현재 길이로 신뢰 어려움</x:v>
      </x:c>
      <x:c r="K10" s="33"/>
      <x:c r="L10" s="33"/>
    </x:row>
    <x:row r="11">
      <x:c r="I11" s="37" t="str">
        <x:v>3대 결합</x:v>
      </x:c>
      <x:c r="J11" s="33" t="str">
        <x:v>단일 레이더 오류 완화</x:v>
      </x:c>
      <x:c r="K11" s="33"/>
      <x:c r="L11" s="33"/>
    </x:row>
    <x:row r="12">
      <x:c r="I12" s="37" t="str">
        <x:v>보정 전</x:v>
      </x:c>
      <x:c r="J12" s="33" t="str">
        <x:v>절반·두 배 주파수 오류 존재</x:v>
      </x:c>
      <x:c r="K12" s="33"/>
      <x:c r="L12" s="33"/>
    </x:row>
    <x:row r="13">
      <x:c r="A13" s="18" t="str">
        <x:v>구분</x:v>
      </x:c>
      <x:c r="B13" s="18" t="str">
        <x:v>n</x:v>
      </x:c>
      <x:c r="C13" s="18" t="str">
        <x:v>MAE (bpm)</x:v>
      </x:c>
      <x:c r="D13" s="18" t="str">
        <x:v>중앙 AE</x:v>
      </x:c>
      <x:c r="E13" s="18" t="str">
        <x:v>±5 bpm</x:v>
      </x:c>
      <x:c r="F13" s="18" t="str">
        <x:v>±10 bpm</x:v>
      </x:c>
      <x:c r="G13" s="18" t="str">
        <x:v>상관계수 r</x:v>
      </x:c>
      <x:c r="I13" s="37" t="str">
        <x:v>보정 후</x:v>
      </x:c>
      <x:c r="J13" s="33" t="str">
        <x:v>경험적 55/135 bpm 규칙</x:v>
      </x:c>
      <x:c r="K13" s="33"/>
      <x:c r="L13" s="33"/>
    </x:row>
    <x:row r="14">
      <x:c r="A14" s="24" t="str">
        <x:v>기존 경계 검토군 10명</x:v>
      </x:c>
      <x:c r="B14" s="24" t="n">
        <x:v>10</x:v>
      </x:c>
      <x:c r="C14" s="24" t="n">
        <x:v>2.37</x:v>
      </x:c>
      <x:c r="D14" s="24" t="n">
        <x:v>1.47</x:v>
      </x:c>
      <x:c r="E14" s="26" t="n">
        <x:v>0.9</x:v>
      </x:c>
      <x:c r="F14" s="26" t="n">
        <x:v>0.9</x:v>
      </x:c>
      <x:c r="G14" s="24" t="n">
        <x:v>0.976</x:v>
      </x:c>
      <x:c r="I14" s="37" t="str">
        <x:v>검증 상태</x:v>
      </x:c>
      <x:c r="J14" s="33" t="str">
        <x:v>알고리즘 동결 전</x:v>
      </x:c>
      <x:c r="K14" s="33"/>
      <x:c r="L14" s="33"/>
    </x:row>
    <x:row r="15">
      <x:c r="A15" s="33" t="str">
        <x:v>임시 확장군 14명</x:v>
      </x:c>
      <x:c r="B15" s="33" t="n">
        <x:v>14</x:v>
      </x:c>
      <x:c r="C15" s="33" t="n">
        <x:v>2.87</x:v>
      </x:c>
      <x:c r="D15" s="33" t="n">
        <x:v>1.16</x:v>
      </x:c>
      <x:c r="E15" s="34" t="n">
        <x:v>0.8571428571428571</x:v>
      </x:c>
      <x:c r="F15" s="34" t="n">
        <x:v>0.8571428571428571</x:v>
      </x:c>
      <x:c r="G15" s="33" t="n">
        <x:v>0.927</x:v>
      </x:c>
      <x:c r="I15" s="37" t="str">
        <x:v>다음 단계</x:v>
      </x:c>
      <x:c r="J15" s="33" t="str">
        <x:v>새 참가자 독립 검증</x:v>
      </x:c>
      <x:c r="K15" s="33"/>
      <x:c r="L15" s="33"/>
    </x:row>
    <x:row r="16">
      <x:c r="A16" s="25" t="str">
        <x:v>전체 24명</x:v>
      </x:c>
      <x:c r="B16" s="25" t="n">
        <x:v>24</x:v>
      </x:c>
      <x:c r="C16" s="25" t="n">
        <x:v>2.66</x:v>
      </x:c>
      <x:c r="D16" s="25" t="n">
        <x:v>1.4</x:v>
      </x:c>
      <x:c r="E16" s="35" t="n">
        <x:v>0.875</x:v>
      </x:c>
      <x:c r="F16" s="35" t="n">
        <x:v>0.875</x:v>
      </x:c>
      <x:c r="G16" s="25" t="n">
        <x:v>0.948</x:v>
      </x:c>
      <x:c r="I16" s="38" t="str">
        <x:v>의료 판단</x:v>
      </x:c>
      <x:c r="J16" s="25" t="str">
        <x:v>사용 불가</x:v>
      </x:c>
      <x:c r="K16" s="25"/>
      <x:c r="L16" s="25"/>
    </x:row>
  </x:sheetData>
  <x:mergeCells>
    <x:mergeCell ref="A1:L1"/>
    <x:mergeCell ref="A2:L2"/>
    <x:mergeCell ref="A4:L6"/>
    <x:mergeCell ref="J8:L8"/>
    <x:mergeCell ref="J9:L9"/>
    <x:mergeCell ref="J10:L10"/>
    <x:mergeCell ref="J11:L11"/>
    <x:mergeCell ref="J12:L12"/>
    <x:mergeCell ref="J13:L13"/>
    <x:mergeCell ref="J14:L14"/>
    <x:mergeCell ref="J15:L15"/>
    <x:mergeCell ref="J16:L16"/>
  </x:mergeCells>
  <x:pageMargins left="0.7" right="0.7" top="0.75" bottom="0.75" header="0.3" footer="0.3"/>
  <x:drawing xmlns:r="http://schemas.openxmlformats.org/officeDocument/2006/relationships" r:id="R24e83a75194b42e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3" hidden="0" customWidth="1"/>
    <x:col min="3" max="3" width="22" hidden="0" customWidth="1"/>
    <x:col min="4" max="4" width="13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3" hidden="0" customWidth="1"/>
    <x:col min="12" max="12" width="11" hidden="0" customWidth="1"/>
    <x:col min="13" max="13" width="14" hidden="0" customWidth="1"/>
    <x:col min="14" max="14" width="12" hidden="0" customWidth="1"/>
    <x:col min="15" max="15" width="13" hidden="0" customWidth="1"/>
    <x:col min="16" max="16" width="13" hidden="0" customWidth="1"/>
  </x:cols>
  <x:sheetData>
    <x:row r="1" ht="31" customHeight="1">
      <x:c r="A1" s="3" t="str">
        <x:v>참가자별 ECG–레이더 결과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F:H는 각 레이더의 원시 추정값, I:L은 엑셀 수식으로 다시 계산됩니다. 빨간색은 보정 후 절대오차가 5 bpm을 넘는 사례입니다.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8" t="str">
        <x:v>참가자</x:v>
      </x:c>
      <x:c r="B4" s="18" t="str">
        <x:v>분석군</x:v>
      </x:c>
      <x:c r="C4" s="18" t="str">
        <x:v>마커 상태</x:v>
      </x:c>
      <x:c r="D4" s="18" t="str">
        <x:v>숨참기 길이(s)</x:v>
      </x:c>
      <x:c r="E4" s="18" t="str">
        <x:v>ECG 기준(bpm)</x:v>
      </x:c>
      <x:c r="F4" s="18" t="str">
        <x:v>Radar1</x:v>
      </x:c>
      <x:c r="G4" s="18" t="str">
        <x:v>Radar2</x:v>
      </x:c>
      <x:c r="H4" s="18" t="str">
        <x:v>Radar3</x:v>
      </x:c>
      <x:c r="I4" s="18" t="str">
        <x:v>3대 중앙값</x:v>
      </x:c>
      <x:c r="J4" s="18" t="str">
        <x:v>보정값</x:v>
      </x:c>
      <x:c r="K4" s="18" t="str">
        <x:v>절대오차</x:v>
      </x:c>
      <x:c r="L4" s="18" t="str">
        <x:v>±5 bpm</x:v>
      </x:c>
      <x:c r="M4" s="18" t="str">
        <x:v>보정 규칙</x:v>
      </x:c>
      <x:c r="N4" s="18" t="str">
        <x:v>ECG R-peak 수</x:v>
      </x:c>
      <x:c r="O4" s="18" t="str">
        <x:v>분석길이(s)</x:v>
      </x:c>
      <x:c r="P4" s="18" t="str">
        <x:v>싱크 offset(s)</x:v>
      </x:c>
    </x:row>
    <x:row r="5">
      <x:c r="A5" s="24" t="str">
        <x:v>S07_KDM</x:v>
      </x:c>
      <x:c r="B5" s="24" t="str">
        <x:v>기존 경계 검토군 10명</x:v>
      </x:c>
      <x:c r="C5" s="24" t="str">
        <x:v>자동 점검 통과</x:v>
      </x:c>
      <x:c r="D5" s="47" t="n">
        <x:v>30</x:v>
      </x:c>
      <x:c r="E5" s="47" t="n">
        <x:v>97.40259740259741</x:v>
      </x:c>
      <x:c r="F5" s="47" t="n">
        <x:v>95.67508200393563</x:v>
      </x:c>
      <x:c r="G5" s="47" t="n">
        <x:v>94.9645201026959</x:v>
      </x:c>
      <x:c r="H5" s="47" t="n">
        <x:v>101.20063202480004</x:v>
      </x:c>
      <x:c r="I5" s="47" t="n">
        <x:f>MEDIAN(F5:H5)</x:f>
        <x:v>95.67508200393563</x:v>
      </x:c>
      <x:c r="J5" s="47" t="n">
        <x:f>IF(I5&lt;55,I5*2,IF(I5&gt;135,I5/2,I5))</x:f>
        <x:v>95.67508200393563</x:v>
      </x:c>
      <x:c r="K5" s="48" t="n">
        <x:f>ABS(J5-E5)</x:f>
        <x:v>1.7275153986617795</x:v>
      </x:c>
      <x:c r="L5" s="39" t="b">
        <x:f>K5&lt;=5</x:f>
        <x:v>1</x:v>
      </x:c>
      <x:c r="M5" s="24" t="str">
        <x:v>none</x:v>
      </x:c>
      <x:c r="N5" s="56" t="n">
        <x:v>45</x:v>
      </x:c>
      <x:c r="O5" s="47" t="n">
        <x:v>27</x:v>
      </x:c>
      <x:c r="P5" s="47" t="n">
        <x:v>-1.7000000000000366</x:v>
      </x:c>
    </x:row>
    <x:row r="6">
      <x:c r="A6" s="33" t="str">
        <x:v>S08_MDO</x:v>
      </x:c>
      <x:c r="B6" s="33" t="str">
        <x:v>기존 경계 검토군 10명</x:v>
      </x:c>
      <x:c r="C6" s="33" t="str">
        <x:v>자동 점검 통과</x:v>
      </x:c>
      <x:c r="D6" s="49" t="n">
        <x:v>25</x:v>
      </x:c>
      <x:c r="E6" s="49" t="n">
        <x:v>83.33333333333334</x:v>
      </x:c>
      <x:c r="F6" s="49" t="n">
        <x:v>84.55385802334456</x:v>
      </x:c>
      <x:c r="G6" s="49" t="n">
        <x:v>84.3097155961681</x:v>
      </x:c>
      <x:c r="H6" s="49" t="n">
        <x:v>161.71875</x:v>
      </x:c>
      <x:c r="I6" s="49" t="n">
        <x:f>MEDIAN(F6:H6)</x:f>
        <x:v>84.55385802334456</x:v>
      </x:c>
      <x:c r="J6" s="49" t="n">
        <x:f>IF(I6&lt;55,I6*2,IF(I6&gt;135,I6/2,I6))</x:f>
        <x:v>84.55385802334456</x:v>
      </x:c>
      <x:c r="K6" s="50" t="n">
        <x:f>ABS(J6-E6)</x:f>
        <x:v>1.2205246900112172</x:v>
      </x:c>
      <x:c r="L6" s="40" t="b">
        <x:f>K6&lt;=5</x:f>
        <x:v>1</x:v>
      </x:c>
      <x:c r="M6" s="33" t="str">
        <x:v>none</x:v>
      </x:c>
      <x:c r="N6" s="57" t="n">
        <x:v>31</x:v>
      </x:c>
      <x:c r="O6" s="49" t="n">
        <x:v>22</x:v>
      </x:c>
      <x:c r="P6" s="49" t="n">
        <x:v>2.9999999999999467</x:v>
      </x:c>
    </x:row>
    <x:row r="7">
      <x:c r="A7" s="33" t="str">
        <x:v>S09_HDH</x:v>
      </x:c>
      <x:c r="B7" s="33" t="str">
        <x:v>기존 경계 검토군 10명</x:v>
      </x:c>
      <x:c r="C7" s="33" t="str">
        <x:v>자동 점검 통과</x:v>
      </x:c>
      <x:c r="D7" s="49" t="n">
        <x:v>30</x:v>
      </x:c>
      <x:c r="E7" s="49" t="n">
        <x:v>75</x:v>
      </x:c>
      <x:c r="F7" s="49" t="n">
        <x:v>74.11456858017945</x:v>
      </x:c>
      <x:c r="G7" s="49" t="n">
        <x:v>74.33044180038128</x:v>
      </x:c>
      <x:c r="H7" s="49" t="n">
        <x:v>74.80610323958082</x:v>
      </x:c>
      <x:c r="I7" s="49" t="n">
        <x:f>MEDIAN(F7:H7)</x:f>
        <x:v>74.33044180038128</x:v>
      </x:c>
      <x:c r="J7" s="49" t="n">
        <x:f>IF(I7&lt;55,I7*2,IF(I7&gt;135,I7/2,I7))</x:f>
        <x:v>74.33044180038128</x:v>
      </x:c>
      <x:c r="K7" s="50" t="n">
        <x:f>ABS(J7-E7)</x:f>
        <x:v>0.6695581996187201</x:v>
      </x:c>
      <x:c r="L7" s="40" t="b">
        <x:f>K7&lt;=5</x:f>
        <x:v>1</x:v>
      </x:c>
      <x:c r="M7" s="33" t="str">
        <x:v>none</x:v>
      </x:c>
      <x:c r="N7" s="57" t="n">
        <x:v>34</x:v>
      </x:c>
      <x:c r="O7" s="49" t="n">
        <x:v>27</x:v>
      </x:c>
      <x:c r="P7" s="49" t="n">
        <x:v>7.299999999999933</x:v>
      </x:c>
    </x:row>
    <x:row r="8">
      <x:c r="A8" s="33" t="str">
        <x:v>S17_RJS</x:v>
      </x:c>
      <x:c r="B8" s="33" t="str">
        <x:v>기존 경계 검토군 10명</x:v>
      </x:c>
      <x:c r="C8" s="33" t="str">
        <x:v>자동 점검 통과</x:v>
      </x:c>
      <x:c r="D8" s="49" t="n">
        <x:v>29.61979999999994</x:v>
      </x:c>
      <x:c r="E8" s="49" t="n">
        <x:v>117.1875</x:v>
      </x:c>
      <x:c r="F8" s="49" t="n">
        <x:v>51.74355825638742</x:v>
      </x:c>
      <x:c r="G8" s="49" t="n">
        <x:v>118.9959311323276</x:v>
      </x:c>
      <x:c r="H8" s="49" t="n">
        <x:v>119.10134516852004</x:v>
      </x:c>
      <x:c r="I8" s="49" t="n">
        <x:f>MEDIAN(F8:H8)</x:f>
        <x:v>118.9959311323276</x:v>
      </x:c>
      <x:c r="J8" s="49" t="n">
        <x:f>IF(I8&lt;55,I8*2,IF(I8&gt;135,I8/2,I8))</x:f>
        <x:v>118.9959311323276</x:v>
      </x:c>
      <x:c r="K8" s="50" t="n">
        <x:f>ABS(J8-E8)</x:f>
        <x:v>1.8084311323275983</x:v>
      </x:c>
      <x:c r="L8" s="40" t="b">
        <x:f>K8&lt;=5</x:f>
        <x:v>1</x:v>
      </x:c>
      <x:c r="M8" s="33" t="str">
        <x:v>none</x:v>
      </x:c>
      <x:c r="N8" s="57" t="n">
        <x:v>52</x:v>
      </x:c>
      <x:c r="O8" s="49" t="n">
        <x:v>26.61979999999994</x:v>
      </x:c>
      <x:c r="P8" s="49" t="n">
        <x:v>5.399999999999938</x:v>
      </x:c>
    </x:row>
    <x:row r="9">
      <x:c r="A9" s="33" t="str">
        <x:v>S18_LJH</x:v>
      </x:c>
      <x:c r="B9" s="33" t="str">
        <x:v>기존 경계 검토군 10명</x:v>
      </x:c>
      <x:c r="C9" s="33" t="str">
        <x:v>자동 점검 통과</x:v>
      </x:c>
      <x:c r="D9" s="49" t="n">
        <x:v>30</x:v>
      </x:c>
      <x:c r="E9" s="49" t="n">
        <x:v>93.16770186335404</x:v>
      </x:c>
      <x:c r="F9" s="49" t="n">
        <x:v>92.84135067107046</x:v>
      </x:c>
      <x:c r="G9" s="49" t="n">
        <x:v>92.23997796140716</x:v>
      </x:c>
      <x:c r="H9" s="49" t="n">
        <x:v>103.50973033149772</x:v>
      </x:c>
      <x:c r="I9" s="49" t="n">
        <x:f>MEDIAN(F9:H9)</x:f>
        <x:v>92.84135067107046</x:v>
      </x:c>
      <x:c r="J9" s="49" t="n">
        <x:f>IF(I9&lt;55,I9*2,IF(I9&gt;135,I9/2,I9))</x:f>
        <x:v>92.84135067107046</x:v>
      </x:c>
      <x:c r="K9" s="50" t="n">
        <x:f>ABS(J9-E9)</x:f>
        <x:v>0.3263511922835818</x:v>
      </x:c>
      <x:c r="L9" s="40" t="b">
        <x:f>K9&lt;=5</x:f>
        <x:v>1</x:v>
      </x:c>
      <x:c r="M9" s="33" t="str">
        <x:v>none</x:v>
      </x:c>
      <x:c r="N9" s="57" t="n">
        <x:v>41</x:v>
      </x:c>
      <x:c r="O9" s="49" t="n">
        <x:v>27</x:v>
      </x:c>
      <x:c r="P9" s="49" t="n">
        <x:v>-0.20000000000004192</x:v>
      </x:c>
    </x:row>
    <x:row r="10">
      <x:c r="A10" s="33" t="str">
        <x:v>S19_CHW</x:v>
      </x:c>
      <x:c r="B10" s="33" t="str">
        <x:v>기존 경계 검토군 10명</x:v>
      </x:c>
      <x:c r="C10" s="33" t="str">
        <x:v>자동 점검 통과</x:v>
      </x:c>
      <x:c r="D10" s="49" t="n">
        <x:v>29.137999999999977</x:v>
      </x:c>
      <x:c r="E10" s="49" t="n">
        <x:v>89.02077151335311</x:v>
      </x:c>
      <x:c r="F10" s="49" t="n">
        <x:v>52.19369014641881</x:v>
      </x:c>
      <x:c r="G10" s="49" t="n">
        <x:v>90.24521191903195</x:v>
      </x:c>
      <x:c r="H10" s="49" t="n">
        <x:v>90.10393223483068</x:v>
      </x:c>
      <x:c r="I10" s="49" t="n">
        <x:f>MEDIAN(F10:H10)</x:f>
        <x:v>90.10393223483068</x:v>
      </x:c>
      <x:c r="J10" s="49" t="n">
        <x:f>IF(I10&lt;55,I10*2,IF(I10&gt;135,I10/2,I10))</x:f>
        <x:v>90.10393223483068</x:v>
      </x:c>
      <x:c r="K10" s="50" t="n">
        <x:f>ABS(J10-E10)</x:f>
        <x:v>1.0831607214775687</x:v>
      </x:c>
      <x:c r="L10" s="40" t="b">
        <x:f>K10&lt;=5</x:f>
        <x:v>1</x:v>
      </x:c>
      <x:c r="M10" s="33" t="str">
        <x:v>none</x:v>
      </x:c>
      <x:c r="N10" s="57" t="n">
        <x:v>39</x:v>
      </x:c>
      <x:c r="O10" s="49" t="n">
        <x:v>26.137999999999977</x:v>
      </x:c>
      <x:c r="P10" s="49" t="n">
        <x:v>-3.9000000000000288</x:v>
      </x:c>
    </x:row>
    <x:row r="11">
      <x:c r="A11" s="33" t="str">
        <x:v>S21_PSJ</x:v>
      </x:c>
      <x:c r="B11" s="33" t="str">
        <x:v>기존 경계 검토군 10명</x:v>
      </x:c>
      <x:c r="C11" s="33" t="str">
        <x:v>자동 점검 통과</x:v>
      </x:c>
      <x:c r="D11" s="49" t="n">
        <x:v>27.241999999999905</x:v>
      </x:c>
      <x:c r="E11" s="49" t="n">
        <x:v>92.3076923076923</x:v>
      </x:c>
      <x:c r="F11" s="49" t="n">
        <x:v>92.50697869895052</x:v>
      </x:c>
      <x:c r="G11" s="49" t="n">
        <x:v>89.94758658845431</x:v>
      </x:c>
      <x:c r="H11" s="49" t="n">
        <x:v>90.52474497185261</x:v>
      </x:c>
      <x:c r="I11" s="49" t="n">
        <x:f>MEDIAN(F11:H11)</x:f>
        <x:v>90.52474497185261</x:v>
      </x:c>
      <x:c r="J11" s="49" t="n">
        <x:f>IF(I11&lt;55,I11*2,IF(I11&gt;135,I11/2,I11))</x:f>
        <x:v>90.52474497185261</x:v>
      </x:c>
      <x:c r="K11" s="50" t="n">
        <x:f>ABS(J11-E11)</x:f>
        <x:v>1.782947335839694</x:v>
      </x:c>
      <x:c r="L11" s="40" t="b">
        <x:f>K11&lt;=5</x:f>
        <x:v>1</x:v>
      </x:c>
      <x:c r="M11" s="33" t="str">
        <x:v>none</x:v>
      </x:c>
      <x:c r="N11" s="57" t="n">
        <x:v>37</x:v>
      </x:c>
      <x:c r="O11" s="49" t="n">
        <x:v>24.241999999999905</x:v>
      </x:c>
      <x:c r="P11" s="49" t="n">
        <x:v>-2.8000000000000327</x:v>
      </x:c>
    </x:row>
    <x:row r="12">
      <x:c r="A12" s="33" t="str">
        <x:v>S23_KDM</x:v>
      </x:c>
      <x:c r="B12" s="33" t="str">
        <x:v>기존 경계 검토군 10명</x:v>
      </x:c>
      <x:c r="C12" s="33" t="str">
        <x:v>자동 점검 통과</x:v>
      </x:c>
      <x:c r="D12" s="49" t="n">
        <x:v>30</x:v>
      </x:c>
      <x:c r="E12" s="49" t="n">
        <x:v>115.38461538461539</x:v>
      </x:c>
      <x:c r="F12" s="49" t="n">
        <x:v>116.3219159740994</x:v>
      </x:c>
      <x:c r="G12" s="49" t="n">
        <x:v>113.05560386503842</x:v>
      </x:c>
      <x:c r="H12" s="49" t="n">
        <x:v>119.90052116864301</x:v>
      </x:c>
      <x:c r="I12" s="49" t="n">
        <x:f>MEDIAN(F12:H12)</x:f>
        <x:v>116.3219159740994</x:v>
      </x:c>
      <x:c r="J12" s="49" t="n">
        <x:f>IF(I12&lt;55,I12*2,IF(I12&gt;135,I12/2,I12))</x:f>
        <x:v>116.3219159740994</x:v>
      </x:c>
      <x:c r="K12" s="50" t="n">
        <x:f>ABS(J12-E12)</x:f>
        <x:v>0.9373005894840105</x:v>
      </x:c>
      <x:c r="L12" s="40" t="b">
        <x:f>K12&lt;=5</x:f>
        <x:v>1</x:v>
      </x:c>
      <x:c r="M12" s="33" t="str">
        <x:v>none</x:v>
      </x:c>
      <x:c r="N12" s="57" t="n">
        <x:v>52</x:v>
      </x:c>
      <x:c r="O12" s="49" t="n">
        <x:v>27</x:v>
      </x:c>
      <x:c r="P12" s="49" t="n">
        <x:v>-8.300000000000013</x:v>
      </x:c>
    </x:row>
    <x:row r="13">
      <x:c r="A13" s="42" t="str">
        <x:v>S26_LDW</x:v>
      </x:c>
      <x:c r="B13" s="42" t="str">
        <x:v>기존 경계 검토군 10명</x:v>
      </x:c>
      <x:c r="C13" s="42" t="str">
        <x:v>자동 점검 통과</x:v>
      </x:c>
      <x:c r="D13" s="51" t="n">
        <x:v>30</x:v>
      </x:c>
      <x:c r="E13" s="51" t="n">
        <x:v>93.75</x:v>
      </x:c>
      <x:c r="F13" s="51" t="n">
        <x:v>93.27897402584098</x:v>
      </x:c>
      <x:c r="G13" s="51" t="n">
        <x:v>154.70219707126083</x:v>
      </x:c>
      <x:c r="H13" s="51" t="n">
        <x:v>106.00098404844248</x:v>
      </x:c>
      <x:c r="I13" s="51" t="n">
        <x:f>MEDIAN(F13:H13)</x:f>
        <x:v>106.00098404844248</x:v>
      </x:c>
      <x:c r="J13" s="51" t="n">
        <x:f>IF(I13&lt;55,I13*2,IF(I13&gt;135,I13/2,I13))</x:f>
        <x:v>106.00098404844248</x:v>
      </x:c>
      <x:c r="K13" s="52" t="n">
        <x:f>ABS(J13-E13)</x:f>
        <x:v>12.250984048442476</x:v>
      </x:c>
      <x:c r="L13" s="43" t="b">
        <x:f>K13&lt;=5</x:f>
        <x:v>0</x:v>
      </x:c>
      <x:c r="M13" s="42" t="str">
        <x:v>none</x:v>
      </x:c>
      <x:c r="N13" s="58" t="n">
        <x:v>43</x:v>
      </x:c>
      <x:c r="O13" s="51" t="n">
        <x:v>27</x:v>
      </x:c>
      <x:c r="P13" s="51" t="n">
        <x:v>-0.10000000000004228</x:v>
      </x:c>
    </x:row>
    <x:row r="14">
      <x:c r="A14" s="33" t="str">
        <x:v>S28_KDH</x:v>
      </x:c>
      <x:c r="B14" s="33" t="str">
        <x:v>기존 경계 검토군 10명</x:v>
      </x:c>
      <x:c r="C14" s="33" t="str">
        <x:v>자동 점검 통과</x:v>
      </x:c>
      <x:c r="D14" s="49" t="n">
        <x:v>29.855000000000018</x:v>
      </x:c>
      <x:c r="E14" s="49" t="n">
        <x:v>59.642147117296226</x:v>
      </x:c>
      <x:c r="F14" s="49" t="n">
        <x:v>57.7210353458769</x:v>
      </x:c>
      <x:c r="G14" s="49" t="n">
        <x:v>57.062695613801225</x:v>
      </x:c>
      <x:c r="H14" s="49" t="n">
        <x:v>117.24557238916574</x:v>
      </x:c>
      <x:c r="I14" s="49" t="n">
        <x:f>MEDIAN(F14:H14)</x:f>
        <x:v>57.7210353458769</x:v>
      </x:c>
      <x:c r="J14" s="49" t="n">
        <x:f>IF(I14&lt;55,I14*2,IF(I14&gt;135,I14/2,I14))</x:f>
        <x:v>57.7210353458769</x:v>
      </x:c>
      <x:c r="K14" s="50" t="n">
        <x:f>ABS(J14-E14)</x:f>
        <x:v>1.9211117714193264</x:v>
      </x:c>
      <x:c r="L14" s="40" t="b">
        <x:f>K14&lt;=5</x:f>
        <x:v>1</x:v>
      </x:c>
      <x:c r="M14" s="33" t="str">
        <x:v>none</x:v>
      </x:c>
      <x:c r="N14" s="57" t="n">
        <x:v>27</x:v>
      </x:c>
      <x:c r="O14" s="49" t="n">
        <x:v>26.855000000000018</x:v>
      </x:c>
      <x:c r="P14" s="49" t="n">
        <x:v>3.2999999999999456</x:v>
      </x:c>
    </x:row>
    <x:row r="15">
      <x:c r="A15" s="33" t="str">
        <x:v>S02_RJS</x:v>
      </x:c>
      <x:c r="B15" s="33" t="str">
        <x:v>임시 확장군 14명</x:v>
      </x:c>
      <x:c r="C15" s="33" t="str">
        <x:v>수동값/원시 불일치</x:v>
      </x:c>
      <x:c r="D15" s="49" t="n">
        <x:v>26.5</x:v>
      </x:c>
      <x:c r="E15" s="49" t="n">
        <x:v>95.84664536741214</x:v>
      </x:c>
      <x:c r="F15" s="49" t="n">
        <x:v>106.11057339698067</x:v>
      </x:c>
      <x:c r="G15" s="49" t="n">
        <x:v>97.48751055318145</x:v>
      </x:c>
      <x:c r="H15" s="49" t="n">
        <x:v>99.74398423353846</x:v>
      </x:c>
      <x:c r="I15" s="49" t="n">
        <x:f>MEDIAN(F15:H15)</x:f>
        <x:v>99.74398423353846</x:v>
      </x:c>
      <x:c r="J15" s="49" t="n">
        <x:f>IF(I15&lt;55,I15*2,IF(I15&gt;135,I15/2,I15))</x:f>
        <x:v>99.74398423353846</x:v>
      </x:c>
      <x:c r="K15" s="50" t="n">
        <x:f>ABS(J15-E15)</x:f>
        <x:v>3.8973388661263186</x:v>
      </x:c>
      <x:c r="L15" s="40" t="b">
        <x:f>K15&lt;=5</x:f>
        <x:v>1</x:v>
      </x:c>
      <x:c r="M15" s="33" t="str">
        <x:v>none</x:v>
      </x:c>
      <x:c r="N15" s="57" t="n">
        <x:v>37</x:v>
      </x:c>
      <x:c r="O15" s="49" t="n">
        <x:v>23.5</x:v>
      </x:c>
      <x:c r="P15" s="49" t="n">
        <x:v>6.199999999999935</x:v>
      </x:c>
    </x:row>
    <x:row r="16">
      <x:c r="A16" s="33" t="str">
        <x:v>S03_PSJ</x:v>
      </x:c>
      <x:c r="B16" s="33" t="str">
        <x:v>임시 확장군 14명</x:v>
      </x:c>
      <x:c r="C16" s="33" t="str">
        <x:v>선택 마커 수 불일치</x:v>
      </x:c>
      <x:c r="D16" s="49" t="n">
        <x:v>30</x:v>
      </x:c>
      <x:c r="E16" s="49" t="n">
        <x:v>83.56545961002786</x:v>
      </x:c>
      <x:c r="F16" s="49" t="n">
        <x:v>161.71875</x:v>
      </x:c>
      <x:c r="G16" s="49" t="n">
        <x:v>81.90558639655323</x:v>
      </x:c>
      <x:c r="H16" s="49" t="n">
        <x:v>161.71875</x:v>
      </x:c>
      <x:c r="I16" s="49" t="n">
        <x:f>MEDIAN(F16:H16)</x:f>
        <x:v>161.71875</x:v>
      </x:c>
      <x:c r="J16" s="53" t="n">
        <x:f>IF(I16&lt;55,I16*2,IF(I16&gt;135,I16/2,I16))</x:f>
        <x:v>80.859375</x:v>
      </x:c>
      <x:c r="K16" s="53" t="n">
        <x:f>ABS(J16-E16)</x:f>
        <x:v>2.706084610027858</x:v>
      </x:c>
      <x:c r="L16" s="44" t="b">
        <x:f>K16&lt;=5</x:f>
        <x:v>1</x:v>
      </x:c>
      <x:c r="M16" s="44" t="str">
        <x:v>half_high</x:v>
      </x:c>
      <x:c r="N16" s="57" t="n">
        <x:v>39</x:v>
      </x:c>
      <x:c r="O16" s="49" t="n">
        <x:v>27</x:v>
      </x:c>
      <x:c r="P16" s="49" t="n">
        <x:v>-1.9000000000000359</x:v>
      </x:c>
    </x:row>
    <x:row r="17">
      <x:c r="A17" s="33" t="str">
        <x:v>S05_LHS</x:v>
      </x:c>
      <x:c r="B17" s="33" t="str">
        <x:v>임시 확장군 14명</x:v>
      </x:c>
      <x:c r="C17" s="33" t="str">
        <x:v>대체 후보 있음</x:v>
      </x:c>
      <x:c r="D17" s="49" t="n">
        <x:v>30</x:v>
      </x:c>
      <x:c r="E17" s="49" t="n">
        <x:v>95.54140127388536</x:v>
      </x:c>
      <x:c r="F17" s="49" t="n">
        <x:v>92.23186720096191</x:v>
      </x:c>
      <x:c r="G17" s="49" t="n">
        <x:v>90.84999287512291</x:v>
      </x:c>
      <x:c r="H17" s="49" t="n">
        <x:v>92.57212826792507</x:v>
      </x:c>
      <x:c r="I17" s="49" t="n">
        <x:f>MEDIAN(F17:H17)</x:f>
        <x:v>92.23186720096191</x:v>
      </x:c>
      <x:c r="J17" s="49" t="n">
        <x:f>IF(I17&lt;55,I17*2,IF(I17&gt;135,I17/2,I17))</x:f>
        <x:v>92.23186720096191</x:v>
      </x:c>
      <x:c r="K17" s="50" t="n">
        <x:f>ABS(J17-E17)</x:f>
        <x:v>3.309534072923441</x:v>
      </x:c>
      <x:c r="L17" s="40" t="b">
        <x:f>K17&lt;=5</x:f>
        <x:v>1</x:v>
      </x:c>
      <x:c r="M17" s="33" t="str">
        <x:v>none</x:v>
      </x:c>
      <x:c r="N17" s="57" t="n">
        <x:v>42</x:v>
      </x:c>
      <x:c r="O17" s="49" t="n">
        <x:v>27</x:v>
      </x:c>
      <x:c r="P17" s="49" t="n">
        <x:v>5.499999999999936</x:v>
      </x:c>
    </x:row>
    <x:row r="18">
      <x:c r="A18" s="33" t="str">
        <x:v>S06_LDW</x:v>
      </x:c>
      <x:c r="B18" s="33" t="str">
        <x:v>임시 확장군 14명</x:v>
      </x:c>
      <x:c r="C18" s="33" t="str">
        <x:v>수동값/원시 불일치</x:v>
      </x:c>
      <x:c r="D18" s="49" t="n">
        <x:v>30</x:v>
      </x:c>
      <x:c r="E18" s="49" t="n">
        <x:v>79.36507936507937</x:v>
      </x:c>
      <x:c r="F18" s="49" t="n">
        <x:v>157.7119403554539</x:v>
      </x:c>
      <x:c r="G18" s="49" t="n">
        <x:v>155.56329074659814</x:v>
      </x:c>
      <x:c r="H18" s="49" t="n">
        <x:v>78.62423902909764</x:v>
      </x:c>
      <x:c r="I18" s="49" t="n">
        <x:f>MEDIAN(F18:H18)</x:f>
        <x:v>155.56329074659814</x:v>
      </x:c>
      <x:c r="J18" s="53" t="n">
        <x:f>IF(I18&lt;55,I18*2,IF(I18&gt;135,I18/2,I18))</x:f>
        <x:v>77.78164537329907</x:v>
      </x:c>
      <x:c r="K18" s="53" t="n">
        <x:f>ABS(J18-E18)</x:f>
        <x:v>1.5834339917802964</x:v>
      </x:c>
      <x:c r="L18" s="44" t="b">
        <x:f>K18&lt;=5</x:f>
        <x:v>1</x:v>
      </x:c>
      <x:c r="M18" s="44" t="str">
        <x:v>half_high</x:v>
      </x:c>
      <x:c r="N18" s="57" t="n">
        <x:v>36</x:v>
      </x:c>
      <x:c r="O18" s="49" t="n">
        <x:v>27</x:v>
      </x:c>
      <x:c r="P18" s="49" t="n">
        <x:v>-10.600000000000005</x:v>
      </x:c>
    </x:row>
    <x:row r="19">
      <x:c r="A19" s="33" t="str">
        <x:v>S10_JKH</x:v>
      </x:c>
      <x:c r="B19" s="33" t="str">
        <x:v>임시 확장군 14명</x:v>
      </x:c>
      <x:c r="C19" s="33" t="str">
        <x:v>대체 후보 있음</x:v>
      </x:c>
      <x:c r="D19" s="49" t="n">
        <x:v>29.13799999999992</x:v>
      </x:c>
      <x:c r="E19" s="49" t="n">
        <x:v>75.37688442211055</x:v>
      </x:c>
      <x:c r="F19" s="49" t="n">
        <x:v>72.74762659787352</x:v>
      </x:c>
      <x:c r="G19" s="49" t="n">
        <x:v>147.0660279462443</x:v>
      </x:c>
      <x:c r="H19" s="49" t="n">
        <x:v>77.65195117941676</x:v>
      </x:c>
      <x:c r="I19" s="49" t="n">
        <x:f>MEDIAN(F19:H19)</x:f>
        <x:v>77.65195117941676</x:v>
      </x:c>
      <x:c r="J19" s="49" t="n">
        <x:f>IF(I19&lt;55,I19*2,IF(I19&gt;135,I19/2,I19))</x:f>
        <x:v>77.65195117941676</x:v>
      </x:c>
      <x:c r="K19" s="50" t="n">
        <x:f>ABS(J19-E19)</x:f>
        <x:v>2.275066757306206</x:v>
      </x:c>
      <x:c r="L19" s="40" t="b">
        <x:f>K19&lt;=5</x:f>
        <x:v>1</x:v>
      </x:c>
      <x:c r="M19" s="33" t="str">
        <x:v>none</x:v>
      </x:c>
      <x:c r="N19" s="57" t="n">
        <x:v>33</x:v>
      </x:c>
      <x:c r="O19" s="49" t="n">
        <x:v>26.13799999999992</x:v>
      </x:c>
      <x:c r="P19" s="49" t="n">
        <x:v>6.499999999999936</x:v>
      </x:c>
    </x:row>
    <x:row r="20">
      <x:c r="A20" s="42" t="str">
        <x:v>S13_KTW</x:v>
      </x:c>
      <x:c r="B20" s="42" t="str">
        <x:v>임시 확장군 14명</x:v>
      </x:c>
      <x:c r="C20" s="42" t="str">
        <x:v>수동값/원시 불일치</x:v>
      </x:c>
      <x:c r="D20" s="51" t="n">
        <x:v>30</x:v>
      </x:c>
      <x:c r="E20" s="51" t="n">
        <x:v>120</x:v>
      </x:c>
      <x:c r="F20" s="51" t="n">
        <x:v>160.50908715177152</x:v>
      </x:c>
      <x:c r="G20" s="51" t="n">
        <x:v>105.40428952964506</x:v>
      </x:c>
      <x:c r="H20" s="51" t="n">
        <x:v>106.81833078826578</x:v>
      </x:c>
      <x:c r="I20" s="51" t="n">
        <x:f>MEDIAN(F20:H20)</x:f>
        <x:v>106.81833078826578</x:v>
      </x:c>
      <x:c r="J20" s="51" t="n">
        <x:f>IF(I20&lt;55,I20*2,IF(I20&gt;135,I20/2,I20))</x:f>
        <x:v>106.81833078826578</x:v>
      </x:c>
      <x:c r="K20" s="52" t="n">
        <x:f>ABS(J20-E20)</x:f>
        <x:v>13.181669211734217</x:v>
      </x:c>
      <x:c r="L20" s="43" t="b">
        <x:f>K20&lt;=5</x:f>
        <x:v>0</x:v>
      </x:c>
      <x:c r="M20" s="42" t="str">
        <x:v>none</x:v>
      </x:c>
      <x:c r="N20" s="58" t="n">
        <x:v>54</x:v>
      </x:c>
      <x:c r="O20" s="51" t="n">
        <x:v>27</x:v>
      </x:c>
      <x:c r="P20" s="51" t="n">
        <x:v>0.8999999999999542</x:v>
      </x:c>
    </x:row>
    <x:row r="21">
      <x:c r="A21" s="33" t="str">
        <x:v>S14_MDO</x:v>
      </x:c>
      <x:c r="B21" s="33" t="str">
        <x:v>임시 확장군 14명</x:v>
      </x:c>
      <x:c r="C21" s="33" t="str">
        <x:v>대체 후보 있음</x:v>
      </x:c>
      <x:c r="D21" s="49" t="n">
        <x:v>30</x:v>
      </x:c>
      <x:c r="E21" s="49" t="n">
        <x:v>85.71428571428572</x:v>
      </x:c>
      <x:c r="F21" s="49" t="n">
        <x:v>85.9757314143132</x:v>
      </x:c>
      <x:c r="G21" s="49" t="n">
        <x:v>85.8015275243739</x:v>
      </x:c>
      <x:c r="H21" s="49" t="n">
        <x:v>85.95529975973291</x:v>
      </x:c>
      <x:c r="I21" s="49" t="n">
        <x:f>MEDIAN(F21:H21)</x:f>
        <x:v>85.95529975973291</x:v>
      </x:c>
      <x:c r="J21" s="49" t="n">
        <x:f>IF(I21&lt;55,I21*2,IF(I21&gt;135,I21/2,I21))</x:f>
        <x:v>85.95529975973291</x:v>
      </x:c>
      <x:c r="K21" s="50" t="n">
        <x:f>ABS(J21-E21)</x:f>
        <x:v>0.2410140454471872</x:v>
      </x:c>
      <x:c r="L21" s="40" t="b">
        <x:f>K21&lt;=5</x:f>
        <x:v>1</x:v>
      </x:c>
      <x:c r="M21" s="33" t="str">
        <x:v>none</x:v>
      </x:c>
      <x:c r="N21" s="57" t="n">
        <x:v>38</x:v>
      </x:c>
      <x:c r="O21" s="49" t="n">
        <x:v>27</x:v>
      </x:c>
      <x:c r="P21" s="49" t="n">
        <x:v>8.09999999999993</x:v>
      </x:c>
    </x:row>
    <x:row r="22">
      <x:c r="A22" s="42" t="str">
        <x:v>S15_JKH</x:v>
      </x:c>
      <x:c r="B22" s="42" t="str">
        <x:v>임시 확장군 14명</x:v>
      </x:c>
      <x:c r="C22" s="42" t="str">
        <x:v>대체 후보 있음</x:v>
      </x:c>
      <x:c r="D22" s="51" t="n">
        <x:v>28.77699999999993</x:v>
      </x:c>
      <x:c r="E22" s="51" t="n">
        <x:v>88.23529411764706</x:v>
      </x:c>
      <x:c r="F22" s="51" t="n">
        <x:v>50.057248438344565</x:v>
      </x:c>
      <x:c r="G22" s="51" t="n">
        <x:v>77.21361854979335</x:v>
      </x:c>
      <x:c r="H22" s="51" t="n">
        <x:v>99.49667235689364</x:v>
      </x:c>
      <x:c r="I22" s="51" t="n">
        <x:f>MEDIAN(F22:H22)</x:f>
        <x:v>77.21361854979335</x:v>
      </x:c>
      <x:c r="J22" s="51" t="n">
        <x:f>IF(I22&lt;55,I22*2,IF(I22&gt;135,I22/2,I22))</x:f>
        <x:v>77.21361854979335</x:v>
      </x:c>
      <x:c r="K22" s="52" t="n">
        <x:f>ABS(J22-E22)</x:f>
        <x:v>11.021675567853706</x:v>
      </x:c>
      <x:c r="L22" s="43" t="b">
        <x:f>K22&lt;=5</x:f>
        <x:v>0</x:v>
      </x:c>
      <x:c r="M22" s="42" t="str">
        <x:v>none</x:v>
      </x:c>
      <x:c r="N22" s="58" t="n">
        <x:v>38</x:v>
      </x:c>
      <x:c r="O22" s="51" t="n">
        <x:v>25.77699999999993</x:v>
      </x:c>
      <x:c r="P22" s="51" t="n">
        <x:v>11.999999999999915</x:v>
      </x:c>
    </x:row>
    <x:row r="23">
      <x:c r="A23" s="33" t="str">
        <x:v>S16_LJH</x:v>
      </x:c>
      <x:c r="B23" s="33" t="str">
        <x:v>임시 확장군 14명</x:v>
      </x:c>
      <x:c r="C23" s="33" t="str">
        <x:v>시간 구간 확인 필요</x:v>
      </x:c>
      <x:c r="D23" s="49" t="n">
        <x:v>25.03800000000001</x:v>
      </x:c>
      <x:c r="E23" s="49" t="n">
        <x:v>71.77033492822967</x:v>
      </x:c>
      <x:c r="F23" s="49" t="n">
        <x:v>71.14130167002172</x:v>
      </x:c>
      <x:c r="G23" s="49" t="n">
        <x:v>71.78940885023538</x:v>
      </x:c>
      <x:c r="H23" s="49" t="n">
        <x:v>104.72968447829999</x:v>
      </x:c>
      <x:c r="I23" s="49" t="n">
        <x:f>MEDIAN(F23:H23)</x:f>
        <x:v>71.78940885023538</x:v>
      </x:c>
      <x:c r="J23" s="49" t="n">
        <x:f>IF(I23&lt;55,I23*2,IF(I23&gt;135,I23/2,I23))</x:f>
        <x:v>71.78940885023538</x:v>
      </x:c>
      <x:c r="K23" s="50" t="n">
        <x:f>ABS(J23-E23)</x:f>
        <x:v>0.01907392200570257</x:v>
      </x:c>
      <x:c r="L23" s="40" t="b">
        <x:f>K23&lt;=5</x:f>
        <x:v>1</x:v>
      </x:c>
      <x:c r="M23" s="33" t="str">
        <x:v>none</x:v>
      </x:c>
      <x:c r="N23" s="57" t="n">
        <x:v>27</x:v>
      </x:c>
      <x:c r="O23" s="49" t="n">
        <x:v>22.03800000000001</x:v>
      </x:c>
      <x:c r="P23" s="49" t="n">
        <x:v>1.8999999999999506</x:v>
      </x:c>
    </x:row>
    <x:row r="24">
      <x:c r="A24" s="33" t="str">
        <x:v>S20_YSE</x:v>
      </x:c>
      <x:c r="B24" s="33" t="str">
        <x:v>임시 확장군 14명</x:v>
      </x:c>
      <x:c r="C24" s="33" t="str">
        <x:v>대체 후보 있음</x:v>
      </x:c>
      <x:c r="D24" s="49" t="n">
        <x:v>30</x:v>
      </x:c>
      <x:c r="E24" s="49" t="n">
        <x:v>76.53061224489795</x:v>
      </x:c>
      <x:c r="F24" s="49" t="n">
        <x:v>75.96379807104356</x:v>
      </x:c>
      <x:c r="G24" s="49" t="n">
        <x:v>76.55405506499639</x:v>
      </x:c>
      <x:c r="H24" s="49" t="n">
        <x:v>152.47349066540434</x:v>
      </x:c>
      <x:c r="I24" s="49" t="n">
        <x:f>MEDIAN(F24:H24)</x:f>
        <x:v>76.55405506499639</x:v>
      </x:c>
      <x:c r="J24" s="49" t="n">
        <x:f>IF(I24&lt;55,I24*2,IF(I24&gt;135,I24/2,I24))</x:f>
        <x:v>76.55405506499639</x:v>
      </x:c>
      <x:c r="K24" s="50" t="n">
        <x:f>ABS(J24-E24)</x:f>
        <x:v>0.023442820098438233</x:v>
      </x:c>
      <x:c r="L24" s="40" t="b">
        <x:f>K24&lt;=5</x:f>
        <x:v>1</x:v>
      </x:c>
      <x:c r="M24" s="33" t="str">
        <x:v>none</x:v>
      </x:c>
      <x:c r="N24" s="57" t="n">
        <x:v>34</x:v>
      </x:c>
      <x:c r="O24" s="49" t="n">
        <x:v>27</x:v>
      </x:c>
      <x:c r="P24" s="49" t="n">
        <x:v>1.5999999999999517</x:v>
      </x:c>
    </x:row>
    <x:row r="25">
      <x:c r="A25" s="33" t="str">
        <x:v>S25_GEC</x:v>
      </x:c>
      <x:c r="B25" s="33" t="str">
        <x:v>임시 확장군 14명</x:v>
      </x:c>
      <x:c r="C25" s="33" t="str">
        <x:v>대체 후보 있음</x:v>
      </x:c>
      <x:c r="D25" s="49" t="n">
        <x:v>30</x:v>
      </x:c>
      <x:c r="E25" s="49" t="n">
        <x:v>84.74576271186442</x:v>
      </x:c>
      <x:c r="F25" s="49" t="n">
        <x:v>104.98308692995533</x:v>
      </x:c>
      <x:c r="G25" s="49" t="n">
        <x:v>85.47893170813936</x:v>
      </x:c>
      <x:c r="H25" s="49" t="n">
        <x:v>46.57944412745408</x:v>
      </x:c>
      <x:c r="I25" s="49" t="n">
        <x:f>MEDIAN(F25:H25)</x:f>
        <x:v>85.47893170813936</x:v>
      </x:c>
      <x:c r="J25" s="49" t="n">
        <x:f>IF(I25&lt;55,I25*2,IF(I25&gt;135,I25/2,I25))</x:f>
        <x:v>85.47893170813936</x:v>
      </x:c>
      <x:c r="K25" s="50" t="n">
        <x:f>ABS(J25-E25)</x:f>
        <x:v>0.7331689962749408</x:v>
      </x:c>
      <x:c r="L25" s="40" t="b">
        <x:f>K25&lt;=5</x:f>
        <x:v>1</x:v>
      </x:c>
      <x:c r="M25" s="33" t="str">
        <x:v>none</x:v>
      </x:c>
      <x:c r="N25" s="57" t="n">
        <x:v>38</x:v>
      </x:c>
      <x:c r="O25" s="49" t="n">
        <x:v>27</x:v>
      </x:c>
      <x:c r="P25" s="49" t="n">
        <x:v>-6.000000000000021</x:v>
      </x:c>
    </x:row>
    <x:row r="26">
      <x:c r="A26" s="33" t="str">
        <x:v>S27_HDH</x:v>
      </x:c>
      <x:c r="B26" s="33" t="str">
        <x:v>임시 확장군 14명</x:v>
      </x:c>
      <x:c r="C26" s="33" t="str">
        <x:v>수동값/원시 불일치</x:v>
      </x:c>
      <x:c r="D26" s="49" t="n">
        <x:v>30</x:v>
      </x:c>
      <x:c r="E26" s="49" t="n">
        <x:v>89.82035928143712</x:v>
      </x:c>
      <x:c r="F26" s="49" t="n">
        <x:v>89.46329106779503</x:v>
      </x:c>
      <x:c r="G26" s="49" t="n">
        <x:v>90.31543666765188</x:v>
      </x:c>
      <x:c r="H26" s="49" t="n">
        <x:v>90.27046693224835</x:v>
      </x:c>
      <x:c r="I26" s="49" t="n">
        <x:f>MEDIAN(F26:H26)</x:f>
        <x:v>90.27046693224835</x:v>
      </x:c>
      <x:c r="J26" s="49" t="n">
        <x:f>IF(I26&lt;55,I26*2,IF(I26&gt;135,I26/2,I26))</x:f>
        <x:v>90.27046693224835</x:v>
      </x:c>
      <x:c r="K26" s="50" t="n">
        <x:f>ABS(J26-E26)</x:f>
        <x:v>0.4501076508112334</x:v>
      </x:c>
      <x:c r="L26" s="40" t="b">
        <x:f>K26&lt;=5</x:f>
        <x:v>1</x:v>
      </x:c>
      <x:c r="M26" s="33" t="str">
        <x:v>none</x:v>
      </x:c>
      <x:c r="N26" s="57" t="n">
        <x:v>41</x:v>
      </x:c>
      <x:c r="O26" s="49" t="n">
        <x:v>27</x:v>
      </x:c>
      <x:c r="P26" s="49" t="n">
        <x:v>5.499999999999936</x:v>
      </x:c>
    </x:row>
    <x:row r="27">
      <x:c r="A27" s="33" t="str">
        <x:v>S29_LHS</x:v>
      </x:c>
      <x:c r="B27" s="33" t="str">
        <x:v>임시 확장군 14명</x:v>
      </x:c>
      <x:c r="C27" s="33" t="str">
        <x:v>수동값/원시 불일치</x:v>
      </x:c>
      <x:c r="D27" s="49" t="n">
        <x:v>30</x:v>
      </x:c>
      <x:c r="E27" s="49" t="n">
        <x:v>103.44827586206897</x:v>
      </x:c>
      <x:c r="F27" s="49" t="n">
        <x:v>103.76964585518164</x:v>
      </x:c>
      <x:c r="G27" s="49" t="n">
        <x:v>103.15562632806127</x:v>
      </x:c>
      <x:c r="H27" s="49" t="n">
        <x:v>102.94999552318878</x:v>
      </x:c>
      <x:c r="I27" s="49" t="n">
        <x:f>MEDIAN(F27:H27)</x:f>
        <x:v>103.15562632806127</x:v>
      </x:c>
      <x:c r="J27" s="49" t="n">
        <x:f>IF(I27&lt;55,I27*2,IF(I27&gt;135,I27/2,I27))</x:f>
        <x:v>103.15562632806127</x:v>
      </x:c>
      <x:c r="K27" s="50" t="n">
        <x:f>ABS(J27-E27)</x:f>
        <x:v>0.292649534007694</x:v>
      </x:c>
      <x:c r="L27" s="40" t="b">
        <x:f>K27&lt;=5</x:f>
        <x:v>1</x:v>
      </x:c>
      <x:c r="M27" s="33" t="str">
        <x:v>none</x:v>
      </x:c>
      <x:c r="N27" s="57" t="n">
        <x:v>47</x:v>
      </x:c>
      <x:c r="O27" s="49" t="n">
        <x:v>27</x:v>
      </x:c>
      <x:c r="P27" s="49" t="n">
        <x:v>0.7</x:v>
      </x:c>
    </x:row>
    <x:row r="28">
      <x:c r="A28" s="25" t="str">
        <x:v>S30_SJE</x:v>
      </x:c>
      <x:c r="B28" s="25" t="str">
        <x:v>임시 확장군 14명</x:v>
      </x:c>
      <x:c r="C28" s="25" t="str">
        <x:v>수동값/원시 불일치</x:v>
      </x:c>
      <x:c r="D28" s="54" t="n">
        <x:v>30</x:v>
      </x:c>
      <x:c r="E28" s="54" t="n">
        <x:v>89.82035928143712</x:v>
      </x:c>
      <x:c r="F28" s="54" t="n">
        <x:v>48.73928486467596</x:v>
      </x:c>
      <x:c r="G28" s="54" t="n">
        <x:v>45.1171875</x:v>
      </x:c>
      <x:c r="H28" s="54" t="n">
        <x:v>45.1171875</x:v>
      </x:c>
      <x:c r="I28" s="54" t="n">
        <x:f>MEDIAN(F28:H28)</x:f>
        <x:v>45.1171875</x:v>
      </x:c>
      <x:c r="J28" s="55" t="n">
        <x:f>IF(I28&lt;55,I28*2,IF(I28&gt;135,I28/2,I28))</x:f>
        <x:v>90.234375</x:v>
      </x:c>
      <x:c r="K28" s="55" t="n">
        <x:f>ABS(J28-E28)</x:f>
        <x:v>0.41401571856287944</x:v>
      </x:c>
      <x:c r="L28" s="46" t="b">
        <x:f>K28&lt;=5</x:f>
        <x:v>1</x:v>
      </x:c>
      <x:c r="M28" s="46" t="str">
        <x:v>x2_low</x:v>
      </x:c>
      <x:c r="N28" s="59" t="n">
        <x:v>41</x:v>
      </x:c>
      <x:c r="O28" s="54" t="n">
        <x:v>27</x:v>
      </x:c>
      <x:c r="P28" s="54" t="n">
        <x:v>11.6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9" hidden="0" customWidth="1"/>
    <x:col min="3" max="3" width="8" hidden="0" customWidth="1"/>
    <x:col min="4" max="4" width="14" hidden="0" customWidth="1"/>
    <x:col min="5" max="5" width="14" hidden="0" customWidth="1"/>
    <x:col min="6" max="6" width="13" hidden="0" customWidth="1"/>
    <x:col min="7" max="7" width="13" hidden="0" customWidth="1"/>
    <x:col min="8" max="8" width="14" hidden="0" customWidth="1"/>
  </x:cols>
  <x:sheetData>
    <x:row r="1" ht="31" customHeight="1">
      <x:c r="A1" s="3" t="str">
        <x:v>추정 방식별 성능 비교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단일 레이더, 품질지표 선택, 3대 중앙값, 고조파 보정 결과를 같은 ECG 기준으로 비교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18" t="str">
        <x:v>분석군</x:v>
      </x:c>
      <x:c r="B4" s="18" t="str">
        <x:v>방법</x:v>
      </x:c>
      <x:c r="C4" s="18" t="str">
        <x:v>n</x:v>
      </x:c>
      <x:c r="D4" s="18" t="str">
        <x:v>MAE (bpm)</x:v>
      </x:c>
      <x:c r="E4" s="18" t="str">
        <x:v>중앙 AE</x:v>
      </x:c>
      <x:c r="F4" s="18" t="str">
        <x:v>±5 bpm</x:v>
      </x:c>
      <x:c r="G4" s="18" t="str">
        <x:v>±10 bpm</x:v>
      </x:c>
      <x:c r="H4" s="18" t="str">
        <x:v>상관계수 r</x:v>
      </x:c>
      <x:c r="J4" s="18" t="str">
        <x:v>전체 24명 방법</x:v>
      </x:c>
      <x:c r="K4" s="18" t="str">
        <x:v>MAE</x:v>
      </x:c>
    </x:row>
    <x:row r="5">
      <x:c r="A5" s="24" t="str">
        <x:v>기존 경계 검토군 10명</x:v>
      </x:c>
      <x:c r="B5" s="24" t="str">
        <x:v>Radar 1</x:v>
      </x:c>
      <x:c r="C5" s="24" t="n">
        <x:v>10</x:v>
      </x:c>
      <x:c r="D5" s="24" t="n">
        <x:v>11</x:v>
      </x:c>
      <x:c r="E5" s="24" t="n">
        <x:v>1.08</x:v>
      </x:c>
      <x:c r="F5" s="26" t="n">
        <x:v>0.8</x:v>
      </x:c>
      <x:c r="G5" s="26" t="n">
        <x:v>0.8</x:v>
      </x:c>
      <x:c r="H5" s="24" t="n">
        <x:v>0.342</x:v>
      </x:c>
      <x:c r="J5" s="24" t="str">
        <x:v>Radar 1</x:v>
      </x:c>
      <x:c r="K5" s="24" t="n">
        <x:v>17.7</x:v>
      </x:c>
    </x:row>
    <x:row r="6">
      <x:c r="A6" s="33" t="str">
        <x:v>기존 경계 검토군 10명</x:v>
      </x:c>
      <x:c r="B6" s="33" t="str">
        <x:v>Radar 2</x:v>
      </x:c>
      <x:c r="C6" s="33" t="n">
        <x:v>10</x:v>
      </x:c>
      <x:c r="D6" s="33" t="n">
        <x:v>7.63</x:v>
      </x:c>
      <x:c r="E6" s="33" t="n">
        <x:v>2.07</x:v>
      </x:c>
      <x:c r="F6" s="34" t="n">
        <x:v>0.9</x:v>
      </x:c>
      <x:c r="G6" s="34" t="n">
        <x:v>0.9</x:v>
      </x:c>
      <x:c r="H6" s="33" t="n">
        <x:v>0.683</x:v>
      </x:c>
      <x:c r="J6" s="33" t="str">
        <x:v>Radar 2</x:v>
      </x:c>
      <x:c r="K6" s="33" t="n">
        <x:v>12.67</x:v>
      </x:c>
    </x:row>
    <x:row r="7">
      <x:c r="A7" s="33" t="str">
        <x:v>기존 경계 검토군 10명</x:v>
      </x:c>
      <x:c r="B7" s="33" t="str">
        <x:v>Radar 3</x:v>
      </x:c>
      <x:c r="C7" s="33" t="n">
        <x:v>10</x:v>
      </x:c>
      <x:c r="D7" s="33" t="n">
        <x:v>17.19</x:v>
      </x:c>
      <x:c r="E7" s="33" t="n">
        <x:v>4.16</x:v>
      </x:c>
      <x:c r="F7" s="34" t="n">
        <x:v>0.6</x:v>
      </x:c>
      <x:c r="G7" s="34" t="n">
        <x:v>0.6</x:v>
      </x:c>
      <x:c r="H7" s="33" t="n">
        <x:v>0.099</x:v>
      </x:c>
      <x:c r="J7" s="33" t="str">
        <x:v>Radar 3</x:v>
      </x:c>
      <x:c r="K7" s="33" t="n">
        <x:v>19.89</x:v>
      </x:c>
    </x:row>
    <x:row r="8">
      <x:c r="A8" s="33" t="str">
        <x:v>기존 경계 검토군 10명</x:v>
      </x:c>
      <x:c r="B8" s="33" t="str">
        <x:v>품질지표 최고 레이더</x:v>
      </x:c>
      <x:c r="C8" s="33" t="n">
        <x:v>10</x:v>
      </x:c>
      <x:c r="D8" s="33" t="n">
        <x:v>10.5</x:v>
      </x:c>
      <x:c r="E8" s="33" t="n">
        <x:v>1.92</x:v>
      </x:c>
      <x:c r="F8" s="34" t="n">
        <x:v>0.8</x:v>
      </x:c>
      <x:c r="G8" s="34" t="n">
        <x:v>0.8</x:v>
      </x:c>
      <x:c r="H8" s="33" t="n">
        <x:v>0.505</x:v>
      </x:c>
      <x:c r="J8" s="33" t="str">
        <x:v>품질지표 최고 레이더</x:v>
      </x:c>
      <x:c r="K8" s="33" t="n">
        <x:v>13.64</x:v>
      </x:c>
    </x:row>
    <x:row r="9">
      <x:c r="A9" s="33" t="str">
        <x:v>기존 경계 검토군 10명</x:v>
      </x:c>
      <x:c r="B9" s="33" t="str">
        <x:v>3대 중앙값(보정 전)</x:v>
      </x:c>
      <x:c r="C9" s="33" t="n">
        <x:v>10</x:v>
      </x:c>
      <x:c r="D9" s="33" t="n">
        <x:v>2.37</x:v>
      </x:c>
      <x:c r="E9" s="33" t="n">
        <x:v>1.47</x:v>
      </x:c>
      <x:c r="F9" s="34" t="n">
        <x:v>0.9</x:v>
      </x:c>
      <x:c r="G9" s="34" t="n">
        <x:v>0.9</x:v>
      </x:c>
      <x:c r="H9" s="33" t="n">
        <x:v>0.976</x:v>
      </x:c>
      <x:c r="J9" s="33" t="str">
        <x:v>3대 중앙값(보정 전)</x:v>
      </x:c>
      <x:c r="K9" s="33" t="n">
        <x:v>10.76</x:v>
      </x:c>
    </x:row>
    <x:row r="10">
      <x:c r="A10" s="33" t="str">
        <x:v>기존 경계 검토군 10명</x:v>
      </x:c>
      <x:c r="B10" s="33" t="str">
        <x:v>3대 중앙값(고조파 보정)</x:v>
      </x:c>
      <x:c r="C10" s="33" t="n">
        <x:v>10</x:v>
      </x:c>
      <x:c r="D10" s="33" t="n">
        <x:v>2.37</x:v>
      </x:c>
      <x:c r="E10" s="33" t="n">
        <x:v>1.47</x:v>
      </x:c>
      <x:c r="F10" s="34" t="n">
        <x:v>0.9</x:v>
      </x:c>
      <x:c r="G10" s="34" t="n">
        <x:v>0.9</x:v>
      </x:c>
      <x:c r="H10" s="33" t="n">
        <x:v>0.976</x:v>
      </x:c>
      <x:c r="J10" s="25" t="str">
        <x:v>3대 중앙값(고조파 보정)</x:v>
      </x:c>
      <x:c r="K10" s="25" t="n">
        <x:v>2.66</x:v>
      </x:c>
    </x:row>
    <x:row r="11">
      <x:c r="A11" s="33" t="str">
        <x:v>임시 확장군 14명</x:v>
      </x:c>
      <x:c r="B11" s="33" t="str">
        <x:v>Radar 1</x:v>
      </x:c>
      <x:c r="C11" s="33" t="n">
        <x:v>14</x:v>
      </x:c>
      <x:c r="D11" s="33" t="n">
        <x:v>22.49</x:v>
      </x:c>
      <x:c r="E11" s="33" t="n">
        <x:v>6.79</x:v>
      </x:c>
      <x:c r="F11" s="34" t="n">
        <x:v>0.5</x:v>
      </x:c>
      <x:c r="G11" s="34" t="n">
        <x:v>0.5</x:v>
      </x:c>
      <x:c r="H11" s="33" t="n">
        <x:v>0.358</x:v>
      </x:c>
    </x:row>
    <x:row r="12">
      <x:c r="A12" s="33" t="str">
        <x:v>임시 확장군 14명</x:v>
      </x:c>
      <x:c r="B12" s="33" t="str">
        <x:v>Radar 2</x:v>
      </x:c>
      <x:c r="C12" s="33" t="n">
        <x:v>14</x:v>
      </x:c>
      <x:c r="D12" s="33" t="n">
        <x:v>16.28</x:v>
      </x:c>
      <x:c r="E12" s="33" t="n">
        <x:v>1.65</x:v>
      </x:c>
      <x:c r="F12" s="34" t="n">
        <x:v>0.6428571428571429</x:v>
      </x:c>
      <x:c r="G12" s="34" t="n">
        <x:v>0.6428571428571429</x:v>
      </x:c>
      <x:c r="H12" s="33" t="n">
        <x:v>-0.028</x:v>
      </x:c>
    </x:row>
    <x:row r="13">
      <x:c r="A13" s="33" t="str">
        <x:v>임시 확장군 14명</x:v>
      </x:c>
      <x:c r="B13" s="33" t="str">
        <x:v>Radar 3</x:v>
      </x:c>
      <x:c r="C13" s="33" t="n">
        <x:v>14</x:v>
      </x:c>
      <x:c r="D13" s="33" t="n">
        <x:v>21.82</x:v>
      </x:c>
      <x:c r="E13" s="33" t="n">
        <x:v>7.58</x:v>
      </x:c>
      <x:c r="F13" s="34" t="n">
        <x:v>0.5</x:v>
      </x:c>
      <x:c r="G13" s="34" t="n">
        <x:v>0.5</x:v>
      </x:c>
      <x:c r="H13" s="33" t="n">
        <x:v>-0.031</x:v>
      </x:c>
    </x:row>
    <x:row r="14">
      <x:c r="A14" s="33" t="str">
        <x:v>임시 확장군 14명</x:v>
      </x:c>
      <x:c r="B14" s="33" t="str">
        <x:v>품질지표 최고 레이더</x:v>
      </x:c>
      <x:c r="C14" s="33" t="n">
        <x:v>14</x:v>
      </x:c>
      <x:c r="D14" s="33" t="n">
        <x:v>15.89</x:v>
      </x:c>
      <x:c r="E14" s="33" t="n">
        <x:v>3.26</x:v>
      </x:c>
      <x:c r="F14" s="34" t="n">
        <x:v>0.6428571428571429</x:v>
      </x:c>
      <x:c r="G14" s="34" t="n">
        <x:v>0.6428571428571429</x:v>
      </x:c>
      <x:c r="H14" s="33" t="n">
        <x:v>0.287</x:v>
      </x:c>
    </x:row>
    <x:row r="15">
      <x:c r="A15" s="33" t="str">
        <x:v>임시 확장군 14명</x:v>
      </x:c>
      <x:c r="B15" s="33" t="str">
        <x:v>3대 중앙값(보정 전)</x:v>
      </x:c>
      <x:c r="C15" s="33" t="n">
        <x:v>14</x:v>
      </x:c>
      <x:c r="D15" s="33" t="n">
        <x:v>16.75</x:v>
      </x:c>
      <x:c r="E15" s="33" t="n">
        <x:v>2.79</x:v>
      </x:c>
      <x:c r="F15" s="34" t="n">
        <x:v>0.6428571428571429</x:v>
      </x:c>
      <x:c r="G15" s="34" t="n">
        <x:v>0.6428571428571429</x:v>
      </x:c>
      <x:c r="H15" s="33" t="n">
        <x:v>0.09</x:v>
      </x:c>
    </x:row>
    <x:row r="16">
      <x:c r="A16" s="33" t="str">
        <x:v>임시 확장군 14명</x:v>
      </x:c>
      <x:c r="B16" s="33" t="str">
        <x:v>3대 중앙값(고조파 보정)</x:v>
      </x:c>
      <x:c r="C16" s="33" t="n">
        <x:v>14</x:v>
      </x:c>
      <x:c r="D16" s="33" t="n">
        <x:v>2.87</x:v>
      </x:c>
      <x:c r="E16" s="33" t="n">
        <x:v>1.16</x:v>
      </x:c>
      <x:c r="F16" s="34" t="n">
        <x:v>0.8571428571428571</x:v>
      </x:c>
      <x:c r="G16" s="34" t="n">
        <x:v>0.8571428571428571</x:v>
      </x:c>
      <x:c r="H16" s="33" t="n">
        <x:v>0.927</x:v>
      </x:c>
    </x:row>
    <x:row r="17">
      <x:c r="A17" s="33" t="str">
        <x:v>전체 24명</x:v>
      </x:c>
      <x:c r="B17" s="33" t="str">
        <x:v>Radar 1</x:v>
      </x:c>
      <x:c r="C17" s="33" t="n">
        <x:v>24</x:v>
      </x:c>
      <x:c r="D17" s="33" t="n">
        <x:v>17.7</x:v>
      </x:c>
      <x:c r="E17" s="33" t="n">
        <x:v>1.82</x:v>
      </x:c>
      <x:c r="F17" s="34" t="n">
        <x:v>0.625</x:v>
      </x:c>
      <x:c r="G17" s="34" t="n">
        <x:v>0.625</x:v>
      </x:c>
      <x:c r="H17" s="33" t="n">
        <x:v>0.281</x:v>
      </x:c>
    </x:row>
    <x:row r="18">
      <x:c r="A18" s="33" t="str">
        <x:v>전체 24명</x:v>
      </x:c>
      <x:c r="B18" s="33" t="str">
        <x:v>Radar 2</x:v>
      </x:c>
      <x:c r="C18" s="33" t="n">
        <x:v>24</x:v>
      </x:c>
      <x:c r="D18" s="33" t="n">
        <x:v>12.67</x:v>
      </x:c>
      <x:c r="E18" s="33" t="n">
        <x:v>1.73</x:v>
      </x:c>
      <x:c r="F18" s="34" t="n">
        <x:v>0.75</x:v>
      </x:c>
      <x:c r="G18" s="34" t="n">
        <x:v>0.75</x:v>
      </x:c>
      <x:c r="H18" s="33" t="n">
        <x:v>0.305</x:v>
      </x:c>
    </x:row>
    <x:row r="19">
      <x:c r="A19" s="33" t="str">
        <x:v>전체 24명</x:v>
      </x:c>
      <x:c r="B19" s="33" t="str">
        <x:v>Radar 3</x:v>
      </x:c>
      <x:c r="C19" s="33" t="n">
        <x:v>24</x:v>
      </x:c>
      <x:c r="D19" s="33" t="n">
        <x:v>19.89</x:v>
      </x:c>
      <x:c r="E19" s="33" t="n">
        <x:v>4.21</x:v>
      </x:c>
      <x:c r="F19" s="34" t="n">
        <x:v>0.5416666666666666</x:v>
      </x:c>
      <x:c r="G19" s="34" t="n">
        <x:v>0.5416666666666666</x:v>
      </x:c>
      <x:c r="H19" s="33" t="n">
        <x:v>0.044</x:v>
      </x:c>
    </x:row>
    <x:row r="20">
      <x:c r="A20" s="33" t="str">
        <x:v>전체 24명</x:v>
      </x:c>
      <x:c r="B20" s="33" t="str">
        <x:v>품질지표 최고 레이더</x:v>
      </x:c>
      <x:c r="C20" s="33" t="n">
        <x:v>24</x:v>
      </x:c>
      <x:c r="D20" s="33" t="n">
        <x:v>13.64</x:v>
      </x:c>
      <x:c r="E20" s="33" t="n">
        <x:v>2.18</x:v>
      </x:c>
      <x:c r="F20" s="34" t="n">
        <x:v>0.7083333333333334</x:v>
      </x:c>
      <x:c r="G20" s="34" t="n">
        <x:v>0.7083333333333334</x:v>
      </x:c>
      <x:c r="H20" s="33" t="n">
        <x:v>0.397</x:v>
      </x:c>
    </x:row>
    <x:row r="21">
      <x:c r="A21" s="33" t="str">
        <x:v>전체 24명</x:v>
      </x:c>
      <x:c r="B21" s="33" t="str">
        <x:v>3대 중앙값(보정 전)</x:v>
      </x:c>
      <x:c r="C21" s="33" t="n">
        <x:v>24</x:v>
      </x:c>
      <x:c r="D21" s="33" t="n">
        <x:v>10.76</x:v>
      </x:c>
      <x:c r="E21" s="33" t="n">
        <x:v>1.76</x:v>
      </x:c>
      <x:c r="F21" s="34" t="n">
        <x:v>0.75</x:v>
      </x:c>
      <x:c r="G21" s="34" t="n">
        <x:v>0.75</x:v>
      </x:c>
      <x:c r="H21" s="33" t="n">
        <x:v>0.371</x:v>
      </x:c>
    </x:row>
    <x:row r="22">
      <x:c r="A22" s="25" t="str">
        <x:v>전체 24명</x:v>
      </x:c>
      <x:c r="B22" s="25" t="str">
        <x:v>3대 중앙값(고조파 보정)</x:v>
      </x:c>
      <x:c r="C22" s="25" t="n">
        <x:v>24</x:v>
      </x:c>
      <x:c r="D22" s="25" t="n">
        <x:v>2.66</x:v>
      </x:c>
      <x:c r="E22" s="25" t="n">
        <x:v>1.4</x:v>
      </x:c>
      <x:c r="F22" s="35" t="n">
        <x:v>0.875</x:v>
      </x:c>
      <x:c r="G22" s="35" t="n">
        <x:v>0.875</x:v>
      </x:c>
      <x:c r="H22" s="25" t="n">
        <x:v>0.948</x:v>
      </x:c>
    </x:row>
  </x:sheetData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f03a1305c0d04e76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3" hidden="0" customWidth="1"/>
    <x:col min="3" max="3" width="58" hidden="0" customWidth="1"/>
    <x:col min="4" max="4" width="20" hidden="0" customWidth="1"/>
    <x:col min="5" max="5" width="29" hidden="0" customWidth="1"/>
  </x:cols>
  <x:sheetData>
    <x:row r="1" ht="31" customHeight="1">
      <x:c r="A1" s="3" t="str">
        <x:v>분석 절차와 판단 근거</x:v>
      </x:c>
      <x:c r="B1" s="3"/>
      <x:c r="C1" s="3"/>
      <x:c r="D1" s="3"/>
      <x:c r="E1" s="3"/>
      <x:c r="F1" s="3"/>
    </x:row>
    <x:row r="2" ht="34" customHeight="1">
      <x:c r="A2" s="7" t="str">
        <x:v>결과뿐 아니라 어떤 규칙을 왜 사용했는지, 어디에서 선택 편향이 생길 수 있는지 기록</x:v>
      </x:c>
      <x:c r="B2" s="7"/>
      <x:c r="C2" s="7"/>
      <x:c r="D2" s="7"/>
      <x:c r="E2" s="7"/>
      <x:c r="F2" s="7"/>
    </x:row>
    <x:row r="4">
      <x:c r="A4" s="18" t="str">
        <x:v>단계</x:v>
      </x:c>
      <x:c r="B4" s="18" t="str">
        <x:v>사용 규칙</x:v>
      </x:c>
      <x:c r="C4" s="18" t="str">
        <x:v>판단 근거</x:v>
      </x:c>
      <x:c r="D4" s="18" t="str">
        <x:v>값/단위</x:v>
      </x:c>
      <x:c r="E4" s="18" t="str">
        <x:v>검증 상태</x:v>
      </x:c>
    </x:row>
    <x:row r="5">
      <x:c r="A5" s="24" t="str">
        <x:v>시간 정렬</x:v>
      </x:c>
      <x:c r="B5" s="24" t="str">
        <x:v>biopac_t = radar_t + offset</x:v>
      </x:c>
      <x:c r="C5" s="24" t="str">
        <x:v>기존 sync 결과와 같은 좌표계 유지</x:v>
      </x:c>
      <x:c r="D5" s="24" t="str">
        <x:v>참가자별 offset</x:v>
      </x:c>
      <x:c r="E5" s="24" t="str">
        <x:v>고정</x:v>
      </x:c>
    </x:row>
    <x:row r="6">
      <x:c r="A6" s="33" t="str">
        <x:v>숨 참기 안전창</x:v>
      </x:c>
      <x:c r="B6" s="33" t="str">
        <x:v>시작+2초 ~ 호흡재개-1초</x:v>
      </x:c>
      <x:c r="C6" s="33" t="str">
        <x:v>자세 전환과 호흡 재개 움직임을 제외</x:v>
      </x:c>
      <x:c r="D6" s="33" t="str">
        <x:v>+2초/-1초</x:v>
      </x:c>
      <x:c r="E6" s="33" t="str">
        <x:v>고정 후보</x:v>
      </x:c>
    </x:row>
    <x:row r="7">
      <x:c r="A7" s="33" t="str">
        <x:v>ECG 기준</x:v>
      </x:c>
      <x:c r="B7" s="33" t="str">
        <x:v>5~35 Hz 필터 → 미분·제곱 envelope → R-peak</x:v>
      </x:c>
      <x:c r="C7" s="33" t="str">
        <x:v>25~30초 구간의 중앙 RR로 평균 심박 계산</x:v>
      </x:c>
      <x:c r="D7" s="33" t="str">
        <x:v>250 Hz</x:v>
      </x:c>
      <x:c r="E7" s="33" t="str">
        <x:v>기준값</x:v>
      </x:c>
    </x:row>
    <x:row r="8">
      <x:c r="A8" s="33" t="str">
        <x:v>레이더 원시값</x:v>
      </x:c>
      <x:c r="B8" s="33" t="str">
        <x:v>복소 I/Q 위상</x:v>
      </x:c>
      <x:c r="C8" s="33" t="str">
        <x:v>진폭 평균이 아니라 각 레이더를 독립 처리</x:v>
      </x:c>
      <x:c r="D8" s="33" t="str">
        <x:v>40 Hz, 92 bins</x:v>
      </x:c>
      <x:c r="E8" s="33" t="str">
        <x:v>원시 입력</x:v>
      </x:c>
    </x:row>
    <x:row r="9">
      <x:c r="A9" s="33" t="str">
        <x:v>흉부 bin 선택</x:v>
      </x:c>
      <x:c r="B9" s="33" t="str">
        <x:v>숨 참기 전 느린호흡 구간의 호흡 성분</x:v>
      </x:c>
      <x:c r="C9" s="33" t="str">
        <x:v>사람이 존재하는 거리 bin 후보를 자동 선정</x:v>
      </x:c>
      <x:c r="D9" s="33" t="str">
        <x:v>레이더별 8 bins</x:v>
      </x:c>
      <x:c r="E9" s="33" t="str">
        <x:v>자동</x:v>
      </x:c>
    </x:row>
    <x:row r="10">
      <x:c r="A10" s="33" t="str">
        <x:v>호흡 억제</x:v>
      </x:c>
      <x:c r="B10" s="33" t="str">
        <x:v>위상 미분</x:v>
      </x:c>
      <x:c r="C10" s="33" t="str">
        <x:v>숨 참기 중 남은 저주파 drift와 위상 offset을 줄임</x:v>
      </x:c>
      <x:c r="D10" s="33" t="str">
        <x:v>1차 차분</x:v>
      </x:c>
      <x:c r="E10" s="33" t="str">
        <x:v>데이터 확인 후 채택</x:v>
      </x:c>
    </x:row>
    <x:row r="11">
      <x:c r="A11" s="33" t="str">
        <x:v>심박 탐색</x:v>
      </x:c>
      <x:c r="B11" s="33" t="str">
        <x:v>0.75~2.7 Hz</x:v>
      </x:c>
      <x:c r="C11" s="33" t="str">
        <x:v>약 45~162 bpm 범위</x:v>
      </x:c>
      <x:c r="D11" s="33" t="str">
        <x:v>주파수 범위</x:v>
      </x:c>
      <x:c r="E11" s="33" t="str">
        <x:v>사전 범위</x:v>
      </x:c>
    </x:row>
    <x:row r="12">
      <x:c r="A12" s="33" t="str">
        <x:v>강건 스펙트럼</x:v>
      </x:c>
      <x:c r="B12" s="33" t="str">
        <x:v>10초 창, 5초 간격의 정규화 스펙트럼 중앙값</x:v>
      </x:c>
      <x:c r="C12" s="33" t="str">
        <x:v>일시적 움직임이 전체 구간을 지배하는 문제 완화</x:v>
      </x:c>
      <x:c r="D12" s="33" t="str">
        <x:v>10초/5초</x:v>
      </x:c>
      <x:c r="E12" s="33" t="str">
        <x:v>데이터 확인 후 채택</x:v>
      </x:c>
    </x:row>
    <x:row r="13">
      <x:c r="A13" s="33" t="str">
        <x:v>3대 결합</x:v>
      </x:c>
      <x:c r="B13" s="33" t="str">
        <x:v>Radar1~3 심박의 중앙값</x:v>
      </x:c>
      <x:c r="C13" s="33" t="str">
        <x:v>특정 레이더의 두 배 주파수 오검출 완화</x:v>
      </x:c>
      <x:c r="D13" s="33" t="str">
        <x:v>MEDIAN</x:v>
      </x:c>
      <x:c r="E13" s="33" t="str">
        <x:v>결합 규칙</x:v>
      </x:c>
    </x:row>
    <x:row r="14">
      <x:c r="A14" s="33" t="str">
        <x:v>고조파 보정</x:v>
      </x:c>
      <x:c r="B14" s="33" t="str">
        <x:v>&lt;55 bpm이면 ×2, &gt;135 bpm이면 ÷2</x:v>
      </x:c>
      <x:c r="C14" s="33" t="str">
        <x:v>관측된 절반/두 배 주파수 오류를 교정</x:v>
      </x:c>
      <x:c r="D14" s="33" t="str">
        <x:v>55/135 bpm</x:v>
      </x:c>
      <x:c r="E14" s="33" t="str">
        <x:v>사후 조정 — 독립 검증 필수</x:v>
      </x:c>
    </x:row>
    <x:row r="15">
      <x:c r="A15" s="25" t="str">
        <x:v>평가</x:v>
      </x:c>
      <x:c r="B15" s="25" t="str">
        <x:v>ECG 대비 MAE·중앙 AE·±5/±10·상관</x:v>
      </x:c>
      <x:c r="C15" s="25" t="str">
        <x:v>오차 크기와 순위 일치성을 함께 확인</x:v>
      </x:c>
      <x:c r="D15" s="25" t="str">
        <x:v>참가자 단위</x:v>
      </x:c>
      <x:c r="E15" s="25" t="str">
        <x:v>연구용</x:v>
      </x:c>
    </x:row>
    <x:row r="16">
      <x:c r="A16" s="62" t="str">
        <x:v>핵심 한계</x:v>
      </x:c>
      <x:c r="B16" s="24" t="str">
        <x:v>현재 보정 규칙은 같은 자료의 실패 사례를 본 뒤 정했으므로, 확장군 14명도 엄밀한 독립 검증군이라고 부를 수 없습니다.</x:v>
      </x:c>
      <x:c r="C16" s="24"/>
      <x:c r="D16" s="24"/>
      <x:c r="E16" s="24"/>
    </x:row>
    <x:row r="17">
      <x:c r="A17" s="43" t="str">
        <x:v>해석</x:v>
      </x:c>
      <x:c r="B17" s="33" t="str">
        <x:v>현재 결과는 연구 가능성을 보여주지만, 새 참가자에서 규칙을 수정하지 않고 재검증하기 전에는 최종 모델 성능으로 보고하면 안 됩니다.</x:v>
      </x:c>
      <x:c r="C17" s="33"/>
      <x:c r="D17" s="33"/>
      <x:c r="E17" s="33"/>
    </x:row>
    <x:row r="18">
      <x:c r="A18" s="63" t="str">
        <x:v>의료적 범위</x:v>
      </x:c>
      <x:c r="B18" s="25" t="str">
        <x:v>25~30초 평균 심박 탐색만 수행했습니다. 부정맥 판정, HRV, 임상 모니터링 성능은 평가하지 않았습니다.</x:v>
      </x:c>
      <x:c r="C18" s="25"/>
      <x:c r="D18" s="25"/>
      <x:c r="E18" s="25"/>
    </x:row>
  </x:sheetData>
  <x:mergeCells>
    <x:mergeCell ref="A1:F1"/>
    <x:mergeCell ref="A2:F2"/>
    <x:mergeCell ref="B16:E16"/>
    <x:mergeCell ref="B17:E17"/>
    <x:mergeCell ref="B18:E1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5" hidden="0" customWidth="1"/>
    <x:col min="3" max="3" width="70" hidden="0" customWidth="1"/>
    <x:col min="4" max="4" width="35" hidden="0" customWidth="1"/>
  </x:cols>
  <x:sheetData>
    <x:row r="1" ht="31" customHeight="1">
      <x:c r="A1" s="3" t="str">
        <x:v>제외 대상과 다음 검증 계획</x:v>
      </x:c>
      <x:c r="B1" s="3"/>
      <x:c r="C1" s="3"/>
      <x:c r="D1" s="3"/>
      <x:c r="E1" s="3"/>
      <x:c r="F1" s="3"/>
    </x:row>
    <x:row r="2" ht="34" customHeight="1">
      <x:c r="A2" s="7" t="str">
        <x:v>분석에서 빠진 자료와 독립 재현성을 확보하기 위한 다음 작업을 분리하여 기록</x:v>
      </x:c>
      <x:c r="B2" s="7"/>
      <x:c r="C2" s="7"/>
      <x:c r="D2" s="7"/>
      <x:c r="E2" s="7"/>
      <x:c r="F2" s="7"/>
    </x:row>
    <x:row r="4">
      <x:c r="A4" s="18" t="str">
        <x:v>참가자</x:v>
      </x:c>
      <x:c r="B4" s="18" t="str">
        <x:v>제외 이유</x:v>
      </x:c>
      <x:c r="C4" s="18" t="str">
        <x:v>영향</x:v>
      </x:c>
    </x:row>
    <x:row r="5">
      <x:c r="A5" s="64" t="str">
        <x:v>S01_CMS</x:v>
      </x:c>
      <x:c r="B5" s="64" t="str">
        <x:v>선택 마커 후보 부족</x:v>
      </x:c>
      <x:c r="C5" s="64" t="str">
        <x:v>숨 참기 경계를 현재 규칙으로 확정할 수 없음</x:v>
      </x:c>
    </x:row>
    <x:row r="6">
      <x:c r="A6" s="65" t="str">
        <x:v>S04_KTW</x:v>
      </x:c>
      <x:c r="B6" s="65" t="str">
        <x:v>선택 마커 후보 부족</x:v>
      </x:c>
      <x:c r="C6" s="65" t="str">
        <x:v>동일</x:v>
      </x:c>
    </x:row>
    <x:row r="7">
      <x:c r="A7" s="65" t="str">
        <x:v>S11_SJE</x:v>
      </x:c>
      <x:c r="B7" s="65" t="str">
        <x:v>선택 마커 후보 부족</x:v>
      </x:c>
      <x:c r="C7" s="65" t="str">
        <x:v>동일</x:v>
      </x:c>
    </x:row>
    <x:row r="8">
      <x:c r="A8" s="65" t="str">
        <x:v>S12_KDH</x:v>
      </x:c>
      <x:c r="B8" s="65" t="str">
        <x:v>선택 마커 후보 부족</x:v>
      </x:c>
      <x:c r="C8" s="65" t="str">
        <x:v>동일</x:v>
      </x:c>
    </x:row>
    <x:row r="9">
      <x:c r="A9" s="65" t="str">
        <x:v>S22_KJH</x:v>
      </x:c>
      <x:c r="B9" s="65" t="str">
        <x:v>선택 마커 후보 부족</x:v>
      </x:c>
      <x:c r="C9" s="65" t="str">
        <x:v>동일</x:v>
      </x:c>
    </x:row>
    <x:row r="10">
      <x:c r="A10" s="66" t="str">
        <x:v>S24_KHJ</x:v>
      </x:c>
      <x:c r="B10" s="66" t="str">
        <x:v>UWB 원시 데이터 누락</x:v>
      </x:c>
      <x:c r="C10" s="66" t="str">
        <x:v>BIOPAC만 있어 ECG–레이더 비교 불가</x:v>
      </x:c>
    </x:row>
    <x:row r="13">
      <x:c r="A13" s="18" t="str">
        <x:v>순서</x:v>
      </x:c>
      <x:c r="B13" s="18" t="str">
        <x:v>작업</x:v>
      </x:c>
      <x:c r="C13" s="18" t="str">
        <x:v>구체 내용</x:v>
      </x:c>
      <x:c r="D13" s="18" t="str">
        <x:v>목적</x:v>
      </x:c>
    </x:row>
    <x:row r="14">
      <x:c r="A14" s="24" t="n">
        <x:v>1</x:v>
      </x:c>
      <x:c r="B14" s="24" t="str">
        <x:v>현재 알고리즘 동결</x:v>
      </x:c>
      <x:c r="C14" s="24" t="str">
        <x:v>위상 미분·10초 중앙 스펙트럼·55/135 규칙을 더 이상 수정하지 않음</x:v>
      </x:c>
      <x:c r="D14" s="24" t="str">
        <x:v>선택 편향 차단</x:v>
      </x:c>
    </x:row>
    <x:row r="15">
      <x:c r="A15" s="33" t="n">
        <x:v>2</x:v>
      </x:c>
      <x:c r="B15" s="33" t="str">
        <x:v>S1/S2 마커 수동 검토</x:v>
      </x:c>
      <x:c r="C15" s="33" t="str">
        <x:v>화면 일정·RSP·3대 레이더를 함께 보고 24명의 숨 참기 경계를 확정</x:v>
      </x:c>
      <x:c r="D15" s="33" t="str">
        <x:v>라벨 신뢰도 향상</x:v>
      </x:c>
    </x:row>
    <x:row r="16">
      <x:c r="A16" s="33" t="n">
        <x:v>3</x:v>
      </x:c>
      <x:c r="B16" s="33" t="str">
        <x:v>새 참가자 독립 검증</x:v>
      </x:c>
      <x:c r="C16" s="33" t="str">
        <x:v>동결된 규칙을 변경하지 않고 새 데이터에 적용</x:v>
      </x:c>
      <x:c r="D16" s="33" t="str">
        <x:v>진짜 일반화 성능 확인</x:v>
      </x:c>
    </x:row>
    <x:row r="17">
      <x:c r="A17" s="33" t="n">
        <x:v>4</x:v>
      </x:c>
      <x:c r="B17" s="33" t="str">
        <x:v>불확실성/거절 규칙</x:v>
      </x:c>
      <x:c r="C17" s="33" t="str">
        <x:v>레이더 간 불일치와 spectral quality가 나쁘면 추정을 보류</x:v>
      </x:c>
      <x:c r="D17" s="33" t="str">
        <x:v>위험한 오답 감소</x:v>
      </x:c>
    </x:row>
    <x:row r="18">
      <x:c r="A18" s="33" t="n">
        <x:v>5</x:v>
      </x:c>
      <x:c r="B18" s="33" t="str">
        <x:v>Bland–Altman·bootstrap CI</x:v>
      </x:c>
      <x:c r="C18" s="33" t="str">
        <x:v>평균 오차뿐 아니라 편향과 95% 구간 제시</x:v>
      </x:c>
      <x:c r="D18" s="33" t="str">
        <x:v>보고의 완전성</x:v>
      </x:c>
    </x:row>
    <x:row r="19">
      <x:c r="A19" s="25" t="n">
        <x:v>6</x:v>
      </x:c>
      <x:c r="B19" s="25" t="str">
        <x:v>ANN·SNN 비교</x:v>
      </x:c>
      <x:c r="C19" s="25" t="str">
        <x:v>동일 참가자 분할·동일 입력으로 고전 신호처리 기준선과 비교</x:v>
      </x:c>
      <x:c r="D19" s="25" t="str">
        <x:v>모델 이득 검증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90" hidden="0" customWidth="1"/>
    <x:col min="4" max="4" width="48" hidden="0" customWidth="1"/>
  </x:cols>
  <x:sheetData>
    <x:row r="1" ht="31" customHeight="1">
      <x:c r="A1" s="3" t="str">
        <x:v>재현 파일과 외부 연구 근거</x:v>
      </x:c>
      <x:c r="B1" s="3"/>
      <x:c r="C1" s="3"/>
      <x:c r="D1" s="3"/>
    </x:row>
    <x:row r="2" ht="34" customHeight="1">
      <x:c r="A2" s="7" t="str">
        <x:v>로컬 분석 산출물과 연구 방법 참고자료를 구분하여 기록</x:v>
      </x:c>
      <x:c r="B2" s="7"/>
      <x:c r="C2" s="7"/>
      <x:c r="D2" s="7"/>
    </x:row>
    <x:row r="4">
      <x:c r="A4" s="18" t="str">
        <x:v>구분</x:v>
      </x:c>
      <x:c r="B4" s="18" t="str">
        <x:v>자료</x:v>
      </x:c>
      <x:c r="C4" s="18" t="str">
        <x:v>경로/URL</x:v>
      </x:c>
      <x:c r="D4" s="18" t="str">
        <x:v>사용 근거</x:v>
      </x:c>
    </x:row>
    <x:row r="5">
      <x:c r="A5" s="24" t="str">
        <x:v>로컬</x:v>
      </x:c>
      <x:c r="B5" s="24" t="str">
        <x:v>분석 코드</x:v>
      </x:c>
      <x:c r="C5" s="24" t="str">
        <x:v>$2/heart_rate_hold/analyze_heart_rate.py</x:v>
      </x:c>
      <x:c r="D5" s="24" t="str">
        <x:v>ECG·레이더 처리와 통계 산출</x:v>
      </x:c>
    </x:row>
    <x:row r="6">
      <x:c r="A6" s="33" t="str">
        <x:v>로컬</x:v>
      </x:c>
      <x:c r="B6" s="33" t="str">
        <x:v>참가자별 CSV</x:v>
      </x:c>
      <x:c r="C6" s="33" t="str">
        <x:v>$2/outputs/heart_rate_hold/hold_heart_rate_results.csv</x:v>
      </x:c>
      <x:c r="D6" s="33" t="str">
        <x:v>24명 원시 추정값</x:v>
      </x:c>
    </x:row>
    <x:row r="7">
      <x:c r="A7" s="33" t="str">
        <x:v>로컬</x:v>
      </x:c>
      <x:c r="B7" s="33" t="str">
        <x:v>상세 JSON</x:v>
      </x:c>
      <x:c r="C7" s="33" t="str">
        <x:v>$2/outputs/heart_rate_hold/hold_heart_rate_data.json</x:v>
      </x:c>
      <x:c r="D7" s="33" t="str">
        <x:v>결과와 요약 지표</x:v>
      </x:c>
    </x:row>
    <x:row r="8">
      <x:c r="A8" s="33" t="str">
        <x:v>로컬</x:v>
      </x:c>
      <x:c r="B8" s="33" t="str">
        <x:v>진단 그림</x:v>
      </x:c>
      <x:c r="C8" s="33" t="str">
        <x:v>$2/outputs/heart_rate_hold/diagnostics/</x:v>
      </x:c>
      <x:c r="D8" s="33" t="str">
        <x:v>참가자별 ECG·레이더 스펙트럼</x:v>
      </x:c>
    </x:row>
    <x:row r="9">
      <x:c r="A9" s="33" t="str">
        <x:v>외부</x:v>
      </x:c>
      <x:c r="B9" s="33" t="str">
        <x:v>UWB 호흡·심박 동시 추정</x:v>
      </x:c>
      <x:c r="C9" s="33" t="str">
        <x:v>https://repository.bilkent.edu.tr/items/e355467c-b619-49e8-8b6e-59a6ba2a5d70</x:v>
      </x:c>
      <x:c r="D9" s="33" t="str">
        <x:v>공동 추정 가능성</x:v>
      </x:c>
    </x:row>
    <x:row r="10">
      <x:c r="A10" s="33" t="str">
        <x:v>외부</x:v>
      </x:c>
      <x:c r="B10" s="33" t="str">
        <x:v>IR-UWB 심박 연구</x:v>
      </x:c>
      <x:c r="C10" s="33" t="str">
        <x:v>https://pmc.ncbi.nlm.nih.gov/articles/PMC6695386/</x:v>
      </x:c>
      <x:c r="D10" s="33" t="str">
        <x:v>호흡 간섭을 줄이기 위한 숨 참기 사용 사례</x:v>
      </x:c>
    </x:row>
    <x:row r="11">
      <x:c r="A11" s="33" t="str">
        <x:v>외부</x:v>
      </x:c>
      <x:c r="B11" s="33" t="str">
        <x:v>신체활동 중 UWB 활력징후</x:v>
      </x:c>
      <x:c r="C11" s="33" t="str">
        <x:v>https://pmc.ncbi.nlm.nih.gov/articles/PMC8402280/</x:v>
      </x:c>
      <x:c r="D11" s="33" t="str">
        <x:v>움직임 환경의 한계와 가능성</x:v>
      </x:c>
    </x:row>
    <x:row r="12">
      <x:c r="A12" s="25" t="str">
        <x:v>외부</x:v>
      </x:c>
      <x:c r="B12" s="25" t="str">
        <x:v>임상 환경 IR-UWB 정확도</x:v>
      </x:c>
      <x:c r="C12" s="25" t="str">
        <x:v>https://pmc.ncbi.nlm.nih.gov/articles/PMC8655004/</x:v>
      </x:c>
      <x:c r="D12" s="25" t="str">
        <x:v>ECG 대비 평가 사례</x:v>
      </x:c>
    </x:row>
  </x:sheetData>
  <x:mergeCells>
    <x:mergeCell ref="A1:D1"/>
    <x:mergeCell ref="A2:D2"/>
  </x:mergeCells>
  <x:pageMargins left="0.7" right="0.7" top="0.75" bottom="0.75" header="0.3" footer="0.3"/>
</x:worksheet>
</file>